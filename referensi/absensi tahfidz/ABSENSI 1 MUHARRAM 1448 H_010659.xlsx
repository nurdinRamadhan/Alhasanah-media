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 HAFALAN" sheetId="1" state="visible" r:id="rId3"/>
    <sheet name="target" sheetId="2" state="visible" r:id="rId4"/>
    <sheet name="jumlah absensi" sheetId="3" state="visible" r:id="rId5"/>
    <sheet name="absensi setoran" sheetId="4" state="visible" r:id="rId6"/>
    <sheet name="Ngaji" sheetId="5" state="visible" r:id="rId7"/>
    <sheet name="ngafal" sheetId="6" state="visible" r:id="rId8"/>
    <sheet name="Minggua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<sst xmlns="http://schemas.openxmlformats.org/spreadsheetml/2006/main" count="2045" uniqueCount="311">
  <si>
    <r>
      <rPr>
        <b val="true"/>
        <sz val="37"/>
        <color theme="1"/>
        <rFont val="Times New Roman"/>
        <family val="0"/>
        <charset val="1"/>
      </rPr>
      <t xml:space="preserve">PETA DATA HAFALAN 1 MUHARRAM</t>
    </r>
    <r>
      <rPr>
        <b val="true"/>
        <sz val="37"/>
        <color rgb="FFFF0000"/>
        <rFont val="Times New Roman"/>
        <family val="0"/>
        <charset val="1"/>
      </rPr>
      <t xml:space="preserve"> 1448 H</t>
    </r>
  </si>
  <si>
    <t xml:space="preserve">NO</t>
  </si>
  <si>
    <t xml:space="preserve">NAMA</t>
  </si>
  <si>
    <t xml:space="preserve">JUMLAH</t>
  </si>
  <si>
    <t xml:space="preserve">AYI KOSIM HATIMI</t>
  </si>
  <si>
    <t xml:space="preserve">ABRURRAHMAN AFANDI</t>
  </si>
  <si>
    <t xml:space="preserve">CECEP ABDULATIF</t>
  </si>
  <si>
    <t xml:space="preserve">DONI SUPRIATNA</t>
  </si>
  <si>
    <t xml:space="preserve">ZAKY AZHARI</t>
  </si>
  <si>
    <t xml:space="preserve">MUHAMMAD FAUZIL ADZIM</t>
  </si>
  <si>
    <t xml:space="preserve">MUHAMMAD DZIKRI HUSAENI</t>
  </si>
  <si>
    <t xml:space="preserve">ABDUL KHOLIQ</t>
  </si>
  <si>
    <t xml:space="preserve">IYAN FARID</t>
  </si>
  <si>
    <t xml:space="preserve">ZAENI NURIL HIKAM</t>
  </si>
  <si>
    <t xml:space="preserve">LUCKY KURNIAWAN</t>
  </si>
  <si>
    <t xml:space="preserve">MUHAMMAD RAFIK MUHARAM</t>
  </si>
  <si>
    <t xml:space="preserve">UMAR ABDUL MALIK</t>
  </si>
  <si>
    <t xml:space="preserve">AHMAD HAFIDZ ALHAWARI</t>
  </si>
  <si>
    <t xml:space="preserve">MUHAMMAD FAUZAN</t>
  </si>
  <si>
    <t xml:space="preserve">AKBAR RAMADAN</t>
  </si>
  <si>
    <t xml:space="preserve">ABIDZAR ALGHIFARI</t>
  </si>
  <si>
    <t xml:space="preserve">KAFY MUHAMMAD AZIZY</t>
  </si>
  <si>
    <t xml:space="preserve">MUHAMMAD MUNAWWAR KHOLIL</t>
  </si>
  <si>
    <t xml:space="preserve">ALWI</t>
  </si>
  <si>
    <t xml:space="preserve">PIRMAN</t>
  </si>
  <si>
    <t xml:space="preserve">MUHAMMAD DENMAR NABAWI</t>
  </si>
  <si>
    <t xml:space="preserve">TARGET PENCAPAIAN SEBELUM DIKLAT ROBI'UL AWWAL</t>
  </si>
  <si>
    <t xml:space="preserve">TARGET</t>
  </si>
  <si>
    <t xml:space="preserve">PENCAPAIAN</t>
  </si>
  <si>
    <t xml:space="preserve">EVALUASI PENCAPAIAN</t>
  </si>
  <si>
    <t xml:space="preserve">sima'an 15 Juz ( juz 1 - 15 )</t>
  </si>
  <si>
    <t xml:space="preserve">sima'an 10 Juz ( juz 1 - 5, juz 26 - 30 )</t>
  </si>
  <si>
    <t xml:space="preserve">sima'an 10 Juz ( juz 1- 10 )</t>
  </si>
  <si>
    <t xml:space="preserve">sima'an 13 Juz ( juz 1 - 8, juz 26 - 30 )</t>
  </si>
  <si>
    <t xml:space="preserve">sima'an 25 Juz ( juz 1 - 25 )</t>
  </si>
  <si>
    <t xml:space="preserve">ziyadah 18 Juz</t>
  </si>
  <si>
    <t xml:space="preserve">ziyadah 15 Juz</t>
  </si>
  <si>
    <t xml:space="preserve">sima'an 10 Juz </t>
  </si>
  <si>
    <t xml:space="preserve">ziyadah 12 Juz</t>
  </si>
  <si>
    <t xml:space="preserve">ziyadah 10 Juz</t>
  </si>
  <si>
    <t xml:space="preserve">ziyadah sampe juz 6</t>
  </si>
  <si>
    <t xml:space="preserve">sima'an 6 juz (  )</t>
  </si>
  <si>
    <t xml:space="preserve">sima'an 5 juz</t>
  </si>
  <si>
    <t xml:space="preserve">ziyadah 5 juz</t>
  </si>
  <si>
    <t xml:space="preserve">ziyadah 4 Juz</t>
  </si>
  <si>
    <t xml:space="preserve">sima'an 2 Juz</t>
  </si>
  <si>
    <t xml:space="preserve">tahap tahsin</t>
  </si>
  <si>
    <t xml:space="preserve">JUMLAH ABSENSI PERBULAN</t>
  </si>
  <si>
    <t xml:space="preserve">ABSENSI NGAJI</t>
  </si>
  <si>
    <t xml:space="preserve">JUMLAH ABSENSI</t>
  </si>
  <si>
    <t xml:space="preserve">HAFALAN</t>
  </si>
  <si>
    <t xml:space="preserve">HADIR</t>
  </si>
  <si>
    <t xml:space="preserve">SAKIT</t>
  </si>
  <si>
    <t xml:space="preserve">IZIN</t>
  </si>
  <si>
    <t xml:space="preserve">SEKOLAH</t>
  </si>
  <si>
    <t xml:space="preserve">ALPHA</t>
  </si>
  <si>
    <t xml:space="preserve">ABSENSI SETORAN</t>
  </si>
  <si>
    <t xml:space="preserve">ABSENSI NGAFAL</t>
  </si>
  <si>
    <t xml:space="preserve">MINGGU KE 1</t>
  </si>
  <si>
    <t xml:space="preserve">Sabtu 2</t>
  </si>
  <si>
    <t xml:space="preserve">Ahad 3</t>
  </si>
  <si>
    <t xml:space="preserve">Senin 4</t>
  </si>
  <si>
    <t xml:space="preserve">Selasa 5</t>
  </si>
  <si>
    <t xml:space="preserve">Rabu 6</t>
  </si>
  <si>
    <t xml:space="preserve">Kamis 7</t>
  </si>
  <si>
    <t xml:space="preserve">JUMLAH </t>
  </si>
  <si>
    <t xml:space="preserve">JUMLAH HAFALAN</t>
  </si>
  <si>
    <t xml:space="preserve">PAGI</t>
  </si>
  <si>
    <t xml:space="preserve">Penyimak</t>
  </si>
  <si>
    <t xml:space="preserve">SIANG</t>
  </si>
  <si>
    <t xml:space="preserve">Hadir</t>
  </si>
  <si>
    <t xml:space="preserve">Izin</t>
  </si>
  <si>
    <t xml:space="preserve">Tidur</t>
  </si>
  <si>
    <t xml:space="preserve">Sakit</t>
  </si>
  <si>
    <t xml:space="preserve">Alpha</t>
  </si>
  <si>
    <t xml:space="preserve">A</t>
  </si>
  <si>
    <t xml:space="preserve">A Rifqi</t>
  </si>
  <si>
    <t xml:space="preserve">P</t>
  </si>
  <si>
    <t xml:space="preserve">H</t>
  </si>
  <si>
    <t xml:space="preserve">TS</t>
  </si>
  <si>
    <t xml:space="preserve">S</t>
  </si>
  <si>
    <t xml:space="preserve">TD</t>
  </si>
  <si>
    <t xml:space="preserve">MINGGU KE 2</t>
  </si>
  <si>
    <t xml:space="preserve">SABTU 9</t>
  </si>
  <si>
    <t xml:space="preserve">AHAD 10</t>
  </si>
  <si>
    <t xml:space="preserve">SENIN 11</t>
  </si>
  <si>
    <t xml:space="preserve">SELASA 12</t>
  </si>
  <si>
    <t xml:space="preserve">RABU 13</t>
  </si>
  <si>
    <t xml:space="preserve">KAMIS 14</t>
  </si>
  <si>
    <t xml:space="preserve">SHUBUH</t>
  </si>
  <si>
    <t xml:space="preserve">juz 13 ¼</t>
  </si>
  <si>
    <t xml:space="preserve">فلما أن جاء البشير</t>
  </si>
  <si>
    <t xml:space="preserve">فإذا جآءتهم الحسنة قالوا لنا هذه</t>
  </si>
  <si>
    <t xml:space="preserve">الرعد </t>
  </si>
  <si>
    <t xml:space="preserve">juz 13</t>
  </si>
  <si>
    <t xml:space="preserve">أفمن يعلم أنما أنزل إليك من ربك بالحق</t>
  </si>
  <si>
    <t xml:space="preserve">juz 5 ¼juz</t>
  </si>
  <si>
    <t xml:space="preserve">I</t>
  </si>
  <si>
    <t xml:space="preserve">جز ١٦ ½</t>
  </si>
  <si>
    <t xml:space="preserve">juz 7 ¹juz</t>
  </si>
  <si>
    <t xml:space="preserve">فمن يرد الله</t>
  </si>
  <si>
    <t xml:space="preserve">وقالوا هذه أنعام وحرث حجر</t>
  </si>
  <si>
    <t xml:space="preserve">جز ٨ ⁴</t>
  </si>
  <si>
    <t xml:space="preserve">وقطعنهم اثنتي عشرة أسباطا أمما</t>
  </si>
  <si>
    <t xml:space="preserve">juz 9 1½hal</t>
  </si>
  <si>
    <t xml:space="preserve">جز ٩</t>
  </si>
  <si>
    <t xml:space="preserve">ثمنية أزواج</t>
  </si>
  <si>
    <t xml:space="preserve">الأعراف ¼</t>
  </si>
  <si>
    <t xml:space="preserve">جز ٨ ¼</t>
  </si>
  <si>
    <t xml:space="preserve">juz 8 ½</t>
  </si>
  <si>
    <t xml:space="preserve">فإذا جآءتهم الحسنة قالوا لنا هذه🔄</t>
  </si>
  <si>
    <t xml:space="preserve">🔄</t>
  </si>
  <si>
    <t xml:space="preserve">جز ٧</t>
  </si>
  <si>
    <t xml:space="preserve">قل أي شيئ أكبر شهادة</t>
  </si>
  <si>
    <t xml:space="preserve">juz 7</t>
  </si>
  <si>
    <t xml:space="preserve">يايها الذين امنوا كونوا قوامين</t>
  </si>
  <si>
    <t xml:space="preserve">juz 1 ½</t>
  </si>
  <si>
    <t xml:space="preserve">قل إن كانت لكم الدار الآخرة</t>
  </si>
  <si>
    <t xml:space="preserve">واتبعوا ما تتلوا الشياطين</t>
  </si>
  <si>
    <t xml:space="preserve">ما ننسخ من آية</t>
  </si>
  <si>
    <t xml:space="preserve">juz 2 ½juz</t>
  </si>
  <si>
    <t xml:space="preserve">juz 2 🔄</t>
  </si>
  <si>
    <t xml:space="preserve">juz 2 ¹juz</t>
  </si>
  <si>
    <t xml:space="preserve">فمن خاف من موص جنفا</t>
  </si>
  <si>
    <t xml:space="preserve">أحل لكم ليلة الصيام</t>
  </si>
  <si>
    <t xml:space="preserve">وإذ قال ربك للملائكة</t>
  </si>
  <si>
    <t xml:space="preserve">قلنا اهبطوا منها جميعا</t>
  </si>
  <si>
    <t xml:space="preserve">أسكنوهنّ من حيث سكنتم</t>
  </si>
  <si>
    <t xml:space="preserve">فذاقت وبال أمرها</t>
  </si>
  <si>
    <t xml:space="preserve">الطلاق</t>
  </si>
  <si>
    <t xml:space="preserve">المدّثّر</t>
  </si>
  <si>
    <t xml:space="preserve">الإنشقاق</t>
  </si>
  <si>
    <t xml:space="preserve">الإخلاص+المسد</t>
  </si>
  <si>
    <t xml:space="preserve">الكافرون</t>
  </si>
  <si>
    <t xml:space="preserve">MINGGU KE 3</t>
  </si>
  <si>
    <t xml:space="preserve">SABTU 16</t>
  </si>
  <si>
    <t xml:space="preserve">AHAD 17</t>
  </si>
  <si>
    <t xml:space="preserve">SENIN 18</t>
  </si>
  <si>
    <t xml:space="preserve">SELASA 19</t>
  </si>
  <si>
    <t xml:space="preserve">RABU 20</t>
  </si>
  <si>
    <t xml:space="preserve">KAMIS 21</t>
  </si>
  <si>
    <t xml:space="preserve">ومآ أبرّئ نفسي ½</t>
  </si>
  <si>
    <t xml:space="preserve">أفمن يعلم أنما أنزل إليك من ربك الحق</t>
  </si>
  <si>
    <t xml:space="preserve">إبراهيم ¹لمبار</t>
  </si>
  <si>
    <t xml:space="preserve">واكتب لنا</t>
  </si>
  <si>
    <t xml:space="preserve">قالت لهم رسلهم إن نحن إلا بشر</t>
  </si>
  <si>
    <t xml:space="preserve">جز ١٣</t>
  </si>
  <si>
    <t xml:space="preserve">اقترب للناس ½</t>
  </si>
  <si>
    <t xml:space="preserve">الحجّ</t>
  </si>
  <si>
    <t xml:space="preserve">المؤمنون</t>
  </si>
  <si>
    <t xml:space="preserve">النور</t>
  </si>
  <si>
    <t xml:space="preserve">الفرقان</t>
  </si>
  <si>
    <t xml:space="preserve">قال ما منعك ألا تسجد إذ أمرتك</t>
  </si>
  <si>
    <t xml:space="preserve">قالا ربنا ظلمنا</t>
  </si>
  <si>
    <t xml:space="preserve">ونادى أصحاب الجنة</t>
  </si>
  <si>
    <t xml:space="preserve">ولد جئنهم بكتاب</t>
  </si>
  <si>
    <t xml:space="preserve">فإذاجآءتهم الحسنة قالوا لنا هذة</t>
  </si>
  <si>
    <t xml:space="preserve">وجاوزنا ببني إسرائيل ٢ لمبار</t>
  </si>
  <si>
    <t xml:space="preserve">قال الملأ الذين استكبروا</t>
  </si>
  <si>
    <t xml:space="preserve">وإذ قالت أمة</t>
  </si>
  <si>
    <t xml:space="preserve">إنما يستجيب الذين يسمعون</t>
  </si>
  <si>
    <t xml:space="preserve">وأنذر به الين يخافون أن يحشروا</t>
  </si>
  <si>
    <t xml:space="preserve">فإن كذّبوك فقل ربكم ذو رحمة واسعة</t>
  </si>
  <si>
    <t xml:space="preserve">هل ينظرون إلا أن تأتيهم الملائكة</t>
  </si>
  <si>
    <t xml:space="preserve">الذين يتربصون بكم</t>
  </si>
  <si>
    <t xml:space="preserve">فبما بقضهم</t>
  </si>
  <si>
    <t xml:space="preserve">وقالت اليهود ليست النصارى على شيئ</t>
  </si>
  <si>
    <t xml:space="preserve">ولن ترصى عنك اليهود</t>
  </si>
  <si>
    <t xml:space="preserve">وإذ يرفع إبراهيم</t>
  </si>
  <si>
    <t xml:space="preserve">وقالوا كونو هودا</t>
  </si>
  <si>
    <t xml:space="preserve">الملك</t>
  </si>
  <si>
    <t xml:space="preserve">٢٩¼¹</t>
  </si>
  <si>
    <t xml:space="preserve">وجاء فرعون ومن قبله</t>
  </si>
  <si>
    <t xml:space="preserve">الحج أشهر معلومات</t>
  </si>
  <si>
    <t xml:space="preserve">سيقول السفهاء.   ٣ لمبار</t>
  </si>
  <si>
    <t xml:space="preserve">ليس البرّ</t>
  </si>
  <si>
    <t xml:space="preserve">ليس البر أن تولوا</t>
  </si>
  <si>
    <t xml:space="preserve">ليس البر</t>
  </si>
  <si>
    <t xml:space="preserve">واذ نجينكم من آل فرعون</t>
  </si>
  <si>
    <t xml:space="preserve">وإذ قلنا ادخلوا هذه القرية</t>
  </si>
  <si>
    <t xml:space="preserve">إن الذين امنوا والذين هادوا</t>
  </si>
  <si>
    <t xml:space="preserve">قالوا ادع لنا ربك🔄</t>
  </si>
  <si>
    <t xml:space="preserve">يآأيها النبي لم تحرم مآاحل الله لك</t>
  </si>
  <si>
    <t xml:space="preserve">عسي ربه إن طلقكن أن يبدله خيرا</t>
  </si>
  <si>
    <t xml:space="preserve">يآأيها الذين آمنوا توبوا إلى الله</t>
  </si>
  <si>
    <t xml:space="preserve">قد سمع الله</t>
  </si>
  <si>
    <t xml:space="preserve">المجادلة</t>
  </si>
  <si>
    <t xml:space="preserve">الحشر</t>
  </si>
  <si>
    <t xml:space="preserve">المجادلة+الحشر</t>
  </si>
  <si>
    <t xml:space="preserve">لا أقسم بيوم القيامة</t>
  </si>
  <si>
    <t xml:space="preserve">كلا بل تحبون العاجله</t>
  </si>
  <si>
    <t xml:space="preserve">القيامة</t>
  </si>
  <si>
    <t xml:space="preserve">النباء ⬅️ الإنشقاق</t>
  </si>
  <si>
    <t xml:space="preserve">البروج</t>
  </si>
  <si>
    <t xml:space="preserve">البروج🔄</t>
  </si>
  <si>
    <t xml:space="preserve">Tahsin</t>
  </si>
  <si>
    <t xml:space="preserve">الكوثر</t>
  </si>
  <si>
    <t xml:space="preserve">Firman</t>
  </si>
  <si>
    <t xml:space="preserve">القريش</t>
  </si>
  <si>
    <t xml:space="preserve">النصر &gt; </t>
  </si>
  <si>
    <t xml:space="preserve">MINGGU KE 4</t>
  </si>
  <si>
    <t xml:space="preserve">SABTU 23</t>
  </si>
  <si>
    <t xml:space="preserve">AHAD 24</t>
  </si>
  <si>
    <t xml:space="preserve">SENIN 25</t>
  </si>
  <si>
    <t xml:space="preserve">SELASA 26</t>
  </si>
  <si>
    <t xml:space="preserve">RABU 27</t>
  </si>
  <si>
    <t xml:space="preserve">KAMIS 28</t>
  </si>
  <si>
    <t xml:space="preserve">جز ١٣ ¹جز</t>
  </si>
  <si>
    <t xml:space="preserve">M</t>
  </si>
  <si>
    <t xml:space="preserve">إبراهيم</t>
  </si>
  <si>
    <t xml:space="preserve">الحجر</t>
  </si>
  <si>
    <t xml:space="preserve">الذين يأكلون الربوا</t>
  </si>
  <si>
    <t xml:space="preserve">SH</t>
  </si>
  <si>
    <t xml:space="preserve">الحجر ¼</t>
  </si>
  <si>
    <t xml:space="preserve">الذين جعلوا القران عضين</t>
  </si>
  <si>
    <t xml:space="preserve">الحجر+النحل ½</t>
  </si>
  <si>
    <t xml:space="preserve">النمل + القصص</t>
  </si>
  <si>
    <t xml:space="preserve">والبلد الطيب</t>
  </si>
  <si>
    <t xml:space="preserve">أبلغكم رسلت ربي</t>
  </si>
  <si>
    <t xml:space="preserve">أبلغكم رسلت ربي وأنا لك ناصح أمين ✅️</t>
  </si>
  <si>
    <t xml:space="preserve">ولو أننا نزلنا ¹جز</t>
  </si>
  <si>
    <t xml:space="preserve">قال الملأ الذين استكبرو 1½ لمبار</t>
  </si>
  <si>
    <t xml:space="preserve">قالوا امنّا برب العالمين</t>
  </si>
  <si>
    <t xml:space="preserve">قل لا أملك لنفسي</t>
  </si>
  <si>
    <t xml:space="preserve">إن وليي الله الذي نزل الكتاب</t>
  </si>
  <si>
    <t xml:space="preserve">يسألونك عن الأنفال</t>
  </si>
  <si>
    <t xml:space="preserve">واذكروا إذ أنتم قليل</t>
  </si>
  <si>
    <t xml:space="preserve">قال ما منعك ألا تسجد ½</t>
  </si>
  <si>
    <t xml:space="preserve">وجوزنا ببني إسرائيل</t>
  </si>
  <si>
    <t xml:space="preserve">إنما يستجيبون ¼</t>
  </si>
  <si>
    <t xml:space="preserve">وهو الذي يتوفكم بالليل</t>
  </si>
  <si>
    <t xml:space="preserve">وما على الذين يتقون من حسابهم</t>
  </si>
  <si>
    <t xml:space="preserve">يا أهل الكتب لا تغلوا في دينكم</t>
  </si>
  <si>
    <t xml:space="preserve">لا يحب الله الجهر ¼</t>
  </si>
  <si>
    <t xml:space="preserve">جز ١ ½ اول</t>
  </si>
  <si>
    <t xml:space="preserve">أولا يعلمون أن الله يعلم ¼</t>
  </si>
  <si>
    <t xml:space="preserve">أولا يعلمون أن الله يعلم ½</t>
  </si>
  <si>
    <t xml:space="preserve">1juz¹</t>
  </si>
  <si>
    <t xml:space="preserve">فما تنفعهم شفاعة الشاعين</t>
  </si>
  <si>
    <t xml:space="preserve">تبارك الذي بيده الملك ½</t>
  </si>
  <si>
    <t xml:space="preserve">فما تنفعهم شفاعة الشافعين</t>
  </si>
  <si>
    <t xml:space="preserve">واقتلوهم حيث ثقفتموهم ¹لمبار</t>
  </si>
  <si>
    <t xml:space="preserve">واذكروا الله</t>
  </si>
  <si>
    <t xml:space="preserve">ليس البر 🔄</t>
  </si>
  <si>
    <t xml:space="preserve">سل بني إسرائيل</t>
  </si>
  <si>
    <t xml:space="preserve">في الدنيا والآخرة</t>
  </si>
  <si>
    <t xml:space="preserve">الفاتحة+البقرة ¼ 🔄</t>
  </si>
  <si>
    <t xml:space="preserve">الفاتحة - البقرة 🔄</t>
  </si>
  <si>
    <t xml:space="preserve">جز1¼</t>
  </si>
  <si>
    <t xml:space="preserve">قد سمع الله ½ جز</t>
  </si>
  <si>
    <t xml:space="preserve">المنافقون+التغابن+الطلاق</t>
  </si>
  <si>
    <t xml:space="preserve">هل اتى على الإنسان</t>
  </si>
  <si>
    <t xml:space="preserve">عينا يشرب بها</t>
  </si>
  <si>
    <t xml:space="preserve">عاليهم ثياب سندس</t>
  </si>
  <si>
    <t xml:space="preserve">ومن الليل فاسجد له</t>
  </si>
  <si>
    <t xml:space="preserve">الإنسان</t>
  </si>
  <si>
    <t xml:space="preserve">عم يتساءلون ¼</t>
  </si>
  <si>
    <t xml:space="preserve">الطارق 🔄</t>
  </si>
  <si>
    <t xml:space="preserve">الطارق</t>
  </si>
  <si>
    <t xml:space="preserve">عبس</t>
  </si>
  <si>
    <t xml:space="preserve">المطففين</t>
  </si>
  <si>
    <t xml:space="preserve">MINGGU KE 5</t>
  </si>
  <si>
    <t xml:space="preserve">SABTU 30</t>
  </si>
  <si>
    <t xml:space="preserve">قال يا إبليس ما لك ألا تكون مع السجدين</t>
  </si>
  <si>
    <t xml:space="preserve">الحجر ¹</t>
  </si>
  <si>
    <t xml:space="preserve">الذين يقولون ربنا امنا</t>
  </si>
  <si>
    <t xml:space="preserve">ولقد ذرأنا لجهنم</t>
  </si>
  <si>
    <t xml:space="preserve">ومآ أرسلنا من قبلك إلا رجالا</t>
  </si>
  <si>
    <t xml:space="preserve">وجاوزنا ببني إسرائيل</t>
  </si>
  <si>
    <t xml:space="preserve">ولما رجع موسى</t>
  </si>
  <si>
    <t xml:space="preserve">الأنفال ¼</t>
  </si>
  <si>
    <t xml:space="preserve">قال يا موس</t>
  </si>
  <si>
    <t xml:space="preserve">ولو أننا نزلنا</t>
  </si>
  <si>
    <t xml:space="preserve">وأن أقيموا الصلاة واتقوه</t>
  </si>
  <si>
    <t xml:space="preserve">قالا ربنا ظلمنا أنفسنا</t>
  </si>
  <si>
    <t xml:space="preserve">يبني ادم خذوا زينتكم</t>
  </si>
  <si>
    <t xml:space="preserve">حرمت عليكم الميتة</t>
  </si>
  <si>
    <t xml:space="preserve">ياايها الذين امنوا اذا قمتم</t>
  </si>
  <si>
    <t xml:space="preserve">سيقول السفهاء</t>
  </si>
  <si>
    <t xml:space="preserve">الذين اتينهم الكتاب</t>
  </si>
  <si>
    <t xml:space="preserve">ABIDZAR FAYYAD AL FARIZI</t>
  </si>
  <si>
    <t xml:space="preserve">لا يؤاخذكم الله باللغو في أيمانكم</t>
  </si>
  <si>
    <t xml:space="preserve">واذكروا الله في ايام معمودات</t>
  </si>
  <si>
    <t xml:space="preserve">قال فما خطبكم أيها المرسلون</t>
  </si>
  <si>
    <t xml:space="preserve">MUHAMMAD ALWI ARIZKY</t>
  </si>
  <si>
    <t xml:space="preserve">والمرسلات عرفا</t>
  </si>
  <si>
    <t xml:space="preserve">الأعلى</t>
  </si>
  <si>
    <t xml:space="preserve">MUHAMMAD MUNAWAR KHOLIL</t>
  </si>
  <si>
    <t xml:space="preserve">FATRAH MUHAMMAD RAMADAN</t>
  </si>
  <si>
    <t xml:space="preserve">MINGGU Ke 1</t>
  </si>
  <si>
    <t xml:space="preserve">SABTU 2</t>
  </si>
  <si>
    <t xml:space="preserve">AHAD 3</t>
  </si>
  <si>
    <t xml:space="preserve">SENIN 4</t>
  </si>
  <si>
    <t xml:space="preserve">SELASA 5</t>
  </si>
  <si>
    <t xml:space="preserve">RABU 6</t>
  </si>
  <si>
    <t xml:space="preserve">KAMIS 7</t>
  </si>
  <si>
    <t xml:space="preserve">MALAM</t>
  </si>
  <si>
    <t xml:space="preserve">MINGGU Ke 2</t>
  </si>
  <si>
    <t xml:space="preserve">ST</t>
  </si>
  <si>
    <t xml:space="preserve">MINGGU Ke 3</t>
  </si>
  <si>
    <t xml:space="preserve">MINGGU Ke 4</t>
  </si>
  <si>
    <t xml:space="preserve">MINGGU Ke 5</t>
  </si>
  <si>
    <t xml:space="preserve">KAMIS 30</t>
  </si>
  <si>
    <t xml:space="preserve">SORE</t>
  </si>
  <si>
    <t xml:space="preserve">ABSENSI MINGGUAN</t>
  </si>
  <si>
    <t xml:space="preserve">ISTIGHOSAH</t>
  </si>
  <si>
    <t xml:space="preserve">NGAOS AANG</t>
  </si>
  <si>
    <t xml:space="preserve">TILAWAH</t>
  </si>
  <si>
    <t xml:space="preserve">TAWASUL</t>
  </si>
  <si>
    <t xml:space="preserve">MHQ</t>
  </si>
  <si>
    <t xml:space="preserve">MUHADHOROH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</si>
</sst>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7"/>
      <color theme="1"/>
      <name val="Times New Roman"/>
      <family val="0"/>
      <charset val="1"/>
    </font>
    <font>
      <b val="true"/>
      <sz val="37"/>
      <color rgb="FFFF0000"/>
      <name val="Times New Roman"/>
      <family val="0"/>
      <charset val="1"/>
    </font>
    <font>
      <sz val="11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5"/>
      <color theme="1"/>
      <name val="Arial"/>
      <family val="0"/>
      <charset val="1"/>
    </font>
    <font>
      <sz val="12"/>
      <color theme="1"/>
      <name val="Arial"/>
      <family val="0"/>
      <charset val="1"/>
    </font>
    <font>
      <sz val="15"/>
      <color theme="1"/>
      <name val="Arial"/>
      <family val="0"/>
      <charset val="1"/>
    </font>
    <font>
      <sz val="15"/>
      <color rgb="FF00FF00"/>
      <name val="Arial"/>
      <family val="0"/>
      <charset val="1"/>
    </font>
    <font>
      <sz val="15"/>
      <color rgb="FFFFFF00"/>
      <name val="Arial"/>
      <family val="0"/>
      <charset val="1"/>
    </font>
    <font>
      <sz val="15"/>
      <color rgb="FFFF0000"/>
      <name val="Arial"/>
      <family val="0"/>
      <charset val="1"/>
    </font>
    <font>
      <b val="true"/>
      <sz val="26"/>
      <color theme="1"/>
      <name val="Times New Roman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5"/>
      <color rgb="FF000000"/>
      <name val="Arial"/>
      <family val="0"/>
      <charset val="1"/>
    </font>
    <font>
      <b val="true"/>
      <sz val="17"/>
      <color theme="1"/>
      <name val="Times New Roman"/>
      <family val="0"/>
      <charset val="1"/>
    </font>
    <font>
      <b val="true"/>
      <sz val="11"/>
      <color theme="1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274E13"/>
        <bgColor rgb="FF333333"/>
      </patternFill>
    </fill>
    <fill>
      <patternFill patternType="solid">
        <fgColor rgb="FF38761D"/>
        <bgColor rgb="FF274E13"/>
      </patternFill>
    </fill>
    <fill>
      <patternFill patternType="solid">
        <fgColor rgb="FF93C47D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AG27"/>
  <sheetViews>
    <sheetView showFormulas="false" showGridLines="true" showRowColHeaders="true" showZeros="true" rightToLeft="false" tabSelected="false" showOutlineSymbols="true" defaultGridColor="true" view="normal" topLeftCell="A1" colorId="64" zoomScale="61" zoomScaleNormal="61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6.38"/>
    <col collapsed="false" customWidth="true" hidden="false" outlineLevel="0" max="2" min="2" style="0" width="30.75"/>
    <col collapsed="false" customWidth="true" hidden="false" outlineLevel="0" max="3" min="3" style="0" width="9.38"/>
    <col collapsed="false" customWidth="true" hidden="false" outlineLevel="0" max="33" min="4" style="0" width="6.38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5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customFormat="false" ht="15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customFormat="false" ht="15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customFormat="false" ht="30" hidden="false" customHeight="true" outlineLevel="0" collapsed="false">
      <c r="A5" s="3" t="s">
        <v>1</v>
      </c>
      <c r="B5" s="3" t="s">
        <v>2</v>
      </c>
      <c r="C5" s="3" t="s">
        <v>3</v>
      </c>
      <c r="D5" s="4" t="n">
        <v>1</v>
      </c>
      <c r="E5" s="4" t="n">
        <v>2</v>
      </c>
      <c r="F5" s="4" t="n">
        <v>3</v>
      </c>
      <c r="G5" s="4" t="n">
        <v>4</v>
      </c>
      <c r="H5" s="4" t="n">
        <v>5</v>
      </c>
      <c r="I5" s="4" t="n">
        <v>6</v>
      </c>
      <c r="J5" s="4" t="n">
        <v>7</v>
      </c>
      <c r="K5" s="4" t="n">
        <v>8</v>
      </c>
      <c r="L5" s="4" t="n">
        <v>9</v>
      </c>
      <c r="M5" s="4" t="n">
        <v>10</v>
      </c>
      <c r="N5" s="4" t="n">
        <v>11</v>
      </c>
      <c r="O5" s="4" t="n">
        <v>12</v>
      </c>
      <c r="P5" s="4" t="n">
        <v>13</v>
      </c>
      <c r="Q5" s="4" t="n">
        <v>14</v>
      </c>
      <c r="R5" s="4" t="n">
        <v>15</v>
      </c>
      <c r="S5" s="4" t="n">
        <v>16</v>
      </c>
      <c r="T5" s="4" t="n">
        <v>17</v>
      </c>
      <c r="U5" s="4" t="n">
        <v>18</v>
      </c>
      <c r="V5" s="4" t="n">
        <v>19</v>
      </c>
      <c r="W5" s="4" t="n">
        <v>20</v>
      </c>
      <c r="X5" s="4" t="n">
        <v>21</v>
      </c>
      <c r="Y5" s="4" t="n">
        <v>22</v>
      </c>
      <c r="Z5" s="4" t="n">
        <v>23</v>
      </c>
      <c r="AA5" s="4" t="n">
        <v>24</v>
      </c>
      <c r="AB5" s="4" t="n">
        <v>25</v>
      </c>
      <c r="AC5" s="4" t="n">
        <v>26</v>
      </c>
      <c r="AD5" s="4" t="n">
        <v>27</v>
      </c>
      <c r="AE5" s="4" t="n">
        <v>28</v>
      </c>
      <c r="AF5" s="4" t="n">
        <v>29</v>
      </c>
      <c r="AG5" s="4" t="n">
        <v>30</v>
      </c>
    </row>
    <row r="6" customFormat="false" ht="30" hidden="false" customHeight="true" outlineLevel="0" collapsed="false">
      <c r="A6" s="5" t="n">
        <v>1</v>
      </c>
      <c r="B6" s="5" t="s">
        <v>4</v>
      </c>
      <c r="C6" s="6" t="n">
        <f aca="false">COUNTIF(D6:AG6,"TRUE")</f>
        <v>30</v>
      </c>
      <c r="D6" s="7" t="b">
        <f aca="false">TRUE()</f>
        <v>1</v>
      </c>
      <c r="E6" s="7" t="b">
        <f aca="false">TRUE()</f>
        <v>1</v>
      </c>
      <c r="F6" s="7" t="b">
        <f aca="false">TRUE()</f>
        <v>1</v>
      </c>
      <c r="G6" s="7" t="b">
        <f aca="false">TRUE()</f>
        <v>1</v>
      </c>
      <c r="H6" s="7" t="b">
        <f aca="false">TRUE()</f>
        <v>1</v>
      </c>
      <c r="I6" s="7" t="b">
        <f aca="false">TRUE()</f>
        <v>1</v>
      </c>
      <c r="J6" s="7" t="b">
        <f aca="false">TRUE()</f>
        <v>1</v>
      </c>
      <c r="K6" s="7" t="b">
        <f aca="false">TRUE()</f>
        <v>1</v>
      </c>
      <c r="L6" s="7" t="b">
        <f aca="false">TRUE()</f>
        <v>1</v>
      </c>
      <c r="M6" s="7" t="b">
        <f aca="false">TRUE()</f>
        <v>1</v>
      </c>
      <c r="N6" s="7" t="b">
        <f aca="false">TRUE()</f>
        <v>1</v>
      </c>
      <c r="O6" s="7" t="b">
        <f aca="false">TRUE()</f>
        <v>1</v>
      </c>
      <c r="P6" s="7" t="b">
        <f aca="false">TRUE()</f>
        <v>1</v>
      </c>
      <c r="Q6" s="7" t="b">
        <f aca="false">TRUE()</f>
        <v>1</v>
      </c>
      <c r="R6" s="7" t="b">
        <f aca="false">TRUE()</f>
        <v>1</v>
      </c>
      <c r="S6" s="7" t="b">
        <f aca="false">TRUE()</f>
        <v>1</v>
      </c>
      <c r="T6" s="7" t="b">
        <f aca="false">TRUE()</f>
        <v>1</v>
      </c>
      <c r="U6" s="7" t="b">
        <f aca="false">TRUE()</f>
        <v>1</v>
      </c>
      <c r="V6" s="7" t="b">
        <f aca="false">TRUE()</f>
        <v>1</v>
      </c>
      <c r="W6" s="7" t="b">
        <f aca="false">TRUE()</f>
        <v>1</v>
      </c>
      <c r="X6" s="7" t="b">
        <f aca="false">TRUE()</f>
        <v>1</v>
      </c>
      <c r="Y6" s="7" t="b">
        <f aca="false">TRUE()</f>
        <v>1</v>
      </c>
      <c r="Z6" s="7" t="b">
        <f aca="false">TRUE()</f>
        <v>1</v>
      </c>
      <c r="AA6" s="7" t="b">
        <f aca="false">TRUE()</f>
        <v>1</v>
      </c>
      <c r="AB6" s="7" t="b">
        <f aca="false">TRUE()</f>
        <v>1</v>
      </c>
      <c r="AC6" s="7" t="b">
        <f aca="false">TRUE()</f>
        <v>1</v>
      </c>
      <c r="AD6" s="7" t="b">
        <f aca="false">TRUE()</f>
        <v>1</v>
      </c>
      <c r="AE6" s="7" t="b">
        <f aca="false">TRUE()</f>
        <v>1</v>
      </c>
      <c r="AF6" s="7" t="b">
        <f aca="false">TRUE()</f>
        <v>1</v>
      </c>
      <c r="AG6" s="7" t="b">
        <f aca="false">TRUE()</f>
        <v>1</v>
      </c>
    </row>
    <row r="7" customFormat="false" ht="30" hidden="false" customHeight="true" outlineLevel="0" collapsed="false">
      <c r="A7" s="5" t="n">
        <v>2</v>
      </c>
      <c r="B7" s="5" t="s">
        <v>5</v>
      </c>
      <c r="C7" s="6" t="n">
        <f aca="false">COUNTIF(D7:AG7,"TRUE")</f>
        <v>30</v>
      </c>
      <c r="D7" s="7" t="b">
        <f aca="false">TRUE()</f>
        <v>1</v>
      </c>
      <c r="E7" s="7" t="b">
        <f aca="false">TRUE()</f>
        <v>1</v>
      </c>
      <c r="F7" s="7" t="b">
        <f aca="false">TRUE()</f>
        <v>1</v>
      </c>
      <c r="G7" s="7" t="b">
        <f aca="false">TRUE()</f>
        <v>1</v>
      </c>
      <c r="H7" s="7" t="b">
        <f aca="false">TRUE()</f>
        <v>1</v>
      </c>
      <c r="I7" s="7" t="b">
        <f aca="false">TRUE()</f>
        <v>1</v>
      </c>
      <c r="J7" s="7" t="b">
        <f aca="false">TRUE()</f>
        <v>1</v>
      </c>
      <c r="K7" s="7" t="b">
        <f aca="false">TRUE()</f>
        <v>1</v>
      </c>
      <c r="L7" s="7" t="b">
        <f aca="false">TRUE()</f>
        <v>1</v>
      </c>
      <c r="M7" s="7" t="b">
        <f aca="false">TRUE()</f>
        <v>1</v>
      </c>
      <c r="N7" s="7" t="b">
        <f aca="false">TRUE()</f>
        <v>1</v>
      </c>
      <c r="O7" s="7" t="b">
        <f aca="false">TRUE()</f>
        <v>1</v>
      </c>
      <c r="P7" s="7" t="b">
        <f aca="false">TRUE()</f>
        <v>1</v>
      </c>
      <c r="Q7" s="7" t="b">
        <f aca="false">TRUE()</f>
        <v>1</v>
      </c>
      <c r="R7" s="7" t="b">
        <f aca="false">TRUE()</f>
        <v>1</v>
      </c>
      <c r="S7" s="7" t="b">
        <f aca="false">TRUE()</f>
        <v>1</v>
      </c>
      <c r="T7" s="7" t="b">
        <f aca="false">TRUE()</f>
        <v>1</v>
      </c>
      <c r="U7" s="7" t="b">
        <f aca="false">TRUE()</f>
        <v>1</v>
      </c>
      <c r="V7" s="7" t="b">
        <f aca="false">TRUE()</f>
        <v>1</v>
      </c>
      <c r="W7" s="7" t="b">
        <f aca="false">TRUE()</f>
        <v>1</v>
      </c>
      <c r="X7" s="7" t="b">
        <f aca="false">TRUE()</f>
        <v>1</v>
      </c>
      <c r="Y7" s="7" t="b">
        <f aca="false">TRUE()</f>
        <v>1</v>
      </c>
      <c r="Z7" s="7" t="b">
        <f aca="false">TRUE()</f>
        <v>1</v>
      </c>
      <c r="AA7" s="7" t="b">
        <f aca="false">TRUE()</f>
        <v>1</v>
      </c>
      <c r="AB7" s="7" t="b">
        <f aca="false">TRUE()</f>
        <v>1</v>
      </c>
      <c r="AC7" s="7" t="b">
        <f aca="false">TRUE()</f>
        <v>1</v>
      </c>
      <c r="AD7" s="7" t="b">
        <f aca="false">TRUE()</f>
        <v>1</v>
      </c>
      <c r="AE7" s="7" t="b">
        <f aca="false">TRUE()</f>
        <v>1</v>
      </c>
      <c r="AF7" s="7" t="b">
        <f aca="false">TRUE()</f>
        <v>1</v>
      </c>
      <c r="AG7" s="7" t="b">
        <f aca="false">TRUE()</f>
        <v>1</v>
      </c>
    </row>
    <row r="8" customFormat="false" ht="30" hidden="false" customHeight="true" outlineLevel="0" collapsed="false">
      <c r="A8" s="5" t="n">
        <v>3</v>
      </c>
      <c r="B8" s="5" t="s">
        <v>6</v>
      </c>
      <c r="C8" s="6" t="n">
        <f aca="false">COUNTIF(D8:AG8,"TRUE")</f>
        <v>30</v>
      </c>
      <c r="D8" s="7" t="b">
        <f aca="false">TRUE()</f>
        <v>1</v>
      </c>
      <c r="E8" s="7" t="b">
        <f aca="false">TRUE()</f>
        <v>1</v>
      </c>
      <c r="F8" s="7" t="b">
        <f aca="false">TRUE()</f>
        <v>1</v>
      </c>
      <c r="G8" s="7" t="b">
        <f aca="false">TRUE()</f>
        <v>1</v>
      </c>
      <c r="H8" s="7" t="b">
        <f aca="false">TRUE()</f>
        <v>1</v>
      </c>
      <c r="I8" s="7" t="b">
        <f aca="false">TRUE()</f>
        <v>1</v>
      </c>
      <c r="J8" s="7" t="b">
        <f aca="false">TRUE()</f>
        <v>1</v>
      </c>
      <c r="K8" s="7" t="b">
        <f aca="false">TRUE()</f>
        <v>1</v>
      </c>
      <c r="L8" s="7" t="b">
        <f aca="false">TRUE()</f>
        <v>1</v>
      </c>
      <c r="M8" s="7" t="b">
        <f aca="false">TRUE()</f>
        <v>1</v>
      </c>
      <c r="N8" s="7" t="b">
        <f aca="false">TRUE()</f>
        <v>1</v>
      </c>
      <c r="O8" s="7" t="b">
        <f aca="false">TRUE()</f>
        <v>1</v>
      </c>
      <c r="P8" s="7" t="b">
        <f aca="false">TRUE()</f>
        <v>1</v>
      </c>
      <c r="Q8" s="7" t="b">
        <f aca="false">TRUE()</f>
        <v>1</v>
      </c>
      <c r="R8" s="7" t="b">
        <f aca="false">TRUE()</f>
        <v>1</v>
      </c>
      <c r="S8" s="7" t="b">
        <f aca="false">TRUE()</f>
        <v>1</v>
      </c>
      <c r="T8" s="7" t="b">
        <f aca="false">TRUE()</f>
        <v>1</v>
      </c>
      <c r="U8" s="7" t="b">
        <f aca="false">TRUE()</f>
        <v>1</v>
      </c>
      <c r="V8" s="7" t="b">
        <f aca="false">TRUE()</f>
        <v>1</v>
      </c>
      <c r="W8" s="7" t="b">
        <f aca="false">TRUE()</f>
        <v>1</v>
      </c>
      <c r="X8" s="7" t="b">
        <f aca="false">TRUE()</f>
        <v>1</v>
      </c>
      <c r="Y8" s="7" t="b">
        <f aca="false">TRUE()</f>
        <v>1</v>
      </c>
      <c r="Z8" s="7" t="b">
        <f aca="false">TRUE()</f>
        <v>1</v>
      </c>
      <c r="AA8" s="7" t="b">
        <f aca="false">TRUE()</f>
        <v>1</v>
      </c>
      <c r="AB8" s="7" t="b">
        <f aca="false">TRUE()</f>
        <v>1</v>
      </c>
      <c r="AC8" s="7" t="b">
        <f aca="false">TRUE()</f>
        <v>1</v>
      </c>
      <c r="AD8" s="7" t="b">
        <f aca="false">TRUE()</f>
        <v>1</v>
      </c>
      <c r="AE8" s="7" t="b">
        <f aca="false">TRUE()</f>
        <v>1</v>
      </c>
      <c r="AF8" s="7" t="b">
        <f aca="false">TRUE()</f>
        <v>1</v>
      </c>
      <c r="AG8" s="7" t="b">
        <f aca="false">TRUE()</f>
        <v>1</v>
      </c>
    </row>
    <row r="9" customFormat="false" ht="30" hidden="false" customHeight="true" outlineLevel="0" collapsed="false">
      <c r="A9" s="5" t="n">
        <v>4</v>
      </c>
      <c r="B9" s="5" t="s">
        <v>7</v>
      </c>
      <c r="C9" s="6" t="n">
        <f aca="false">COUNTIF(D9:AG9,"TRUE")</f>
        <v>30</v>
      </c>
      <c r="D9" s="7" t="b">
        <f aca="false">TRUE()</f>
        <v>1</v>
      </c>
      <c r="E9" s="7" t="b">
        <f aca="false">TRUE()</f>
        <v>1</v>
      </c>
      <c r="F9" s="7" t="b">
        <f aca="false">TRUE()</f>
        <v>1</v>
      </c>
      <c r="G9" s="7" t="b">
        <f aca="false">TRUE()</f>
        <v>1</v>
      </c>
      <c r="H9" s="7" t="b">
        <f aca="false">TRUE()</f>
        <v>1</v>
      </c>
      <c r="I9" s="7" t="b">
        <f aca="false">TRUE()</f>
        <v>1</v>
      </c>
      <c r="J9" s="7" t="b">
        <f aca="false">TRUE()</f>
        <v>1</v>
      </c>
      <c r="K9" s="7" t="b">
        <f aca="false">TRUE()</f>
        <v>1</v>
      </c>
      <c r="L9" s="7" t="b">
        <f aca="false">TRUE()</f>
        <v>1</v>
      </c>
      <c r="M9" s="7" t="b">
        <f aca="false">TRUE()</f>
        <v>1</v>
      </c>
      <c r="N9" s="7" t="b">
        <f aca="false">TRUE()</f>
        <v>1</v>
      </c>
      <c r="O9" s="7" t="b">
        <f aca="false">TRUE()</f>
        <v>1</v>
      </c>
      <c r="P9" s="7" t="b">
        <f aca="false">TRUE()</f>
        <v>1</v>
      </c>
      <c r="Q9" s="7" t="b">
        <f aca="false">TRUE()</f>
        <v>1</v>
      </c>
      <c r="R9" s="7" t="b">
        <f aca="false">TRUE()</f>
        <v>1</v>
      </c>
      <c r="S9" s="7" t="b">
        <f aca="false">TRUE()</f>
        <v>1</v>
      </c>
      <c r="T9" s="7" t="b">
        <f aca="false">TRUE()</f>
        <v>1</v>
      </c>
      <c r="U9" s="7" t="b">
        <f aca="false">TRUE()</f>
        <v>1</v>
      </c>
      <c r="V9" s="7" t="b">
        <f aca="false">TRUE()</f>
        <v>1</v>
      </c>
      <c r="W9" s="7" t="b">
        <f aca="false">TRUE()</f>
        <v>1</v>
      </c>
      <c r="X9" s="7" t="b">
        <f aca="false">TRUE()</f>
        <v>1</v>
      </c>
      <c r="Y9" s="7" t="b">
        <f aca="false">TRUE()</f>
        <v>1</v>
      </c>
      <c r="Z9" s="7" t="b">
        <f aca="false">TRUE()</f>
        <v>1</v>
      </c>
      <c r="AA9" s="7" t="b">
        <f aca="false">TRUE()</f>
        <v>1</v>
      </c>
      <c r="AB9" s="7" t="b">
        <f aca="false">TRUE()</f>
        <v>1</v>
      </c>
      <c r="AC9" s="7" t="b">
        <f aca="false">TRUE()</f>
        <v>1</v>
      </c>
      <c r="AD9" s="7" t="b">
        <f aca="false">TRUE()</f>
        <v>1</v>
      </c>
      <c r="AE9" s="7" t="b">
        <f aca="false">TRUE()</f>
        <v>1</v>
      </c>
      <c r="AF9" s="7" t="b">
        <f aca="false">TRUE()</f>
        <v>1</v>
      </c>
      <c r="AG9" s="7" t="b">
        <f aca="false">TRUE()</f>
        <v>1</v>
      </c>
    </row>
    <row r="10" customFormat="false" ht="30" hidden="false" customHeight="true" outlineLevel="0" collapsed="false">
      <c r="A10" s="5" t="n">
        <v>5</v>
      </c>
      <c r="B10" s="5" t="s">
        <v>8</v>
      </c>
      <c r="C10" s="6" t="n">
        <f aca="false">COUNTIF(D10:AG10,"TRUE")</f>
        <v>30</v>
      </c>
      <c r="D10" s="7" t="b">
        <f aca="false">TRUE()</f>
        <v>1</v>
      </c>
      <c r="E10" s="7" t="b">
        <f aca="false">TRUE()</f>
        <v>1</v>
      </c>
      <c r="F10" s="7" t="b">
        <f aca="false">TRUE()</f>
        <v>1</v>
      </c>
      <c r="G10" s="7" t="b">
        <f aca="false">TRUE()</f>
        <v>1</v>
      </c>
      <c r="H10" s="7" t="b">
        <f aca="false">TRUE()</f>
        <v>1</v>
      </c>
      <c r="I10" s="7" t="b">
        <f aca="false">TRUE()</f>
        <v>1</v>
      </c>
      <c r="J10" s="7" t="b">
        <f aca="false">TRUE()</f>
        <v>1</v>
      </c>
      <c r="K10" s="7" t="b">
        <f aca="false">TRUE()</f>
        <v>1</v>
      </c>
      <c r="L10" s="7" t="b">
        <f aca="false">TRUE()</f>
        <v>1</v>
      </c>
      <c r="M10" s="7" t="b">
        <f aca="false">TRUE()</f>
        <v>1</v>
      </c>
      <c r="N10" s="7" t="b">
        <f aca="false">TRUE()</f>
        <v>1</v>
      </c>
      <c r="O10" s="7" t="b">
        <f aca="false">TRUE()</f>
        <v>1</v>
      </c>
      <c r="P10" s="7" t="b">
        <f aca="false">TRUE()</f>
        <v>1</v>
      </c>
      <c r="Q10" s="7" t="b">
        <f aca="false">TRUE()</f>
        <v>1</v>
      </c>
      <c r="R10" s="7" t="b">
        <f aca="false">TRUE()</f>
        <v>1</v>
      </c>
      <c r="S10" s="7" t="b">
        <f aca="false">TRUE()</f>
        <v>1</v>
      </c>
      <c r="T10" s="7" t="b">
        <f aca="false">TRUE()</f>
        <v>1</v>
      </c>
      <c r="U10" s="7" t="b">
        <f aca="false">TRUE()</f>
        <v>1</v>
      </c>
      <c r="V10" s="7" t="b">
        <f aca="false">TRUE()</f>
        <v>1</v>
      </c>
      <c r="W10" s="7" t="b">
        <f aca="false">TRUE()</f>
        <v>1</v>
      </c>
      <c r="X10" s="7" t="b">
        <f aca="false">TRUE()</f>
        <v>1</v>
      </c>
      <c r="Y10" s="7" t="b">
        <f aca="false">TRUE()</f>
        <v>1</v>
      </c>
      <c r="Z10" s="7" t="b">
        <f aca="false">TRUE()</f>
        <v>1</v>
      </c>
      <c r="AA10" s="7" t="b">
        <f aca="false">TRUE()</f>
        <v>1</v>
      </c>
      <c r="AB10" s="7" t="b">
        <f aca="false">TRUE()</f>
        <v>1</v>
      </c>
      <c r="AC10" s="7" t="b">
        <f aca="false">TRUE()</f>
        <v>1</v>
      </c>
      <c r="AD10" s="7" t="b">
        <f aca="false">TRUE()</f>
        <v>1</v>
      </c>
      <c r="AE10" s="7" t="b">
        <f aca="false">TRUE()</f>
        <v>1</v>
      </c>
      <c r="AF10" s="7" t="b">
        <f aca="false">TRUE()</f>
        <v>1</v>
      </c>
      <c r="AG10" s="7" t="b">
        <f aca="false">TRUE()</f>
        <v>1</v>
      </c>
    </row>
    <row r="11" customFormat="false" ht="30" hidden="false" customHeight="true" outlineLevel="0" collapsed="false">
      <c r="A11" s="5" t="n">
        <v>6</v>
      </c>
      <c r="B11" s="5" t="s">
        <v>9</v>
      </c>
      <c r="C11" s="6" t="n">
        <f aca="false">COUNTIF(D11:AG11,"TRUE")</f>
        <v>30</v>
      </c>
      <c r="D11" s="7" t="b">
        <f aca="false">TRUE()</f>
        <v>1</v>
      </c>
      <c r="E11" s="7" t="b">
        <f aca="false">TRUE()</f>
        <v>1</v>
      </c>
      <c r="F11" s="7" t="b">
        <f aca="false">TRUE()</f>
        <v>1</v>
      </c>
      <c r="G11" s="7" t="b">
        <f aca="false">TRUE()</f>
        <v>1</v>
      </c>
      <c r="H11" s="7" t="b">
        <f aca="false">TRUE()</f>
        <v>1</v>
      </c>
      <c r="I11" s="7" t="b">
        <f aca="false">TRUE()</f>
        <v>1</v>
      </c>
      <c r="J11" s="7" t="b">
        <f aca="false">TRUE()</f>
        <v>1</v>
      </c>
      <c r="K11" s="7" t="b">
        <f aca="false">TRUE()</f>
        <v>1</v>
      </c>
      <c r="L11" s="7" t="b">
        <f aca="false">TRUE()</f>
        <v>1</v>
      </c>
      <c r="M11" s="7" t="b">
        <f aca="false">TRUE()</f>
        <v>1</v>
      </c>
      <c r="N11" s="7" t="b">
        <f aca="false">TRUE()</f>
        <v>1</v>
      </c>
      <c r="O11" s="7" t="b">
        <f aca="false">TRUE()</f>
        <v>1</v>
      </c>
      <c r="P11" s="7" t="b">
        <f aca="false">TRUE()</f>
        <v>1</v>
      </c>
      <c r="Q11" s="7" t="b">
        <f aca="false">TRUE()</f>
        <v>1</v>
      </c>
      <c r="R11" s="7" t="b">
        <f aca="false">TRUE()</f>
        <v>1</v>
      </c>
      <c r="S11" s="7" t="b">
        <f aca="false">TRUE()</f>
        <v>1</v>
      </c>
      <c r="T11" s="7" t="b">
        <f aca="false">TRUE()</f>
        <v>1</v>
      </c>
      <c r="U11" s="7" t="b">
        <f aca="false">TRUE()</f>
        <v>1</v>
      </c>
      <c r="V11" s="7" t="b">
        <f aca="false">TRUE()</f>
        <v>1</v>
      </c>
      <c r="W11" s="7" t="b">
        <f aca="false">TRUE()</f>
        <v>1</v>
      </c>
      <c r="X11" s="7" t="b">
        <f aca="false">TRUE()</f>
        <v>1</v>
      </c>
      <c r="Y11" s="7" t="b">
        <f aca="false">TRUE()</f>
        <v>1</v>
      </c>
      <c r="Z11" s="7" t="b">
        <f aca="false">TRUE()</f>
        <v>1</v>
      </c>
      <c r="AA11" s="7" t="b">
        <f aca="false">TRUE()</f>
        <v>1</v>
      </c>
      <c r="AB11" s="7" t="b">
        <f aca="false">TRUE()</f>
        <v>1</v>
      </c>
      <c r="AC11" s="7" t="b">
        <f aca="false">TRUE()</f>
        <v>1</v>
      </c>
      <c r="AD11" s="7" t="b">
        <f aca="false">TRUE()</f>
        <v>1</v>
      </c>
      <c r="AE11" s="7" t="b">
        <f aca="false">TRUE()</f>
        <v>1</v>
      </c>
      <c r="AF11" s="7" t="b">
        <f aca="false">TRUE()</f>
        <v>1</v>
      </c>
      <c r="AG11" s="7" t="b">
        <f aca="false">TRUE()</f>
        <v>1</v>
      </c>
    </row>
    <row r="12" customFormat="false" ht="30" hidden="false" customHeight="true" outlineLevel="0" collapsed="false">
      <c r="A12" s="5" t="n">
        <v>7</v>
      </c>
      <c r="B12" s="5" t="s">
        <v>10</v>
      </c>
      <c r="C12" s="6" t="n">
        <f aca="false">COUNTIF(D12:AG12,"TRUE")</f>
        <v>18</v>
      </c>
      <c r="D12" s="8" t="b">
        <f aca="false">TRUE()</f>
        <v>1</v>
      </c>
      <c r="E12" s="8" t="b">
        <f aca="false">TRUE()</f>
        <v>1</v>
      </c>
      <c r="F12" s="8" t="b">
        <f aca="false">TRUE()</f>
        <v>1</v>
      </c>
      <c r="G12" s="8" t="b">
        <f aca="false">TRUE()</f>
        <v>1</v>
      </c>
      <c r="H12" s="8" t="b">
        <f aca="false">TRUE()</f>
        <v>1</v>
      </c>
      <c r="I12" s="8" t="b">
        <f aca="false">TRUE()</f>
        <v>1</v>
      </c>
      <c r="J12" s="8" t="b">
        <f aca="false">TRUE()</f>
        <v>1</v>
      </c>
      <c r="K12" s="8" t="b">
        <f aca="false">TRUE()</f>
        <v>1</v>
      </c>
      <c r="L12" s="8" t="b">
        <f aca="false">TRUE()</f>
        <v>1</v>
      </c>
      <c r="M12" s="8" t="b">
        <f aca="false">TRUE()</f>
        <v>1</v>
      </c>
      <c r="N12" s="8" t="b">
        <f aca="false">TRUE()</f>
        <v>1</v>
      </c>
      <c r="O12" s="8" t="b">
        <f aca="false">TRUE()</f>
        <v>1</v>
      </c>
      <c r="P12" s="8" t="b">
        <f aca="false">TRUE()</f>
        <v>1</v>
      </c>
      <c r="Q12" s="8" t="b">
        <f aca="false">FALSE()</f>
        <v>0</v>
      </c>
      <c r="R12" s="8" t="b">
        <f aca="false">FALSE()</f>
        <v>0</v>
      </c>
      <c r="S12" s="8" t="b">
        <f aca="false">FALSE()</f>
        <v>0</v>
      </c>
      <c r="T12" s="8" t="b">
        <f aca="false">FALSE()</f>
        <v>0</v>
      </c>
      <c r="U12" s="8" t="b">
        <f aca="false">FALSE()</f>
        <v>0</v>
      </c>
      <c r="V12" s="8" t="b">
        <f aca="false">FALSE()</f>
        <v>0</v>
      </c>
      <c r="W12" s="8" t="b">
        <f aca="false">FALSE()</f>
        <v>0</v>
      </c>
      <c r="X12" s="8" t="b">
        <f aca="false">FALSE()</f>
        <v>0</v>
      </c>
      <c r="Y12" s="8" t="b">
        <f aca="false">FALSE()</f>
        <v>0</v>
      </c>
      <c r="Z12" s="8" t="b">
        <f aca="false">FALSE()</f>
        <v>0</v>
      </c>
      <c r="AA12" s="8" t="b">
        <f aca="false">FALSE()</f>
        <v>0</v>
      </c>
      <c r="AB12" s="8" t="b">
        <f aca="false">FALSE()</f>
        <v>0</v>
      </c>
      <c r="AC12" s="8" t="b">
        <f aca="false">TRUE()</f>
        <v>1</v>
      </c>
      <c r="AD12" s="8" t="b">
        <f aca="false">TRUE()</f>
        <v>1</v>
      </c>
      <c r="AE12" s="8" t="b">
        <f aca="false">TRUE()</f>
        <v>1</v>
      </c>
      <c r="AF12" s="8" t="b">
        <f aca="false">TRUE()</f>
        <v>1</v>
      </c>
      <c r="AG12" s="8" t="b">
        <f aca="false">TRUE()</f>
        <v>1</v>
      </c>
    </row>
    <row r="13" customFormat="false" ht="30" hidden="false" customHeight="true" outlineLevel="0" collapsed="false">
      <c r="A13" s="5" t="n">
        <v>8</v>
      </c>
      <c r="B13" s="5" t="s">
        <v>11</v>
      </c>
      <c r="C13" s="6" t="n">
        <f aca="false">COUNTIF(D13:AG13,"TRUE")</f>
        <v>14</v>
      </c>
      <c r="D13" s="8" t="b">
        <f aca="false">TRUE()</f>
        <v>1</v>
      </c>
      <c r="E13" s="8" t="b">
        <f aca="false">TRUE()</f>
        <v>1</v>
      </c>
      <c r="F13" s="8" t="b">
        <f aca="false">TRUE()</f>
        <v>1</v>
      </c>
      <c r="G13" s="8" t="b">
        <f aca="false">TRUE()</f>
        <v>1</v>
      </c>
      <c r="H13" s="8" t="b">
        <f aca="false">TRUE()</f>
        <v>1</v>
      </c>
      <c r="I13" s="8" t="b">
        <f aca="false">TRUE()</f>
        <v>1</v>
      </c>
      <c r="J13" s="8" t="b">
        <f aca="false">TRUE()</f>
        <v>1</v>
      </c>
      <c r="K13" s="8" t="b">
        <f aca="false">TRUE()</f>
        <v>1</v>
      </c>
      <c r="L13" s="8" t="b">
        <f aca="false">TRUE()</f>
        <v>1</v>
      </c>
      <c r="M13" s="8" t="b">
        <f aca="false">FALSE()</f>
        <v>0</v>
      </c>
      <c r="N13" s="8" t="b">
        <f aca="false">FALSE()</f>
        <v>0</v>
      </c>
      <c r="O13" s="8" t="b">
        <f aca="false">FALSE()</f>
        <v>0</v>
      </c>
      <c r="P13" s="8" t="b">
        <f aca="false">FALSE()</f>
        <v>0</v>
      </c>
      <c r="Q13" s="8" t="b">
        <f aca="false">FALSE()</f>
        <v>0</v>
      </c>
      <c r="R13" s="8" t="b">
        <f aca="false">FALSE()</f>
        <v>0</v>
      </c>
      <c r="S13" s="8" t="b">
        <f aca="false">FALSE()</f>
        <v>0</v>
      </c>
      <c r="T13" s="8" t="b">
        <f aca="false">FALSE()</f>
        <v>0</v>
      </c>
      <c r="U13" s="8" t="b">
        <f aca="false">FALSE()</f>
        <v>0</v>
      </c>
      <c r="V13" s="8" t="b">
        <f aca="false">FALSE()</f>
        <v>0</v>
      </c>
      <c r="W13" s="8" t="b">
        <f aca="false">FALSE()</f>
        <v>0</v>
      </c>
      <c r="X13" s="8" t="b">
        <f aca="false">FALSE()</f>
        <v>0</v>
      </c>
      <c r="Y13" s="8" t="b">
        <f aca="false">FALSE()</f>
        <v>0</v>
      </c>
      <c r="Z13" s="8" t="b">
        <f aca="false">FALSE()</f>
        <v>0</v>
      </c>
      <c r="AA13" s="8" t="b">
        <f aca="false">FALSE()</f>
        <v>0</v>
      </c>
      <c r="AB13" s="8" t="b">
        <f aca="false">FALSE()</f>
        <v>0</v>
      </c>
      <c r="AC13" s="8" t="b">
        <f aca="false">TRUE()</f>
        <v>1</v>
      </c>
      <c r="AD13" s="8" t="b">
        <f aca="false">TRUE()</f>
        <v>1</v>
      </c>
      <c r="AE13" s="8" t="b">
        <f aca="false">TRUE()</f>
        <v>1</v>
      </c>
      <c r="AF13" s="8" t="b">
        <f aca="false">TRUE()</f>
        <v>1</v>
      </c>
      <c r="AG13" s="8" t="b">
        <f aca="false">TRUE()</f>
        <v>1</v>
      </c>
    </row>
    <row r="14" customFormat="false" ht="30" hidden="false" customHeight="true" outlineLevel="0" collapsed="false">
      <c r="A14" s="5" t="n">
        <v>9</v>
      </c>
      <c r="B14" s="5" t="s">
        <v>12</v>
      </c>
      <c r="C14" s="6" t="n">
        <f aca="false">COUNTIF(D14:AG14,"TRUE")</f>
        <v>13</v>
      </c>
      <c r="D14" s="8" t="b">
        <f aca="false">TRUE()</f>
        <v>1</v>
      </c>
      <c r="E14" s="8" t="b">
        <f aca="false">TRUE()</f>
        <v>1</v>
      </c>
      <c r="F14" s="8" t="b">
        <f aca="false">TRUE()</f>
        <v>1</v>
      </c>
      <c r="G14" s="8" t="b">
        <f aca="false">TRUE()</f>
        <v>1</v>
      </c>
      <c r="H14" s="8" t="b">
        <f aca="false">TRUE()</f>
        <v>1</v>
      </c>
      <c r="I14" s="8" t="b">
        <f aca="false">TRUE()</f>
        <v>1</v>
      </c>
      <c r="J14" s="8" t="b">
        <f aca="false">TRUE()</f>
        <v>1</v>
      </c>
      <c r="K14" s="8" t="b">
        <f aca="false">TRUE()</f>
        <v>1</v>
      </c>
      <c r="L14" s="8" t="b">
        <f aca="false">TRUE()</f>
        <v>1</v>
      </c>
      <c r="M14" s="8" t="b">
        <f aca="false">TRUE()</f>
        <v>1</v>
      </c>
      <c r="N14" s="8" t="b">
        <f aca="false">TRUE()</f>
        <v>1</v>
      </c>
      <c r="O14" s="8" t="b">
        <f aca="false">TRUE()</f>
        <v>1</v>
      </c>
      <c r="P14" s="8" t="b">
        <f aca="false">FALSE()</f>
        <v>0</v>
      </c>
      <c r="Q14" s="8" t="b">
        <f aca="false">FALSE()</f>
        <v>0</v>
      </c>
      <c r="R14" s="8" t="b">
        <f aca="false">FALSE()</f>
        <v>0</v>
      </c>
      <c r="S14" s="8" t="b">
        <f aca="false">FALSE()</f>
        <v>0</v>
      </c>
      <c r="T14" s="8" t="b">
        <f aca="false">FALSE()</f>
        <v>0</v>
      </c>
      <c r="U14" s="8" t="b">
        <f aca="false">FALSE()</f>
        <v>0</v>
      </c>
      <c r="V14" s="8" t="b">
        <f aca="false">FALSE()</f>
        <v>0</v>
      </c>
      <c r="W14" s="8" t="b">
        <f aca="false">FALSE()</f>
        <v>0</v>
      </c>
      <c r="X14" s="8" t="b">
        <f aca="false">FALSE()</f>
        <v>0</v>
      </c>
      <c r="Y14" s="8" t="b">
        <f aca="false">FALSE()</f>
        <v>0</v>
      </c>
      <c r="Z14" s="8" t="b">
        <f aca="false">FALSE()</f>
        <v>0</v>
      </c>
      <c r="AA14" s="8" t="b">
        <f aca="false">FALSE()</f>
        <v>0</v>
      </c>
      <c r="AB14" s="8" t="b">
        <f aca="false">FALSE()</f>
        <v>0</v>
      </c>
      <c r="AC14" s="8" t="b">
        <f aca="false">FALSE()</f>
        <v>0</v>
      </c>
      <c r="AD14" s="8" t="b">
        <f aca="false">FALSE()</f>
        <v>0</v>
      </c>
      <c r="AE14" s="8" t="b">
        <f aca="false">FALSE()</f>
        <v>0</v>
      </c>
      <c r="AF14" s="8" t="b">
        <f aca="false">FALSE()</f>
        <v>0</v>
      </c>
      <c r="AG14" s="8" t="b">
        <f aca="false">TRUE()</f>
        <v>1</v>
      </c>
    </row>
    <row r="15" customFormat="false" ht="30" hidden="false" customHeight="true" outlineLevel="0" collapsed="false">
      <c r="A15" s="5" t="n">
        <v>10</v>
      </c>
      <c r="B15" s="5" t="s">
        <v>13</v>
      </c>
      <c r="C15" s="6" t="n">
        <f aca="false">COUNTIF(D15:AG15,"TRUE")</f>
        <v>12</v>
      </c>
      <c r="D15" s="8" t="b">
        <f aca="false">TRUE()</f>
        <v>1</v>
      </c>
      <c r="E15" s="8" t="b">
        <f aca="false">TRUE()</f>
        <v>1</v>
      </c>
      <c r="F15" s="8" t="b">
        <f aca="false">TRUE()</f>
        <v>1</v>
      </c>
      <c r="G15" s="8" t="b">
        <f aca="false">TRUE()</f>
        <v>1</v>
      </c>
      <c r="H15" s="8" t="b">
        <f aca="false">TRUE()</f>
        <v>1</v>
      </c>
      <c r="I15" s="8" t="b">
        <f aca="false">TRUE()</f>
        <v>1</v>
      </c>
      <c r="J15" s="8" t="b">
        <f aca="false">TRUE()</f>
        <v>1</v>
      </c>
      <c r="K15" s="8" t="b">
        <f aca="false">TRUE()</f>
        <v>1</v>
      </c>
      <c r="L15" s="8" t="b">
        <f aca="false">TRUE()</f>
        <v>1</v>
      </c>
      <c r="M15" s="8" t="b">
        <f aca="false">TRUE()</f>
        <v>1</v>
      </c>
      <c r="N15" s="8" t="b">
        <f aca="false">FALSE()</f>
        <v>0</v>
      </c>
      <c r="O15" s="8" t="b">
        <f aca="false">FALSE()</f>
        <v>0</v>
      </c>
      <c r="P15" s="8" t="b">
        <f aca="false">FALSE()</f>
        <v>0</v>
      </c>
      <c r="Q15" s="8" t="b">
        <f aca="false">FALSE()</f>
        <v>0</v>
      </c>
      <c r="R15" s="8" t="b">
        <f aca="false">FALSE()</f>
        <v>0</v>
      </c>
      <c r="S15" s="8" t="b">
        <f aca="false">FALSE()</f>
        <v>0</v>
      </c>
      <c r="T15" s="8" t="b">
        <f aca="false">FALSE()</f>
        <v>0</v>
      </c>
      <c r="U15" s="8" t="b">
        <f aca="false">FALSE()</f>
        <v>0</v>
      </c>
      <c r="V15" s="8" t="b">
        <f aca="false">FALSE()</f>
        <v>0</v>
      </c>
      <c r="W15" s="8" t="b">
        <f aca="false">FALSE()</f>
        <v>0</v>
      </c>
      <c r="X15" s="8" t="b">
        <f aca="false">FALSE()</f>
        <v>0</v>
      </c>
      <c r="Y15" s="8" t="b">
        <f aca="false">FALSE()</f>
        <v>0</v>
      </c>
      <c r="Z15" s="8" t="b">
        <f aca="false">FALSE()</f>
        <v>0</v>
      </c>
      <c r="AA15" s="8" t="b">
        <f aca="false">FALSE()</f>
        <v>0</v>
      </c>
      <c r="AB15" s="8" t="b">
        <f aca="false">FALSE()</f>
        <v>0</v>
      </c>
      <c r="AC15" s="8" t="b">
        <f aca="false">FALSE()</f>
        <v>0</v>
      </c>
      <c r="AD15" s="8" t="b">
        <f aca="false">FALSE()</f>
        <v>0</v>
      </c>
      <c r="AE15" s="8" t="b">
        <f aca="false">FALSE()</f>
        <v>0</v>
      </c>
      <c r="AF15" s="8" t="b">
        <f aca="false">TRUE()</f>
        <v>1</v>
      </c>
      <c r="AG15" s="8" t="b">
        <f aca="false">TRUE()</f>
        <v>1</v>
      </c>
    </row>
    <row r="16" customFormat="false" ht="30" hidden="false" customHeight="true" outlineLevel="0" collapsed="false">
      <c r="A16" s="5" t="n">
        <v>11</v>
      </c>
      <c r="B16" s="5" t="s">
        <v>14</v>
      </c>
      <c r="C16" s="6" t="n">
        <f aca="false">COUNTIF(D16:AG16,"TRUE")</f>
        <v>12</v>
      </c>
      <c r="D16" s="8" t="b">
        <f aca="false">TRUE()</f>
        <v>1</v>
      </c>
      <c r="E16" s="8" t="b">
        <f aca="false">TRUE()</f>
        <v>1</v>
      </c>
      <c r="F16" s="8" t="b">
        <f aca="false">TRUE()</f>
        <v>1</v>
      </c>
      <c r="G16" s="8" t="b">
        <f aca="false">TRUE()</f>
        <v>1</v>
      </c>
      <c r="H16" s="8" t="b">
        <f aca="false">TRUE()</f>
        <v>1</v>
      </c>
      <c r="I16" s="8" t="b">
        <f aca="false">TRUE()</f>
        <v>1</v>
      </c>
      <c r="J16" s="8" t="b">
        <f aca="false">TRUE()</f>
        <v>1</v>
      </c>
      <c r="K16" s="8" t="b">
        <f aca="false">TRUE()</f>
        <v>1</v>
      </c>
      <c r="L16" s="8" t="b">
        <f aca="false">TRUE()</f>
        <v>1</v>
      </c>
      <c r="M16" s="8" t="b">
        <f aca="false">TRUE()</f>
        <v>1</v>
      </c>
      <c r="N16" s="8" t="b">
        <f aca="false">FALSE()</f>
        <v>0</v>
      </c>
      <c r="O16" s="8" t="b">
        <f aca="false">FALSE()</f>
        <v>0</v>
      </c>
      <c r="P16" s="8" t="b">
        <f aca="false">FALSE()</f>
        <v>0</v>
      </c>
      <c r="Q16" s="8" t="b">
        <f aca="false">FALSE()</f>
        <v>0</v>
      </c>
      <c r="R16" s="8" t="b">
        <f aca="false">FALSE()</f>
        <v>0</v>
      </c>
      <c r="S16" s="8" t="b">
        <f aca="false">FALSE()</f>
        <v>0</v>
      </c>
      <c r="T16" s="8" t="b">
        <f aca="false">FALSE()</f>
        <v>0</v>
      </c>
      <c r="U16" s="8" t="b">
        <f aca="false">FALSE()</f>
        <v>0</v>
      </c>
      <c r="V16" s="8" t="b">
        <f aca="false">FALSE()</f>
        <v>0</v>
      </c>
      <c r="W16" s="8" t="b">
        <f aca="false">FALSE()</f>
        <v>0</v>
      </c>
      <c r="X16" s="8" t="b">
        <f aca="false">FALSE()</f>
        <v>0</v>
      </c>
      <c r="Y16" s="8" t="b">
        <f aca="false">FALSE()</f>
        <v>0</v>
      </c>
      <c r="Z16" s="8" t="b">
        <f aca="false">FALSE()</f>
        <v>0</v>
      </c>
      <c r="AA16" s="8" t="b">
        <f aca="false">FALSE()</f>
        <v>0</v>
      </c>
      <c r="AB16" s="8" t="b">
        <f aca="false">FALSE()</f>
        <v>0</v>
      </c>
      <c r="AC16" s="8" t="b">
        <f aca="false">FALSE()</f>
        <v>0</v>
      </c>
      <c r="AD16" s="8" t="b">
        <f aca="false">FALSE()</f>
        <v>0</v>
      </c>
      <c r="AE16" s="8" t="b">
        <f aca="false">FALSE()</f>
        <v>0</v>
      </c>
      <c r="AF16" s="8" t="b">
        <f aca="false">TRUE()</f>
        <v>1</v>
      </c>
      <c r="AG16" s="8" t="b">
        <f aca="false">TRUE()</f>
        <v>1</v>
      </c>
    </row>
    <row r="17" customFormat="false" ht="30" hidden="false" customHeight="true" outlineLevel="0" collapsed="false">
      <c r="A17" s="5" t="n">
        <v>12</v>
      </c>
      <c r="B17" s="5" t="s">
        <v>15</v>
      </c>
      <c r="C17" s="6" t="n">
        <f aca="false">COUNTIF(D17:AG17,"TRUE")</f>
        <v>12</v>
      </c>
      <c r="D17" s="8" t="b">
        <f aca="false">TRUE()</f>
        <v>1</v>
      </c>
      <c r="E17" s="8" t="b">
        <f aca="false">TRUE()</f>
        <v>1</v>
      </c>
      <c r="F17" s="8" t="b">
        <f aca="false">TRUE()</f>
        <v>1</v>
      </c>
      <c r="G17" s="8" t="b">
        <f aca="false">TRUE()</f>
        <v>1</v>
      </c>
      <c r="H17" s="8" t="b">
        <f aca="false">TRUE()</f>
        <v>1</v>
      </c>
      <c r="I17" s="8" t="b">
        <f aca="false">TRUE()</f>
        <v>1</v>
      </c>
      <c r="J17" s="8" t="b">
        <f aca="false">TRUE()</f>
        <v>1</v>
      </c>
      <c r="K17" s="8" t="b">
        <f aca="false">FALSE()</f>
        <v>0</v>
      </c>
      <c r="L17" s="8" t="b">
        <f aca="false">FALSE()</f>
        <v>0</v>
      </c>
      <c r="M17" s="8" t="b">
        <f aca="false">FALSE()</f>
        <v>0</v>
      </c>
      <c r="N17" s="8" t="b">
        <f aca="false">FALSE()</f>
        <v>0</v>
      </c>
      <c r="O17" s="8" t="b">
        <f aca="false">FALSE()</f>
        <v>0</v>
      </c>
      <c r="P17" s="8" t="b">
        <f aca="false">FALSE()</f>
        <v>0</v>
      </c>
      <c r="Q17" s="8" t="b">
        <f aca="false">FALSE()</f>
        <v>0</v>
      </c>
      <c r="R17" s="8" t="b">
        <f aca="false">FALSE()</f>
        <v>0</v>
      </c>
      <c r="S17" s="8" t="b">
        <f aca="false">FALSE()</f>
        <v>0</v>
      </c>
      <c r="T17" s="8" t="b">
        <f aca="false">FALSE()</f>
        <v>0</v>
      </c>
      <c r="U17" s="8" t="b">
        <f aca="false">FALSE()</f>
        <v>0</v>
      </c>
      <c r="V17" s="8" t="b">
        <f aca="false">FALSE()</f>
        <v>0</v>
      </c>
      <c r="W17" s="8" t="b">
        <f aca="false">FALSE()</f>
        <v>0</v>
      </c>
      <c r="X17" s="8" t="b">
        <f aca="false">FALSE()</f>
        <v>0</v>
      </c>
      <c r="Y17" s="8" t="b">
        <f aca="false">FALSE()</f>
        <v>0</v>
      </c>
      <c r="Z17" s="8" t="b">
        <f aca="false">FALSE()</f>
        <v>0</v>
      </c>
      <c r="AA17" s="8" t="b">
        <f aca="false">FALSE()</f>
        <v>0</v>
      </c>
      <c r="AB17" s="8" t="b">
        <f aca="false">FALSE()</f>
        <v>0</v>
      </c>
      <c r="AC17" s="8" t="b">
        <f aca="false">TRUE()</f>
        <v>1</v>
      </c>
      <c r="AD17" s="8" t="b">
        <f aca="false">TRUE()</f>
        <v>1</v>
      </c>
      <c r="AE17" s="8" t="b">
        <f aca="false">TRUE()</f>
        <v>1</v>
      </c>
      <c r="AF17" s="8" t="b">
        <f aca="false">TRUE()</f>
        <v>1</v>
      </c>
      <c r="AG17" s="8" t="b">
        <f aca="false">TRUE()</f>
        <v>1</v>
      </c>
    </row>
    <row r="18" customFormat="false" ht="30" hidden="false" customHeight="true" outlineLevel="0" collapsed="false">
      <c r="A18" s="5" t="n">
        <v>13</v>
      </c>
      <c r="B18" s="5" t="s">
        <v>16</v>
      </c>
      <c r="C18" s="6" t="n">
        <f aca="false">COUNTIF(D18:AG18,"TRUE")</f>
        <v>11</v>
      </c>
      <c r="D18" s="8" t="b">
        <f aca="false">TRUE()</f>
        <v>1</v>
      </c>
      <c r="E18" s="8" t="b">
        <f aca="false">TRUE()</f>
        <v>1</v>
      </c>
      <c r="F18" s="8" t="b">
        <f aca="false">TRUE()</f>
        <v>1</v>
      </c>
      <c r="G18" s="8" t="b">
        <f aca="false">TRUE()</f>
        <v>1</v>
      </c>
      <c r="H18" s="8" t="b">
        <f aca="false">TRUE()</f>
        <v>1</v>
      </c>
      <c r="I18" s="8" t="b">
        <f aca="false">TRUE()</f>
        <v>1</v>
      </c>
      <c r="J18" s="8" t="b">
        <f aca="false">FALSE()</f>
        <v>0</v>
      </c>
      <c r="K18" s="8" t="b">
        <f aca="false">FALSE()</f>
        <v>0</v>
      </c>
      <c r="L18" s="8" t="b">
        <f aca="false">FALSE()</f>
        <v>0</v>
      </c>
      <c r="M18" s="8" t="b">
        <f aca="false">FALSE()</f>
        <v>0</v>
      </c>
      <c r="N18" s="8" t="b">
        <f aca="false">FALSE()</f>
        <v>0</v>
      </c>
      <c r="O18" s="8" t="b">
        <f aca="false">FALSE()</f>
        <v>0</v>
      </c>
      <c r="P18" s="8" t="b">
        <f aca="false">FALSE()</f>
        <v>0</v>
      </c>
      <c r="Q18" s="8" t="b">
        <f aca="false">FALSE()</f>
        <v>0</v>
      </c>
      <c r="R18" s="8" t="b">
        <f aca="false">FALSE()</f>
        <v>0</v>
      </c>
      <c r="S18" s="8" t="b">
        <f aca="false">FALSE()</f>
        <v>0</v>
      </c>
      <c r="T18" s="8" t="b">
        <f aca="false">FALSE()</f>
        <v>0</v>
      </c>
      <c r="U18" s="8" t="b">
        <f aca="false">FALSE()</f>
        <v>0</v>
      </c>
      <c r="V18" s="8" t="b">
        <f aca="false">FALSE()</f>
        <v>0</v>
      </c>
      <c r="W18" s="8" t="b">
        <f aca="false">FALSE()</f>
        <v>0</v>
      </c>
      <c r="X18" s="8" t="b">
        <f aca="false">FALSE()</f>
        <v>0</v>
      </c>
      <c r="Y18" s="8" t="b">
        <f aca="false">FALSE()</f>
        <v>0</v>
      </c>
      <c r="Z18" s="8" t="b">
        <f aca="false">FALSE()</f>
        <v>0</v>
      </c>
      <c r="AA18" s="8" t="b">
        <f aca="false">FALSE()</f>
        <v>0</v>
      </c>
      <c r="AB18" s="8" t="b">
        <f aca="false">FALSE()</f>
        <v>0</v>
      </c>
      <c r="AC18" s="8" t="b">
        <f aca="false">TRUE()</f>
        <v>1</v>
      </c>
      <c r="AD18" s="8" t="b">
        <f aca="false">TRUE()</f>
        <v>1</v>
      </c>
      <c r="AE18" s="8" t="b">
        <f aca="false">TRUE()</f>
        <v>1</v>
      </c>
      <c r="AF18" s="8" t="b">
        <f aca="false">TRUE()</f>
        <v>1</v>
      </c>
      <c r="AG18" s="8" t="b">
        <f aca="false">TRUE()</f>
        <v>1</v>
      </c>
    </row>
    <row r="19" customFormat="false" ht="30" hidden="false" customHeight="true" outlineLevel="0" collapsed="false">
      <c r="A19" s="5" t="n">
        <v>14</v>
      </c>
      <c r="B19" s="5" t="s">
        <v>17</v>
      </c>
      <c r="C19" s="6" t="n">
        <f aca="false">COUNTIF(D19:AG19,"TRUE")</f>
        <v>10</v>
      </c>
      <c r="D19" s="9" t="b">
        <f aca="false">TRUE()</f>
        <v>1</v>
      </c>
      <c r="E19" s="9" t="b">
        <f aca="false">TRUE()</f>
        <v>1</v>
      </c>
      <c r="F19" s="9" t="b">
        <f aca="false">TRUE()</f>
        <v>1</v>
      </c>
      <c r="G19" s="9" t="b">
        <f aca="false">TRUE()</f>
        <v>1</v>
      </c>
      <c r="H19" s="9" t="b">
        <f aca="false">TRUE()</f>
        <v>1</v>
      </c>
      <c r="I19" s="9" t="b">
        <f aca="false">TRUE()</f>
        <v>1</v>
      </c>
      <c r="J19" s="9" t="b">
        <f aca="false">TRUE()</f>
        <v>1</v>
      </c>
      <c r="K19" s="9" t="b">
        <f aca="false">TRUE()</f>
        <v>1</v>
      </c>
      <c r="L19" s="9" t="b">
        <f aca="false">TRUE()</f>
        <v>1</v>
      </c>
      <c r="M19" s="9" t="b">
        <f aca="false">FALSE()</f>
        <v>0</v>
      </c>
      <c r="N19" s="9" t="b">
        <f aca="false">FALSE()</f>
        <v>0</v>
      </c>
      <c r="O19" s="9" t="b">
        <f aca="false">FALSE()</f>
        <v>0</v>
      </c>
      <c r="P19" s="9" t="b">
        <f aca="false">FALSE()</f>
        <v>0</v>
      </c>
      <c r="Q19" s="9" t="b">
        <f aca="false">FALSE()</f>
        <v>0</v>
      </c>
      <c r="R19" s="9" t="b">
        <f aca="false">FALSE()</f>
        <v>0</v>
      </c>
      <c r="S19" s="9" t="b">
        <f aca="false">FALSE()</f>
        <v>0</v>
      </c>
      <c r="T19" s="9" t="b">
        <f aca="false">FALSE()</f>
        <v>0</v>
      </c>
      <c r="U19" s="9" t="b">
        <f aca="false">FALSE()</f>
        <v>0</v>
      </c>
      <c r="V19" s="9" t="b">
        <f aca="false">FALSE()</f>
        <v>0</v>
      </c>
      <c r="W19" s="9" t="b">
        <f aca="false">FALSE()</f>
        <v>0</v>
      </c>
      <c r="X19" s="9" t="b">
        <f aca="false">FALSE()</f>
        <v>0</v>
      </c>
      <c r="Y19" s="9" t="b">
        <f aca="false">FALSE()</f>
        <v>0</v>
      </c>
      <c r="Z19" s="9" t="b">
        <f aca="false">FALSE()</f>
        <v>0</v>
      </c>
      <c r="AA19" s="9" t="b">
        <f aca="false">FALSE()</f>
        <v>0</v>
      </c>
      <c r="AB19" s="9" t="b">
        <f aca="false">FALSE()</f>
        <v>0</v>
      </c>
      <c r="AC19" s="9" t="b">
        <f aca="false">FALSE()</f>
        <v>0</v>
      </c>
      <c r="AD19" s="9" t="b">
        <f aca="false">FALSE()</f>
        <v>0</v>
      </c>
      <c r="AE19" s="9" t="b">
        <f aca="false">FALSE()</f>
        <v>0</v>
      </c>
      <c r="AF19" s="9" t="b">
        <f aca="false">FALSE()</f>
        <v>0</v>
      </c>
      <c r="AG19" s="9" t="b">
        <f aca="false">TRUE()</f>
        <v>1</v>
      </c>
    </row>
    <row r="20" customFormat="false" ht="30" hidden="false" customHeight="true" outlineLevel="0" collapsed="false">
      <c r="A20" s="5" t="n">
        <v>15</v>
      </c>
      <c r="B20" s="5" t="s">
        <v>18</v>
      </c>
      <c r="C20" s="6" t="n">
        <f aca="false">COUNTIF(D20:AG20,"TRUE")</f>
        <v>10</v>
      </c>
      <c r="D20" s="9" t="b">
        <f aca="false">TRUE()</f>
        <v>1</v>
      </c>
      <c r="E20" s="9" t="b">
        <f aca="false">TRUE()</f>
        <v>1</v>
      </c>
      <c r="F20" s="9" t="b">
        <f aca="false">TRUE()</f>
        <v>1</v>
      </c>
      <c r="G20" s="9" t="b">
        <f aca="false">TRUE()</f>
        <v>1</v>
      </c>
      <c r="H20" s="9" t="b">
        <f aca="false">TRUE()</f>
        <v>1</v>
      </c>
      <c r="I20" s="9" t="b">
        <f aca="false">TRUE()</f>
        <v>1</v>
      </c>
      <c r="J20" s="9" t="b">
        <f aca="false">TRUE()</f>
        <v>1</v>
      </c>
      <c r="K20" s="9" t="b">
        <f aca="false">TRUE()</f>
        <v>1</v>
      </c>
      <c r="L20" s="9" t="b">
        <f aca="false">FALSE()</f>
        <v>0</v>
      </c>
      <c r="M20" s="9" t="b">
        <f aca="false">FALSE()</f>
        <v>0</v>
      </c>
      <c r="N20" s="9" t="b">
        <f aca="false">FALSE()</f>
        <v>0</v>
      </c>
      <c r="O20" s="9" t="b">
        <f aca="false">FALSE()</f>
        <v>0</v>
      </c>
      <c r="P20" s="9" t="b">
        <f aca="false">FALSE()</f>
        <v>0</v>
      </c>
      <c r="Q20" s="9" t="b">
        <f aca="false">FALSE()</f>
        <v>0</v>
      </c>
      <c r="R20" s="9" t="b">
        <f aca="false">FALSE()</f>
        <v>0</v>
      </c>
      <c r="S20" s="9" t="b">
        <f aca="false">FALSE()</f>
        <v>0</v>
      </c>
      <c r="T20" s="9" t="b">
        <f aca="false">FALSE()</f>
        <v>0</v>
      </c>
      <c r="U20" s="9" t="b">
        <f aca="false">FALSE()</f>
        <v>0</v>
      </c>
      <c r="V20" s="9" t="b">
        <f aca="false">FALSE()</f>
        <v>0</v>
      </c>
      <c r="W20" s="9" t="b">
        <f aca="false">FALSE()</f>
        <v>0</v>
      </c>
      <c r="X20" s="9" t="b">
        <f aca="false">FALSE()</f>
        <v>0</v>
      </c>
      <c r="Y20" s="9" t="b">
        <f aca="false">FALSE()</f>
        <v>0</v>
      </c>
      <c r="Z20" s="9" t="b">
        <f aca="false">FALSE()</f>
        <v>0</v>
      </c>
      <c r="AA20" s="9" t="b">
        <f aca="false">FALSE()</f>
        <v>0</v>
      </c>
      <c r="AB20" s="9" t="b">
        <f aca="false">FALSE()</f>
        <v>0</v>
      </c>
      <c r="AC20" s="9" t="b">
        <f aca="false">FALSE()</f>
        <v>0</v>
      </c>
      <c r="AD20" s="9" t="b">
        <f aca="false">FALSE()</f>
        <v>0</v>
      </c>
      <c r="AE20" s="9" t="b">
        <f aca="false">FALSE()</f>
        <v>0</v>
      </c>
      <c r="AF20" s="9" t="b">
        <f aca="false">TRUE()</f>
        <v>1</v>
      </c>
      <c r="AG20" s="9" t="b">
        <f aca="false">TRUE()</f>
        <v>1</v>
      </c>
    </row>
    <row r="21" customFormat="false" ht="30" hidden="false" customHeight="true" outlineLevel="0" collapsed="false">
      <c r="A21" s="5" t="n">
        <v>16</v>
      </c>
      <c r="B21" s="5" t="s">
        <v>19</v>
      </c>
      <c r="C21" s="6" t="n">
        <f aca="false">COUNTIF(D21:AG21,"TRUE")</f>
        <v>9</v>
      </c>
      <c r="D21" s="9" t="b">
        <f aca="false">TRUE()</f>
        <v>1</v>
      </c>
      <c r="E21" s="9" t="b">
        <f aca="false">TRUE()</f>
        <v>1</v>
      </c>
      <c r="F21" s="9" t="b">
        <f aca="false">TRUE()</f>
        <v>1</v>
      </c>
      <c r="G21" s="9" t="b">
        <f aca="false">TRUE()</f>
        <v>1</v>
      </c>
      <c r="H21" s="9" t="b">
        <f aca="false">TRUE()</f>
        <v>1</v>
      </c>
      <c r="I21" s="9" t="b">
        <f aca="false">TRUE()</f>
        <v>1</v>
      </c>
      <c r="J21" s="9" t="b">
        <f aca="false">TRUE()</f>
        <v>1</v>
      </c>
      <c r="K21" s="9" t="b">
        <f aca="false">FALSE()</f>
        <v>0</v>
      </c>
      <c r="L21" s="9" t="b">
        <f aca="false">FALSE()</f>
        <v>0</v>
      </c>
      <c r="M21" s="9" t="b">
        <f aca="false">FALSE()</f>
        <v>0</v>
      </c>
      <c r="N21" s="9" t="b">
        <f aca="false">FALSE()</f>
        <v>0</v>
      </c>
      <c r="O21" s="9" t="b">
        <f aca="false">FALSE()</f>
        <v>0</v>
      </c>
      <c r="P21" s="9" t="b">
        <f aca="false">FALSE()</f>
        <v>0</v>
      </c>
      <c r="Q21" s="9" t="b">
        <f aca="false">FALSE()</f>
        <v>0</v>
      </c>
      <c r="R21" s="9" t="b">
        <f aca="false">FALSE()</f>
        <v>0</v>
      </c>
      <c r="S21" s="9" t="b">
        <f aca="false">FALSE()</f>
        <v>0</v>
      </c>
      <c r="T21" s="9" t="b">
        <f aca="false">FALSE()</f>
        <v>0</v>
      </c>
      <c r="U21" s="9" t="b">
        <f aca="false">FALSE()</f>
        <v>0</v>
      </c>
      <c r="V21" s="9" t="b">
        <f aca="false">FALSE()</f>
        <v>0</v>
      </c>
      <c r="W21" s="9" t="b">
        <f aca="false">FALSE()</f>
        <v>0</v>
      </c>
      <c r="X21" s="9" t="b">
        <f aca="false">FALSE()</f>
        <v>0</v>
      </c>
      <c r="Y21" s="9" t="b">
        <f aca="false">FALSE()</f>
        <v>0</v>
      </c>
      <c r="Z21" s="9" t="b">
        <f aca="false">FALSE()</f>
        <v>0</v>
      </c>
      <c r="AA21" s="9" t="b">
        <f aca="false">FALSE()</f>
        <v>0</v>
      </c>
      <c r="AB21" s="9" t="b">
        <f aca="false">FALSE()</f>
        <v>0</v>
      </c>
      <c r="AC21" s="9" t="b">
        <f aca="false">FALSE()</f>
        <v>0</v>
      </c>
      <c r="AD21" s="9" t="b">
        <f aca="false">FALSE()</f>
        <v>0</v>
      </c>
      <c r="AE21" s="9" t="b">
        <f aca="false">FALSE()</f>
        <v>0</v>
      </c>
      <c r="AF21" s="9" t="b">
        <f aca="false">TRUE()</f>
        <v>1</v>
      </c>
      <c r="AG21" s="9" t="b">
        <f aca="false">TRUE()</f>
        <v>1</v>
      </c>
    </row>
    <row r="22" customFormat="false" ht="30" hidden="false" customHeight="true" outlineLevel="0" collapsed="false">
      <c r="A22" s="5" t="n">
        <v>17</v>
      </c>
      <c r="B22" s="5" t="s">
        <v>20</v>
      </c>
      <c r="C22" s="6" t="n">
        <f aca="false">COUNTIF(D22:AG22,"TRUE")</f>
        <v>8</v>
      </c>
      <c r="D22" s="9" t="b">
        <f aca="false">TRUE()</f>
        <v>1</v>
      </c>
      <c r="E22" s="9" t="b">
        <f aca="false">TRUE()</f>
        <v>1</v>
      </c>
      <c r="F22" s="9" t="b">
        <f aca="false">TRUE()</f>
        <v>1</v>
      </c>
      <c r="G22" s="9" t="b">
        <f aca="false">TRUE()</f>
        <v>1</v>
      </c>
      <c r="H22" s="9" t="b">
        <f aca="false">TRUE()</f>
        <v>1</v>
      </c>
      <c r="I22" s="9" t="b">
        <f aca="false">TRUE()</f>
        <v>1</v>
      </c>
      <c r="J22" s="9" t="b">
        <f aca="false">FALSE()</f>
        <v>0</v>
      </c>
      <c r="K22" s="9" t="b">
        <f aca="false">FALSE()</f>
        <v>0</v>
      </c>
      <c r="L22" s="9" t="b">
        <f aca="false">FALSE()</f>
        <v>0</v>
      </c>
      <c r="M22" s="9" t="b">
        <f aca="false">FALSE()</f>
        <v>0</v>
      </c>
      <c r="N22" s="9" t="b">
        <f aca="false">FALSE()</f>
        <v>0</v>
      </c>
      <c r="O22" s="9" t="b">
        <f aca="false">FALSE()</f>
        <v>0</v>
      </c>
      <c r="P22" s="9" t="b">
        <f aca="false">FALSE()</f>
        <v>0</v>
      </c>
      <c r="Q22" s="9" t="b">
        <f aca="false">FALSE()</f>
        <v>0</v>
      </c>
      <c r="R22" s="9" t="b">
        <f aca="false">FALSE()</f>
        <v>0</v>
      </c>
      <c r="S22" s="9" t="b">
        <f aca="false">FALSE()</f>
        <v>0</v>
      </c>
      <c r="T22" s="9" t="b">
        <f aca="false">FALSE()</f>
        <v>0</v>
      </c>
      <c r="U22" s="9" t="b">
        <f aca="false">FALSE()</f>
        <v>0</v>
      </c>
      <c r="V22" s="9" t="b">
        <f aca="false">FALSE()</f>
        <v>0</v>
      </c>
      <c r="W22" s="9" t="b">
        <f aca="false">FALSE()</f>
        <v>0</v>
      </c>
      <c r="X22" s="9" t="b">
        <f aca="false">FALSE()</f>
        <v>0</v>
      </c>
      <c r="Y22" s="9" t="b">
        <f aca="false">FALSE()</f>
        <v>0</v>
      </c>
      <c r="Z22" s="9" t="b">
        <f aca="false">FALSE()</f>
        <v>0</v>
      </c>
      <c r="AA22" s="9" t="b">
        <f aca="false">FALSE()</f>
        <v>0</v>
      </c>
      <c r="AB22" s="9" t="b">
        <f aca="false">FALSE()</f>
        <v>0</v>
      </c>
      <c r="AC22" s="9" t="b">
        <f aca="false">FALSE()</f>
        <v>0</v>
      </c>
      <c r="AD22" s="9" t="b">
        <f aca="false">FALSE()</f>
        <v>0</v>
      </c>
      <c r="AE22" s="9" t="b">
        <f aca="false">FALSE()</f>
        <v>0</v>
      </c>
      <c r="AF22" s="9" t="b">
        <f aca="false">TRUE()</f>
        <v>1</v>
      </c>
      <c r="AG22" s="9" t="b">
        <f aca="false">TRUE()</f>
        <v>1</v>
      </c>
    </row>
    <row r="23" customFormat="false" ht="30" hidden="false" customHeight="true" outlineLevel="0" collapsed="false">
      <c r="A23" s="5" t="n">
        <v>18</v>
      </c>
      <c r="B23" s="5" t="s">
        <v>21</v>
      </c>
      <c r="C23" s="6" t="n">
        <f aca="false">COUNTIF(D23:AG23,"TRUE")</f>
        <v>7</v>
      </c>
      <c r="D23" s="9" t="b">
        <f aca="false">TRUE()</f>
        <v>1</v>
      </c>
      <c r="E23" s="9" t="b">
        <f aca="false">TRUE()</f>
        <v>1</v>
      </c>
      <c r="F23" s="9" t="b">
        <f aca="false">TRUE()</f>
        <v>1</v>
      </c>
      <c r="G23" s="9" t="b">
        <f aca="false">TRUE()</f>
        <v>1</v>
      </c>
      <c r="H23" s="9" t="b">
        <f aca="false">TRUE()</f>
        <v>1</v>
      </c>
      <c r="I23" s="9" t="b">
        <f aca="false">FALSE()</f>
        <v>0</v>
      </c>
      <c r="J23" s="9" t="b">
        <f aca="false">FALSE()</f>
        <v>0</v>
      </c>
      <c r="K23" s="9" t="b">
        <f aca="false">FALSE()</f>
        <v>0</v>
      </c>
      <c r="L23" s="9" t="b">
        <f aca="false">FALSE()</f>
        <v>0</v>
      </c>
      <c r="M23" s="9" t="b">
        <f aca="false">FALSE()</f>
        <v>0</v>
      </c>
      <c r="N23" s="9" t="b">
        <f aca="false">FALSE()</f>
        <v>0</v>
      </c>
      <c r="O23" s="9" t="b">
        <f aca="false">FALSE()</f>
        <v>0</v>
      </c>
      <c r="P23" s="9" t="b">
        <f aca="false">FALSE()</f>
        <v>0</v>
      </c>
      <c r="Q23" s="9" t="b">
        <f aca="false">FALSE()</f>
        <v>0</v>
      </c>
      <c r="R23" s="9" t="b">
        <f aca="false">FALSE()</f>
        <v>0</v>
      </c>
      <c r="S23" s="9" t="b">
        <f aca="false">FALSE()</f>
        <v>0</v>
      </c>
      <c r="T23" s="9" t="b">
        <f aca="false">FALSE()</f>
        <v>0</v>
      </c>
      <c r="U23" s="9" t="b">
        <f aca="false">FALSE()</f>
        <v>0</v>
      </c>
      <c r="V23" s="9" t="b">
        <f aca="false">FALSE()</f>
        <v>0</v>
      </c>
      <c r="W23" s="9" t="b">
        <f aca="false">FALSE()</f>
        <v>0</v>
      </c>
      <c r="X23" s="9" t="b">
        <f aca="false">FALSE()</f>
        <v>0</v>
      </c>
      <c r="Y23" s="9" t="b">
        <f aca="false">FALSE()</f>
        <v>0</v>
      </c>
      <c r="Z23" s="9" t="b">
        <f aca="false">FALSE()</f>
        <v>0</v>
      </c>
      <c r="AA23" s="9" t="b">
        <f aca="false">FALSE()</f>
        <v>0</v>
      </c>
      <c r="AB23" s="9" t="b">
        <f aca="false">FALSE()</f>
        <v>0</v>
      </c>
      <c r="AC23" s="9" t="b">
        <f aca="false">FALSE()</f>
        <v>0</v>
      </c>
      <c r="AD23" s="9" t="b">
        <f aca="false">FALSE()</f>
        <v>0</v>
      </c>
      <c r="AE23" s="9" t="b">
        <f aca="false">FALSE()</f>
        <v>0</v>
      </c>
      <c r="AF23" s="9" t="b">
        <f aca="false">TRUE()</f>
        <v>1</v>
      </c>
      <c r="AG23" s="9" t="b">
        <f aca="false">TRUE()</f>
        <v>1</v>
      </c>
    </row>
    <row r="24" customFormat="false" ht="30" hidden="false" customHeight="true" outlineLevel="0" collapsed="false">
      <c r="A24" s="5" t="n">
        <v>19</v>
      </c>
      <c r="B24" s="5" t="s">
        <v>22</v>
      </c>
      <c r="C24" s="6" t="n">
        <f aca="false">COUNTIF(D24:AG24,"TRUE")</f>
        <v>4</v>
      </c>
      <c r="D24" s="9" t="b">
        <f aca="false">FALSE()</f>
        <v>0</v>
      </c>
      <c r="E24" s="9" t="b">
        <f aca="false">FALSE()</f>
        <v>0</v>
      </c>
      <c r="F24" s="9" t="b">
        <f aca="false">FALSE()</f>
        <v>0</v>
      </c>
      <c r="G24" s="9" t="b">
        <f aca="false">FALSE()</f>
        <v>0</v>
      </c>
      <c r="H24" s="9" t="b">
        <f aca="false">FALSE()</f>
        <v>0</v>
      </c>
      <c r="I24" s="9" t="b">
        <f aca="false">FALSE()</f>
        <v>0</v>
      </c>
      <c r="J24" s="9" t="b">
        <f aca="false">FALSE()</f>
        <v>0</v>
      </c>
      <c r="K24" s="9" t="b">
        <f aca="false">FALSE()</f>
        <v>0</v>
      </c>
      <c r="L24" s="9" t="b">
        <f aca="false">FALSE()</f>
        <v>0</v>
      </c>
      <c r="M24" s="9" t="b">
        <f aca="false">FALSE()</f>
        <v>0</v>
      </c>
      <c r="N24" s="9" t="b">
        <f aca="false">FALSE()</f>
        <v>0</v>
      </c>
      <c r="O24" s="9" t="b">
        <f aca="false">FALSE()</f>
        <v>0</v>
      </c>
      <c r="P24" s="9" t="b">
        <f aca="false">FALSE()</f>
        <v>0</v>
      </c>
      <c r="Q24" s="9" t="b">
        <f aca="false">FALSE()</f>
        <v>0</v>
      </c>
      <c r="R24" s="9" t="b">
        <f aca="false">FALSE()</f>
        <v>0</v>
      </c>
      <c r="S24" s="9" t="b">
        <f aca="false">FALSE()</f>
        <v>0</v>
      </c>
      <c r="T24" s="9" t="b">
        <f aca="false">FALSE()</f>
        <v>0</v>
      </c>
      <c r="U24" s="9" t="b">
        <f aca="false">FALSE()</f>
        <v>0</v>
      </c>
      <c r="V24" s="9" t="b">
        <f aca="false">FALSE()</f>
        <v>0</v>
      </c>
      <c r="W24" s="9" t="b">
        <f aca="false">FALSE()</f>
        <v>0</v>
      </c>
      <c r="X24" s="9" t="b">
        <f aca="false">FALSE()</f>
        <v>0</v>
      </c>
      <c r="Y24" s="9" t="b">
        <f aca="false">FALSE()</f>
        <v>0</v>
      </c>
      <c r="Z24" s="9" t="b">
        <f aca="false">FALSE()</f>
        <v>0</v>
      </c>
      <c r="AA24" s="9" t="b">
        <f aca="false">FALSE()</f>
        <v>0</v>
      </c>
      <c r="AB24" s="9" t="b">
        <f aca="false">FALSE()</f>
        <v>0</v>
      </c>
      <c r="AC24" s="9" t="b">
        <f aca="false">FALSE()</f>
        <v>0</v>
      </c>
      <c r="AD24" s="9" t="b">
        <f aca="false">TRUE()</f>
        <v>1</v>
      </c>
      <c r="AE24" s="9" t="b">
        <f aca="false">TRUE()</f>
        <v>1</v>
      </c>
      <c r="AF24" s="9" t="b">
        <f aca="false">TRUE()</f>
        <v>1</v>
      </c>
      <c r="AG24" s="9" t="b">
        <f aca="false">TRUE()</f>
        <v>1</v>
      </c>
    </row>
    <row r="25" customFormat="false" ht="30" hidden="false" customHeight="true" outlineLevel="0" collapsed="false">
      <c r="A25" s="5" t="n">
        <v>20</v>
      </c>
      <c r="B25" s="5" t="s">
        <v>23</v>
      </c>
      <c r="C25" s="6" t="n">
        <f aca="false">COUNTIF(D25:AG25,"TRUE")</f>
        <v>3</v>
      </c>
      <c r="D25" s="9" t="b">
        <f aca="false">TRUE()</f>
        <v>1</v>
      </c>
      <c r="E25" s="9" t="b">
        <f aca="false">FALSE()</f>
        <v>0</v>
      </c>
      <c r="F25" s="9" t="b">
        <f aca="false">FALSE()</f>
        <v>0</v>
      </c>
      <c r="G25" s="9" t="b">
        <f aca="false">FALSE()</f>
        <v>0</v>
      </c>
      <c r="H25" s="9" t="b">
        <f aca="false">FALSE()</f>
        <v>0</v>
      </c>
      <c r="I25" s="9" t="b">
        <f aca="false">FALSE()</f>
        <v>0</v>
      </c>
      <c r="J25" s="9" t="b">
        <f aca="false">FALSE()</f>
        <v>0</v>
      </c>
      <c r="K25" s="9" t="b">
        <f aca="false">FALSE()</f>
        <v>0</v>
      </c>
      <c r="L25" s="9" t="b">
        <f aca="false">FALSE()</f>
        <v>0</v>
      </c>
      <c r="M25" s="9" t="b">
        <f aca="false">FALSE()</f>
        <v>0</v>
      </c>
      <c r="N25" s="9" t="b">
        <f aca="false">FALSE()</f>
        <v>0</v>
      </c>
      <c r="O25" s="9" t="b">
        <f aca="false">FALSE()</f>
        <v>0</v>
      </c>
      <c r="P25" s="9" t="b">
        <f aca="false">FALSE()</f>
        <v>0</v>
      </c>
      <c r="Q25" s="9" t="b">
        <f aca="false">FALSE()</f>
        <v>0</v>
      </c>
      <c r="R25" s="9" t="b">
        <f aca="false">FALSE()</f>
        <v>0</v>
      </c>
      <c r="S25" s="9" t="b">
        <f aca="false">FALSE()</f>
        <v>0</v>
      </c>
      <c r="T25" s="9" t="b">
        <f aca="false">FALSE()</f>
        <v>0</v>
      </c>
      <c r="U25" s="9" t="b">
        <f aca="false">FALSE()</f>
        <v>0</v>
      </c>
      <c r="V25" s="9" t="b">
        <f aca="false">FALSE()</f>
        <v>0</v>
      </c>
      <c r="W25" s="9" t="b">
        <f aca="false">FALSE()</f>
        <v>0</v>
      </c>
      <c r="X25" s="9" t="b">
        <f aca="false">FALSE()</f>
        <v>0</v>
      </c>
      <c r="Y25" s="9" t="b">
        <f aca="false">FALSE()</f>
        <v>0</v>
      </c>
      <c r="Z25" s="9" t="b">
        <f aca="false">FALSE()</f>
        <v>0</v>
      </c>
      <c r="AA25" s="9" t="b">
        <f aca="false">FALSE()</f>
        <v>0</v>
      </c>
      <c r="AB25" s="9" t="b">
        <f aca="false">FALSE()</f>
        <v>0</v>
      </c>
      <c r="AC25" s="9" t="b">
        <f aca="false">FALSE()</f>
        <v>0</v>
      </c>
      <c r="AD25" s="9" t="b">
        <f aca="false">FALSE()</f>
        <v>0</v>
      </c>
      <c r="AE25" s="9" t="b">
        <f aca="false">FALSE()</f>
        <v>0</v>
      </c>
      <c r="AF25" s="9" t="b">
        <f aca="false">TRUE()</f>
        <v>1</v>
      </c>
      <c r="AG25" s="9" t="b">
        <f aca="false">TRUE()</f>
        <v>1</v>
      </c>
    </row>
    <row r="26" customFormat="false" ht="30" hidden="false" customHeight="true" outlineLevel="0" collapsed="false">
      <c r="A26" s="5" t="n">
        <v>21</v>
      </c>
      <c r="B26" s="5" t="s">
        <v>24</v>
      </c>
      <c r="C26" s="6" t="n">
        <f aca="false">COUNTIF(D26:AG26,"TRUE")</f>
        <v>1</v>
      </c>
      <c r="D26" s="9" t="b">
        <f aca="false">FALSE()</f>
        <v>0</v>
      </c>
      <c r="E26" s="9" t="b">
        <f aca="false">FALSE()</f>
        <v>0</v>
      </c>
      <c r="F26" s="9" t="b">
        <f aca="false">FALSE()</f>
        <v>0</v>
      </c>
      <c r="G26" s="9" t="b">
        <f aca="false">FALSE()</f>
        <v>0</v>
      </c>
      <c r="H26" s="9" t="b">
        <f aca="false">FALSE()</f>
        <v>0</v>
      </c>
      <c r="I26" s="9" t="b">
        <f aca="false">FALSE()</f>
        <v>0</v>
      </c>
      <c r="J26" s="9" t="b">
        <f aca="false">FALSE()</f>
        <v>0</v>
      </c>
      <c r="K26" s="9" t="b">
        <f aca="false">FALSE()</f>
        <v>0</v>
      </c>
      <c r="L26" s="9" t="b">
        <f aca="false">FALSE()</f>
        <v>0</v>
      </c>
      <c r="M26" s="9" t="b">
        <f aca="false">FALSE()</f>
        <v>0</v>
      </c>
      <c r="N26" s="9" t="b">
        <f aca="false">FALSE()</f>
        <v>0</v>
      </c>
      <c r="O26" s="9" t="b">
        <f aca="false">FALSE()</f>
        <v>0</v>
      </c>
      <c r="P26" s="9" t="b">
        <f aca="false">FALSE()</f>
        <v>0</v>
      </c>
      <c r="Q26" s="9" t="b">
        <f aca="false">FALSE()</f>
        <v>0</v>
      </c>
      <c r="R26" s="9" t="b">
        <f aca="false">FALSE()</f>
        <v>0</v>
      </c>
      <c r="S26" s="9" t="b">
        <f aca="false">FALSE()</f>
        <v>0</v>
      </c>
      <c r="T26" s="9" t="b">
        <f aca="false">FALSE()</f>
        <v>0</v>
      </c>
      <c r="U26" s="9" t="b">
        <f aca="false">FALSE()</f>
        <v>0</v>
      </c>
      <c r="V26" s="9" t="b">
        <f aca="false">FALSE()</f>
        <v>0</v>
      </c>
      <c r="W26" s="9" t="b">
        <f aca="false">FALSE()</f>
        <v>0</v>
      </c>
      <c r="X26" s="9" t="b">
        <f aca="false">FALSE()</f>
        <v>0</v>
      </c>
      <c r="Y26" s="9" t="b">
        <f aca="false">FALSE()</f>
        <v>0</v>
      </c>
      <c r="Z26" s="9" t="b">
        <f aca="false">FALSE()</f>
        <v>0</v>
      </c>
      <c r="AA26" s="9" t="b">
        <f aca="false">FALSE()</f>
        <v>0</v>
      </c>
      <c r="AB26" s="9" t="b">
        <f aca="false">FALSE()</f>
        <v>0</v>
      </c>
      <c r="AC26" s="9" t="b">
        <f aca="false">FALSE()</f>
        <v>0</v>
      </c>
      <c r="AD26" s="9" t="b">
        <f aca="false">FALSE()</f>
        <v>0</v>
      </c>
      <c r="AE26" s="9" t="b">
        <f aca="false">FALSE()</f>
        <v>0</v>
      </c>
      <c r="AF26" s="9" t="b">
        <f aca="false">FALSE()</f>
        <v>0</v>
      </c>
      <c r="AG26" s="9" t="b">
        <f aca="false">TRUE()</f>
        <v>1</v>
      </c>
    </row>
    <row r="27" customFormat="false" ht="30" hidden="false" customHeight="true" outlineLevel="0" collapsed="false">
      <c r="A27" s="5" t="n">
        <v>22</v>
      </c>
      <c r="B27" s="5" t="s">
        <v>25</v>
      </c>
      <c r="C27" s="6" t="n">
        <f aca="false">COUNTIF(D27:AG27,"TRUE")</f>
        <v>1</v>
      </c>
      <c r="D27" s="9" t="b">
        <f aca="false">FALSE()</f>
        <v>0</v>
      </c>
      <c r="E27" s="9" t="b">
        <f aca="false">FALSE()</f>
        <v>0</v>
      </c>
      <c r="F27" s="9" t="b">
        <f aca="false">FALSE()</f>
        <v>0</v>
      </c>
      <c r="G27" s="9" t="b">
        <f aca="false">FALSE()</f>
        <v>0</v>
      </c>
      <c r="H27" s="9" t="b">
        <f aca="false">FALSE()</f>
        <v>0</v>
      </c>
      <c r="I27" s="9" t="b">
        <f aca="false">FALSE()</f>
        <v>0</v>
      </c>
      <c r="J27" s="9" t="b">
        <f aca="false">FALSE()</f>
        <v>0</v>
      </c>
      <c r="K27" s="9" t="b">
        <f aca="false">FALSE()</f>
        <v>0</v>
      </c>
      <c r="L27" s="9" t="b">
        <f aca="false">FALSE()</f>
        <v>0</v>
      </c>
      <c r="M27" s="9" t="b">
        <f aca="false">FALSE()</f>
        <v>0</v>
      </c>
      <c r="N27" s="9" t="b">
        <f aca="false">FALSE()</f>
        <v>0</v>
      </c>
      <c r="O27" s="9" t="b">
        <f aca="false">FALSE()</f>
        <v>0</v>
      </c>
      <c r="P27" s="9" t="b">
        <f aca="false">FALSE()</f>
        <v>0</v>
      </c>
      <c r="Q27" s="9" t="b">
        <f aca="false">FALSE()</f>
        <v>0</v>
      </c>
      <c r="R27" s="9" t="b">
        <f aca="false">FALSE()</f>
        <v>0</v>
      </c>
      <c r="S27" s="9" t="b">
        <f aca="false">FALSE()</f>
        <v>0</v>
      </c>
      <c r="T27" s="9" t="b">
        <f aca="false">FALSE()</f>
        <v>0</v>
      </c>
      <c r="U27" s="9" t="b">
        <f aca="false">FALSE()</f>
        <v>0</v>
      </c>
      <c r="V27" s="9" t="b">
        <f aca="false">FALSE()</f>
        <v>0</v>
      </c>
      <c r="W27" s="9" t="b">
        <f aca="false">FALSE()</f>
        <v>0</v>
      </c>
      <c r="X27" s="9" t="b">
        <f aca="false">FALSE()</f>
        <v>0</v>
      </c>
      <c r="Y27" s="9" t="b">
        <f aca="false">FALSE()</f>
        <v>0</v>
      </c>
      <c r="Z27" s="9" t="b">
        <f aca="false">FALSE()</f>
        <v>0</v>
      </c>
      <c r="AA27" s="9" t="b">
        <f aca="false">FALSE()</f>
        <v>0</v>
      </c>
      <c r="AB27" s="9" t="b">
        <f aca="false">FALSE()</f>
        <v>0</v>
      </c>
      <c r="AC27" s="9" t="b">
        <f aca="false">FALSE()</f>
        <v>0</v>
      </c>
      <c r="AD27" s="9" t="b">
        <f aca="false">FALSE()</f>
        <v>0</v>
      </c>
      <c r="AE27" s="9" t="b">
        <f aca="false">FALSE()</f>
        <v>0</v>
      </c>
      <c r="AF27" s="9" t="b">
        <f aca="false">FALSE()</f>
        <v>0</v>
      </c>
      <c r="AG27" s="9" t="b">
        <f aca="false">TRUE()</f>
        <v>1</v>
      </c>
    </row>
  </sheetData>
  <mergeCells count="1">
    <mergeCell ref="A1:AG3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0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61" zoomScaleNormal="61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6.38"/>
    <col collapsed="false" customWidth="true" hidden="false" outlineLevel="0" max="2" min="2" style="0" width="30.75"/>
    <col collapsed="false" customWidth="true" hidden="false" outlineLevel="0" max="3" min="3" style="0" width="43.25"/>
    <col collapsed="false" customWidth="true" hidden="false" outlineLevel="0" max="4" min="4" style="0" width="17.38"/>
    <col collapsed="false" customWidth="true" hidden="false" outlineLevel="0" max="5" min="5" style="0" width="30.51"/>
  </cols>
  <sheetData>
    <row r="1" customFormat="false" ht="15.75" hidden="false" customHeight="false" outlineLevel="0" collapsed="false">
      <c r="A1" s="10" t="s">
        <v>26</v>
      </c>
      <c r="B1" s="10"/>
      <c r="C1" s="10"/>
      <c r="D1" s="10"/>
      <c r="E1" s="10"/>
    </row>
    <row r="2" customFormat="false" ht="15.75" hidden="false" customHeight="true" outlineLevel="0" collapsed="false">
      <c r="A2" s="10"/>
      <c r="B2" s="10"/>
      <c r="C2" s="10"/>
      <c r="D2" s="10"/>
      <c r="E2" s="10"/>
    </row>
    <row r="3" customFormat="false" ht="15.75" hidden="false" customHeight="true" outlineLevel="0" collapsed="false">
      <c r="A3" s="10"/>
      <c r="B3" s="10"/>
      <c r="C3" s="10"/>
      <c r="D3" s="10"/>
      <c r="E3" s="10"/>
    </row>
    <row r="4" customFormat="false" ht="15.75" hidden="false" customHeight="false" outlineLevel="0" collapsed="false">
      <c r="A4" s="2"/>
      <c r="B4" s="2"/>
      <c r="C4" s="2"/>
      <c r="D4" s="2"/>
      <c r="E4" s="2"/>
    </row>
    <row r="5" customFormat="false" ht="30" hidden="false" customHeight="true" outlineLevel="0" collapsed="false">
      <c r="A5" s="11" t="s">
        <v>1</v>
      </c>
      <c r="B5" s="11" t="s">
        <v>2</v>
      </c>
      <c r="C5" s="11" t="s">
        <v>27</v>
      </c>
      <c r="D5" s="11" t="s">
        <v>28</v>
      </c>
      <c r="E5" s="11" t="s">
        <v>29</v>
      </c>
    </row>
    <row r="6" customFormat="false" ht="30" hidden="false" customHeight="true" outlineLevel="0" collapsed="false">
      <c r="A6" s="5" t="n">
        <v>1</v>
      </c>
      <c r="B6" s="5" t="str">
        <f aca="false">'DATA HAFALAN'!B6</f>
        <v>AYI KOSIM HATIMI</v>
      </c>
      <c r="C6" s="6" t="s">
        <v>30</v>
      </c>
      <c r="D6" s="12"/>
      <c r="E6" s="13" t="str">
        <f aca="false">IF(D6&gt;=15,"TERCAPAI","BELUM TERCAPAI")</f>
        <v>BELUM TERCAPAI</v>
      </c>
    </row>
    <row r="7" customFormat="false" ht="30" hidden="false" customHeight="true" outlineLevel="0" collapsed="false">
      <c r="A7" s="5" t="n">
        <v>2</v>
      </c>
      <c r="B7" s="5" t="str">
        <f aca="false">'DATA HAFALAN'!B7</f>
        <v>ABRURRAHMAN AFANDI</v>
      </c>
      <c r="C7" s="6" t="s">
        <v>31</v>
      </c>
      <c r="D7" s="12"/>
      <c r="E7" s="13" t="str">
        <f aca="false">IF(D7&gt;=10,"TERCAPAI","BELUM TERCAPAI")</f>
        <v>BELUM TERCAPAI</v>
      </c>
    </row>
    <row r="8" customFormat="false" ht="30" hidden="false" customHeight="true" outlineLevel="0" collapsed="false">
      <c r="A8" s="5" t="n">
        <v>3</v>
      </c>
      <c r="B8" s="5" t="str">
        <f aca="false">'DATA HAFALAN'!B8</f>
        <v>CECEP ABDULATIF</v>
      </c>
      <c r="C8" s="6" t="s">
        <v>32</v>
      </c>
      <c r="D8" s="12"/>
      <c r="E8" s="13" t="str">
        <f aca="false">IF(D8&gt;=10,"TERCAPAI","BELUM TERCAPAI")</f>
        <v>BELUM TERCAPAI</v>
      </c>
    </row>
    <row r="9" customFormat="false" ht="30" hidden="false" customHeight="true" outlineLevel="0" collapsed="false">
      <c r="A9" s="5" t="n">
        <v>4</v>
      </c>
      <c r="B9" s="5" t="str">
        <f aca="false">'DATA HAFALAN'!B9</f>
        <v>DONI SUPRIATNA</v>
      </c>
      <c r="C9" s="6"/>
      <c r="D9" s="12"/>
      <c r="E9" s="13" t="str">
        <f aca="false">IF(D9&gt;=15,"TERCAPAI","BELUM TERCAPAI")</f>
        <v>BELUM TERCAPAI</v>
      </c>
    </row>
    <row r="10" customFormat="false" ht="30" hidden="false" customHeight="true" outlineLevel="0" collapsed="false">
      <c r="A10" s="5" t="n">
        <v>5</v>
      </c>
      <c r="B10" s="5" t="e">
        <f aca="false">#REF!</f>
        <v>#REF!</v>
      </c>
      <c r="C10" s="6" t="s">
        <v>30</v>
      </c>
      <c r="D10" s="12"/>
      <c r="E10" s="13" t="str">
        <f aca="false">IF(D10&gt;=15,"TERCAPAI","BELUM TERCAPAI")</f>
        <v>BELUM TERCAPAI</v>
      </c>
    </row>
    <row r="11" customFormat="false" ht="30" hidden="false" customHeight="true" outlineLevel="0" collapsed="false">
      <c r="A11" s="5" t="n">
        <v>6</v>
      </c>
      <c r="B11" s="5" t="str">
        <f aca="false">'DATA HAFALAN'!B10</f>
        <v>ZAKY AZHARI</v>
      </c>
      <c r="C11" s="6" t="s">
        <v>33</v>
      </c>
      <c r="D11" s="12"/>
      <c r="E11" s="13" t="str">
        <f aca="false">IF(D11&gt;=13,"TERCAPAI","BELUM TERCAPAI")</f>
        <v>BELUM TERCAPAI</v>
      </c>
    </row>
    <row r="12" customFormat="false" ht="30" hidden="false" customHeight="true" outlineLevel="0" collapsed="false">
      <c r="A12" s="5" t="n">
        <v>7</v>
      </c>
      <c r="B12" s="5" t="str">
        <f aca="false">'DATA HAFALAN'!B11</f>
        <v>MUHAMMAD FAUZIL ADZIM</v>
      </c>
      <c r="C12" s="6" t="s">
        <v>34</v>
      </c>
      <c r="D12" s="12"/>
      <c r="E12" s="13" t="str">
        <f aca="false">IF(D12&gt;=25,"TERCAPAI","BELUM TERCAPAI")</f>
        <v>BELUM TERCAPAI</v>
      </c>
    </row>
    <row r="13" customFormat="false" ht="30" hidden="false" customHeight="true" outlineLevel="0" collapsed="false">
      <c r="A13" s="5" t="n">
        <v>8</v>
      </c>
      <c r="B13" s="5" t="str">
        <f aca="false">'DATA HAFALAN'!B12</f>
        <v>MUHAMMAD DZIKRI HUSAENI</v>
      </c>
      <c r="C13" s="6" t="s">
        <v>35</v>
      </c>
      <c r="D13" s="14" t="n">
        <f aca="false">'DATA HAFALAN'!C12</f>
        <v>18</v>
      </c>
      <c r="E13" s="13" t="str">
        <f aca="false">IF(D13&gt;=18,"TERCAPAI","BELUM TERCAPAI")</f>
        <v>TERCAPAI</v>
      </c>
    </row>
    <row r="14" customFormat="false" ht="30" hidden="false" customHeight="true" outlineLevel="0" collapsed="false">
      <c r="A14" s="5" t="n">
        <v>9</v>
      </c>
      <c r="B14" s="5" t="e">
        <f aca="false">#REF!</f>
        <v>#REF!</v>
      </c>
      <c r="C14" s="6" t="s">
        <v>36</v>
      </c>
      <c r="D14" s="14" t="e">
        <f aca="false">#REF!</f>
        <v>#REF!</v>
      </c>
      <c r="E14" s="13" t="e">
        <f aca="false">IF(D14&gt;=15,"TERCAPAI","BELUM TERCAPAI")</f>
        <v>#REF!</v>
      </c>
    </row>
    <row r="15" customFormat="false" ht="30" hidden="false" customHeight="true" outlineLevel="0" collapsed="false">
      <c r="A15" s="5" t="n">
        <v>10</v>
      </c>
      <c r="B15" s="5" t="str">
        <f aca="false">'DATA HAFALAN'!B13</f>
        <v>ABDUL KHOLIQ</v>
      </c>
      <c r="C15" s="6" t="s">
        <v>37</v>
      </c>
      <c r="D15" s="14"/>
      <c r="E15" s="13" t="str">
        <f aca="false">IF(D15&gt;=10,"TERCAPAI","BELUM TERCAPAI")</f>
        <v>BELUM TERCAPAI</v>
      </c>
    </row>
    <row r="16" customFormat="false" ht="30" hidden="false" customHeight="true" outlineLevel="0" collapsed="false">
      <c r="A16" s="5" t="n">
        <v>11</v>
      </c>
      <c r="B16" s="5" t="str">
        <f aca="false">'DATA HAFALAN'!B14</f>
        <v>IYAN FARID</v>
      </c>
      <c r="C16" s="6" t="s">
        <v>38</v>
      </c>
      <c r="D16" s="14" t="n">
        <f aca="false">'DATA HAFALAN'!C14</f>
        <v>13</v>
      </c>
      <c r="E16" s="13" t="str">
        <f aca="false">IF(D16&gt;=12,"TERCAPAI","BELUM TERCAPAI")</f>
        <v>TERCAPAI</v>
      </c>
    </row>
    <row r="17" customFormat="false" ht="30" hidden="false" customHeight="true" outlineLevel="0" collapsed="false">
      <c r="A17" s="5" t="n">
        <v>12</v>
      </c>
      <c r="B17" s="5" t="str">
        <f aca="false">'DATA HAFALAN'!B15</f>
        <v>ZAENI NURIL HIKAM</v>
      </c>
      <c r="C17" s="6" t="s">
        <v>38</v>
      </c>
      <c r="D17" s="14" t="n">
        <f aca="false">'DATA HAFALAN'!C15</f>
        <v>12</v>
      </c>
      <c r="E17" s="13" t="str">
        <f aca="false">IF(D17&gt;=12,"TERCAPAI","BELUM TERCAPAI")</f>
        <v>TERCAPAI</v>
      </c>
    </row>
    <row r="18" customFormat="false" ht="30" hidden="false" customHeight="true" outlineLevel="0" collapsed="false">
      <c r="A18" s="5" t="n">
        <v>13</v>
      </c>
      <c r="B18" s="5" t="str">
        <f aca="false">'DATA HAFALAN'!B16</f>
        <v>LUCKY KURNIAWAN</v>
      </c>
      <c r="C18" s="6"/>
      <c r="D18" s="14" t="n">
        <f aca="false">'DATA HAFALAN'!C16</f>
        <v>12</v>
      </c>
      <c r="E18" s="13" t="str">
        <f aca="false">IF(D18&gt;=15,"TERCAPAI","BELUM TERCAPAI")</f>
        <v>BELUM TERCAPAI</v>
      </c>
    </row>
    <row r="19" customFormat="false" ht="30" hidden="false" customHeight="true" outlineLevel="0" collapsed="false">
      <c r="A19" s="5" t="n">
        <v>14</v>
      </c>
      <c r="B19" s="5" t="str">
        <f aca="false">'DATA HAFALAN'!B17</f>
        <v>MUHAMMAD RAFIK MUHARAM</v>
      </c>
      <c r="C19" s="6" t="s">
        <v>39</v>
      </c>
      <c r="D19" s="14" t="n">
        <f aca="false">'DATA HAFALAN'!C17</f>
        <v>12</v>
      </c>
      <c r="E19" s="13" t="str">
        <f aca="false">IF(D19&gt;=10,"TERCAPAI","BELUM TERCAPAI")</f>
        <v>TERCAPAI</v>
      </c>
    </row>
    <row r="20" customFormat="false" ht="30" hidden="false" customHeight="true" outlineLevel="0" collapsed="false">
      <c r="A20" s="5" t="n">
        <v>15</v>
      </c>
      <c r="B20" s="5" t="str">
        <f aca="false">'DATA HAFALAN'!B18</f>
        <v>UMAR ABDUL MALIK</v>
      </c>
      <c r="C20" s="6" t="s">
        <v>40</v>
      </c>
      <c r="D20" s="14" t="n">
        <f aca="false">'DATA HAFALAN'!C18</f>
        <v>11</v>
      </c>
      <c r="E20" s="13" t="str">
        <f aca="false">IF(D20&gt;=8,"TERCAPAI","BELUM TERCAPAI")</f>
        <v>TERCAPAI</v>
      </c>
    </row>
    <row r="21" customFormat="false" ht="30" hidden="false" customHeight="true" outlineLevel="0" collapsed="false">
      <c r="A21" s="5" t="n">
        <v>16</v>
      </c>
      <c r="B21" s="5" t="str">
        <f aca="false">'DATA HAFALAN'!B19</f>
        <v>AHMAD HAFIDZ ALHAWARI</v>
      </c>
      <c r="C21" s="6" t="s">
        <v>41</v>
      </c>
      <c r="D21" s="14"/>
      <c r="E21" s="13" t="str">
        <f aca="false">IF(D21&gt;=6,"TERCAPAI","BELUM TERCAPAI")</f>
        <v>BELUM TERCAPAI</v>
      </c>
    </row>
    <row r="22" customFormat="false" ht="30" hidden="false" customHeight="true" outlineLevel="0" collapsed="false">
      <c r="A22" s="5" t="n">
        <v>17</v>
      </c>
      <c r="B22" s="5" t="str">
        <f aca="false">'DATA HAFALAN'!B20</f>
        <v>MUHAMMAD FAUZAN</v>
      </c>
      <c r="C22" s="6" t="s">
        <v>42</v>
      </c>
      <c r="D22" s="14"/>
      <c r="E22" s="13" t="str">
        <f aca="false">IF(D22&gt;=5,"TERCAPAI","BELUM TERCAPAI")</f>
        <v>BELUM TERCAPAI</v>
      </c>
    </row>
    <row r="23" customFormat="false" ht="30" hidden="false" customHeight="true" outlineLevel="0" collapsed="false">
      <c r="A23" s="5" t="n">
        <v>18</v>
      </c>
      <c r="B23" s="5" t="str">
        <f aca="false">'DATA HAFALAN'!B21</f>
        <v>AKBAR RAMADAN</v>
      </c>
      <c r="C23" s="6" t="s">
        <v>43</v>
      </c>
      <c r="D23" s="14" t="n">
        <f aca="false">'DATA HAFALAN'!C21</f>
        <v>9</v>
      </c>
      <c r="E23" s="13" t="str">
        <f aca="false">IF(D23&gt;=5,"TERCAPAI","BELUM TERCAPAI")</f>
        <v>TERCAPAI</v>
      </c>
    </row>
    <row r="24" customFormat="false" ht="30" hidden="false" customHeight="true" outlineLevel="0" collapsed="false">
      <c r="A24" s="5" t="n">
        <v>19</v>
      </c>
      <c r="B24" s="5" t="e">
        <f aca="false">#REF!</f>
        <v>#REF!</v>
      </c>
      <c r="C24" s="6" t="s">
        <v>43</v>
      </c>
      <c r="D24" s="14" t="e">
        <f aca="false">#REF!</f>
        <v>#REF!</v>
      </c>
      <c r="E24" s="13" t="e">
        <f aca="false">IF(D24&gt;=5,"TERCAPAI","BELUM TERCAPAI")</f>
        <v>#REF!</v>
      </c>
    </row>
    <row r="25" customFormat="false" ht="30" hidden="false" customHeight="true" outlineLevel="0" collapsed="false">
      <c r="A25" s="5" t="n">
        <v>20</v>
      </c>
      <c r="B25" s="5" t="str">
        <f aca="false">'DATA HAFALAN'!B22</f>
        <v>ABIDZAR ALGHIFARI</v>
      </c>
      <c r="C25" s="6" t="s">
        <v>44</v>
      </c>
      <c r="D25" s="14" t="n">
        <f aca="false">'DATA HAFALAN'!C22</f>
        <v>8</v>
      </c>
      <c r="E25" s="13" t="str">
        <f aca="false">IF(D25&gt;=4,"TERCAPAI","BELUM TERCAPAI")</f>
        <v>TERCAPAI</v>
      </c>
    </row>
    <row r="26" customFormat="false" ht="30" hidden="false" customHeight="true" outlineLevel="0" collapsed="false">
      <c r="A26" s="5" t="n">
        <v>21</v>
      </c>
      <c r="B26" s="5" t="str">
        <f aca="false">'DATA HAFALAN'!B23</f>
        <v>KAFY MUHAMMAD AZIZY</v>
      </c>
      <c r="C26" s="6" t="s">
        <v>45</v>
      </c>
      <c r="D26" s="14"/>
      <c r="E26" s="13" t="str">
        <f aca="false">IF(D26&gt;=2,"TERCAPAI","BELUM TERCAPAI")</f>
        <v>BELUM TERCAPAI</v>
      </c>
    </row>
    <row r="27" customFormat="false" ht="30" hidden="false" customHeight="true" outlineLevel="0" collapsed="false">
      <c r="A27" s="5" t="n">
        <v>22</v>
      </c>
      <c r="B27" s="5" t="e">
        <f aca="false">#REF!</f>
        <v>#REF!</v>
      </c>
      <c r="C27" s="6"/>
      <c r="D27" s="14"/>
      <c r="E27" s="13" t="str">
        <f aca="false">IF(D27&gt;=15,"TERCAPAI","BELUM TERCAPAI")</f>
        <v>BELUM TERCAPAI</v>
      </c>
    </row>
    <row r="28" customFormat="false" ht="30" hidden="false" customHeight="true" outlineLevel="0" collapsed="false">
      <c r="A28" s="5" t="n">
        <v>23</v>
      </c>
      <c r="B28" s="5" t="str">
        <f aca="false">'DATA HAFALAN'!B24</f>
        <v>MUHAMMAD MUNAWWAR KHOLIL</v>
      </c>
      <c r="C28" s="6" t="s">
        <v>46</v>
      </c>
      <c r="D28" s="6"/>
      <c r="E28" s="13" t="str">
        <f aca="false">IF(D28="tahap tahsin","TERCAPAI","BELUM TERCAPAI")</f>
        <v>BELUM TERCAPAI</v>
      </c>
    </row>
    <row r="29" customFormat="false" ht="30" hidden="false" customHeight="true" outlineLevel="0" collapsed="false">
      <c r="A29" s="5" t="n">
        <v>24</v>
      </c>
      <c r="B29" s="5" t="str">
        <f aca="false">'DATA HAFALAN'!B25</f>
        <v>ALWI</v>
      </c>
      <c r="C29" s="6" t="s">
        <v>46</v>
      </c>
      <c r="D29" s="6"/>
      <c r="E29" s="13" t="str">
        <f aca="false">IF(D29&gt;=15,"TERCAPAI","BELUM TERCAPAI")</f>
        <v>BELUM TERCAPAI</v>
      </c>
    </row>
    <row r="30" customFormat="false" ht="30" hidden="false" customHeight="true" outlineLevel="0" collapsed="false">
      <c r="A30" s="5" t="n">
        <v>25</v>
      </c>
      <c r="B30" s="5" t="str">
        <f aca="false">'DATA HAFALAN'!B26</f>
        <v>PIRMAN</v>
      </c>
      <c r="C30" s="6" t="s">
        <v>46</v>
      </c>
      <c r="D30" s="6"/>
      <c r="E30" s="13" t="str">
        <f aca="false">IF(D30&gt;=15,"TERCAPAI","BELUM TERCAPAI")</f>
        <v>BELUM TERCAPAI</v>
      </c>
    </row>
    <row r="31" customFormat="false" ht="30" hidden="false" customHeight="true" outlineLevel="0" collapsed="false">
      <c r="A31" s="5" t="n">
        <v>26</v>
      </c>
      <c r="B31" s="5" t="str">
        <f aca="false">'DATA HAFALAN'!B27</f>
        <v>MUHAMMAD DENMAR NABAWI</v>
      </c>
      <c r="C31" s="6" t="s">
        <v>46</v>
      </c>
      <c r="D31" s="6"/>
      <c r="E31" s="13" t="str">
        <f aca="false">IF(D31&gt;=15,"TERCAPAI","BELUM TERCAPAI")</f>
        <v>BELUM TERCAPAI</v>
      </c>
    </row>
    <row r="32" customFormat="false" ht="30" hidden="false" customHeight="true" outlineLevel="0" collapsed="false">
      <c r="A32" s="5" t="n">
        <v>27</v>
      </c>
      <c r="B32" s="5" t="e">
        <f aca="false">#REF!</f>
        <v>#REF!</v>
      </c>
      <c r="C32" s="6" t="s">
        <v>46</v>
      </c>
      <c r="D32" s="6"/>
      <c r="E32" s="13" t="str">
        <f aca="false">IF(D32&gt;=15,"TERCAPAI","BELUM TERCAPAI")</f>
        <v>BELUM TERCAPAI</v>
      </c>
    </row>
    <row r="33" customFormat="false" ht="30" hidden="false" customHeight="true" outlineLevel="0" collapsed="false">
      <c r="A33" s="5" t="n">
        <v>28</v>
      </c>
      <c r="B33" s="5" t="e">
        <f aca="false">#REF!</f>
        <v>#REF!</v>
      </c>
      <c r="C33" s="6"/>
      <c r="D33" s="6"/>
      <c r="E33" s="15"/>
    </row>
    <row r="34" customFormat="false" ht="30" hidden="false" customHeight="true" outlineLevel="0" collapsed="false">
      <c r="A34" s="5" t="n">
        <v>29</v>
      </c>
      <c r="B34" s="16"/>
      <c r="C34" s="6"/>
      <c r="D34" s="6"/>
      <c r="E34" s="6"/>
    </row>
    <row r="35" customFormat="false" ht="30" hidden="false" customHeight="true" outlineLevel="0" collapsed="false">
      <c r="A35" s="5" t="n">
        <v>30</v>
      </c>
      <c r="B35" s="16"/>
      <c r="C35" s="6"/>
      <c r="D35" s="6"/>
      <c r="E35" s="6"/>
    </row>
    <row r="36" customFormat="false" ht="30" hidden="false" customHeight="true" outlineLevel="0" collapsed="false">
      <c r="A36" s="5" t="n">
        <v>31</v>
      </c>
      <c r="B36" s="16"/>
      <c r="C36" s="6"/>
      <c r="D36" s="6"/>
      <c r="E36" s="6"/>
    </row>
    <row r="37" customFormat="false" ht="30" hidden="false" customHeight="true" outlineLevel="0" collapsed="false">
      <c r="A37" s="5" t="n">
        <v>32</v>
      </c>
      <c r="B37" s="16"/>
      <c r="C37" s="6"/>
      <c r="D37" s="6"/>
      <c r="E37" s="6"/>
    </row>
    <row r="38" customFormat="false" ht="30" hidden="false" customHeight="true" outlineLevel="0" collapsed="false">
      <c r="A38" s="5" t="n">
        <v>33</v>
      </c>
      <c r="B38" s="16"/>
      <c r="C38" s="6"/>
      <c r="D38" s="6"/>
      <c r="E38" s="6"/>
    </row>
    <row r="39" customFormat="false" ht="30" hidden="false" customHeight="true" outlineLevel="0" collapsed="false">
      <c r="A39" s="5" t="n">
        <v>34</v>
      </c>
      <c r="B39" s="16"/>
      <c r="C39" s="6"/>
      <c r="D39" s="6"/>
      <c r="E39" s="6"/>
    </row>
    <row r="40" customFormat="false" ht="30" hidden="false" customHeight="true" outlineLevel="0" collapsed="false">
      <c r="A40" s="5" t="n">
        <v>35</v>
      </c>
      <c r="B40" s="16"/>
      <c r="C40" s="6"/>
      <c r="D40" s="6"/>
      <c r="E40" s="6"/>
    </row>
    <row r="41" customFormat="false" ht="30" hidden="false" customHeight="true" outlineLevel="0" collapsed="false">
      <c r="A41" s="5" t="n">
        <v>36</v>
      </c>
      <c r="B41" s="16"/>
      <c r="C41" s="6"/>
      <c r="D41" s="6"/>
      <c r="E41" s="6"/>
    </row>
    <row r="42" customFormat="false" ht="30" hidden="false" customHeight="true" outlineLevel="0" collapsed="false">
      <c r="A42" s="5" t="n">
        <v>37</v>
      </c>
      <c r="B42" s="16"/>
      <c r="C42" s="6"/>
      <c r="D42" s="6"/>
      <c r="E42" s="6"/>
    </row>
    <row r="43" customFormat="false" ht="30" hidden="false" customHeight="true" outlineLevel="0" collapsed="false">
      <c r="A43" s="5" t="n">
        <v>38</v>
      </c>
      <c r="B43" s="16"/>
      <c r="C43" s="6"/>
      <c r="D43" s="6"/>
      <c r="E43" s="6"/>
    </row>
    <row r="44" customFormat="false" ht="30" hidden="false" customHeight="true" outlineLevel="0" collapsed="false">
      <c r="A44" s="5" t="n">
        <v>39</v>
      </c>
      <c r="B44" s="16"/>
      <c r="C44" s="6"/>
      <c r="D44" s="6"/>
      <c r="E44" s="6"/>
    </row>
    <row r="45" customFormat="false" ht="30" hidden="false" customHeight="true" outlineLevel="0" collapsed="false">
      <c r="A45" s="5" t="n">
        <v>40</v>
      </c>
      <c r="B45" s="16"/>
      <c r="C45" s="6"/>
      <c r="D45" s="6"/>
      <c r="E45" s="6"/>
    </row>
    <row r="46" customFormat="false" ht="15.75" hidden="false" customHeight="false" outlineLevel="0" collapsed="false">
      <c r="A46" s="17" t="n">
        <v>41</v>
      </c>
      <c r="B46" s="18"/>
      <c r="C46" s="18"/>
      <c r="D46" s="18"/>
      <c r="E46" s="18"/>
    </row>
    <row r="47" customFormat="false" ht="15.75" hidden="false" customHeight="false" outlineLevel="0" collapsed="false">
      <c r="A47" s="17" t="n">
        <v>42</v>
      </c>
      <c r="B47" s="18"/>
      <c r="C47" s="18"/>
      <c r="D47" s="18"/>
      <c r="E47" s="18"/>
    </row>
    <row r="48" customFormat="false" ht="15.75" hidden="false" customHeight="false" outlineLevel="0" collapsed="false">
      <c r="A48" s="17" t="n">
        <v>43</v>
      </c>
      <c r="B48" s="18"/>
      <c r="C48" s="18"/>
      <c r="D48" s="18"/>
      <c r="E48" s="18"/>
    </row>
    <row r="49" customFormat="false" ht="15.75" hidden="false" customHeight="false" outlineLevel="0" collapsed="false">
      <c r="A49" s="17" t="n">
        <v>44</v>
      </c>
      <c r="B49" s="18"/>
      <c r="C49" s="18"/>
      <c r="D49" s="18"/>
      <c r="E49" s="18"/>
    </row>
    <row r="50" customFormat="false" ht="15.75" hidden="false" customHeight="false" outlineLevel="0" collapsed="false">
      <c r="A50" s="17" t="n">
        <v>45</v>
      </c>
      <c r="B50" s="18"/>
      <c r="C50" s="18"/>
      <c r="D50" s="18"/>
      <c r="E50" s="18"/>
    </row>
    <row r="51" customFormat="false" ht="15.75" hidden="false" customHeight="false" outlineLevel="0" collapsed="false">
      <c r="A51" s="17" t="n">
        <v>46</v>
      </c>
      <c r="B51" s="18"/>
      <c r="C51" s="18"/>
      <c r="D51" s="18"/>
      <c r="E51" s="18"/>
    </row>
    <row r="52" customFormat="false" ht="15.75" hidden="false" customHeight="false" outlineLevel="0" collapsed="false">
      <c r="A52" s="17" t="n">
        <v>47</v>
      </c>
      <c r="B52" s="18"/>
      <c r="C52" s="18"/>
      <c r="D52" s="18"/>
      <c r="E52" s="18"/>
    </row>
  </sheetData>
  <mergeCells count="1">
    <mergeCell ref="A1:E3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0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98"/>
  <sheetViews>
    <sheetView showFormulas="false" showGridLines="true" showRowColHeaders="true" showZeros="true" rightToLeft="false" tabSelected="true" showOutlineSymbols="true" defaultGridColor="true" view="normal" topLeftCell="A1" colorId="64" zoomScale="61" zoomScaleNormal="61" zoomScalePageLayoutView="100" workbookViewId="0">
      <selection pane="topLeft" activeCell="A4" activeCellId="0" sqref="A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6.38"/>
    <col collapsed="false" customWidth="true" hidden="false" outlineLevel="0" max="2" min="2" style="0" width="25.75"/>
    <col collapsed="false" customWidth="true" hidden="false" outlineLevel="0" max="9" min="9" style="0" width="25.75"/>
  </cols>
  <sheetData>
    <row r="1" customFormat="false" ht="15.75" hidden="false" customHeight="false" outlineLevel="0" collapsed="false">
      <c r="A1" s="19" t="s">
        <v>47</v>
      </c>
      <c r="B1" s="19"/>
      <c r="C1" s="19"/>
      <c r="D1" s="19"/>
      <c r="E1" s="19"/>
      <c r="F1" s="19"/>
      <c r="G1" s="19"/>
      <c r="H1" s="19"/>
      <c r="I1" s="19"/>
    </row>
    <row r="2" customFormat="false" ht="15.75" hidden="false" customHeight="true" outlineLevel="0" collapsed="false">
      <c r="A2" s="19"/>
      <c r="B2" s="19"/>
      <c r="C2" s="19"/>
      <c r="D2" s="19"/>
      <c r="E2" s="19"/>
      <c r="F2" s="19"/>
      <c r="G2" s="19"/>
      <c r="H2" s="19"/>
      <c r="I2" s="19"/>
    </row>
    <row r="3" customFormat="false" ht="15.75" hidden="false" customHeight="true" outlineLevel="0" collapsed="false">
      <c r="A3" s="19"/>
      <c r="B3" s="19"/>
      <c r="C3" s="19"/>
      <c r="D3" s="19"/>
      <c r="E3" s="19"/>
      <c r="F3" s="19"/>
      <c r="G3" s="19"/>
      <c r="H3" s="19"/>
      <c r="I3" s="19"/>
    </row>
    <row r="4" customFormat="false" ht="15.75" hidden="false" customHeight="false" outlineLevel="0" collapsed="false">
      <c r="A4" s="20" t="s">
        <v>48</v>
      </c>
      <c r="B4" s="20"/>
      <c r="C4" s="20"/>
      <c r="D4" s="20"/>
      <c r="E4" s="20"/>
      <c r="F4" s="20"/>
      <c r="G4" s="20"/>
      <c r="H4" s="20"/>
      <c r="I4" s="20"/>
    </row>
    <row r="5" customFormat="false" ht="15.75" hidden="false" customHeight="false" outlineLevel="0" collapsed="false">
      <c r="A5" s="21" t="s">
        <v>1</v>
      </c>
      <c r="B5" s="21" t="s">
        <v>2</v>
      </c>
      <c r="C5" s="22"/>
      <c r="D5" s="23" t="s">
        <v>49</v>
      </c>
      <c r="E5" s="23"/>
      <c r="F5" s="23"/>
      <c r="G5" s="23"/>
      <c r="H5" s="23"/>
      <c r="I5" s="23"/>
    </row>
    <row r="6" customFormat="false" ht="15.75" hidden="false" customHeight="false" outlineLevel="0" collapsed="false">
      <c r="A6" s="21"/>
      <c r="B6" s="21"/>
      <c r="C6" s="22" t="s">
        <v>50</v>
      </c>
      <c r="D6" s="24" t="s">
        <v>51</v>
      </c>
      <c r="E6" s="24" t="s">
        <v>52</v>
      </c>
      <c r="F6" s="24" t="s">
        <v>53</v>
      </c>
      <c r="G6" s="24" t="s">
        <v>54</v>
      </c>
      <c r="H6" s="24" t="s">
        <v>55</v>
      </c>
      <c r="I6" s="24"/>
    </row>
    <row r="7" customFormat="false" ht="15.75" hidden="false" customHeight="false" outlineLevel="0" collapsed="false">
      <c r="A7" s="24" t="n">
        <v>1</v>
      </c>
      <c r="B7" s="24" t="str">
        <f aca="false">'absensi setoran'!B7</f>
        <v>AYI KOSIM HATIMI</v>
      </c>
      <c r="C7" s="24" t="n">
        <f aca="false">'absensi setoran'!C7</f>
        <v>30</v>
      </c>
      <c r="D7" s="24" t="n">
        <f aca="false">SUM(Ngaji!U7,Ngaji!U41,Ngaji!U75,Ngaji!U109,Ngaji!U143)</f>
        <v>5</v>
      </c>
      <c r="E7" s="24" t="n">
        <f aca="false">SUM(Ngaji!V7,Ngaji!V41,Ngaji!V75,Ngaji!V109,Ngaji!V143)</f>
        <v>0</v>
      </c>
      <c r="F7" s="24" t="n">
        <f aca="false">SUM(Ngaji!W7,Ngaji!W41,Ngaji!W75,Ngaji!W109,Ngaji!W143)</f>
        <v>1</v>
      </c>
      <c r="G7" s="24" t="n">
        <f aca="false">SUM(Ngaji!X7,Ngaji!X41,Ngaji!X75,Ngaji!X109,Ngaji!X143)</f>
        <v>0</v>
      </c>
      <c r="H7" s="24" t="n">
        <f aca="false">SUM(Ngaji!Y7,Ngaji!Y41,Ngaji!Y75,Ngaji!Y109,Ngaji!Y143)</f>
        <v>2</v>
      </c>
      <c r="I7" s="24" t="str">
        <f aca="false">B7</f>
        <v>AYI KOSIM HATIMI</v>
      </c>
    </row>
    <row r="8" customFormat="false" ht="15.75" hidden="false" customHeight="false" outlineLevel="0" collapsed="false">
      <c r="A8" s="24" t="n">
        <v>2</v>
      </c>
      <c r="B8" s="24" t="str">
        <f aca="false">'absensi setoran'!B8</f>
        <v>ABRURRAHMAN AFANDI</v>
      </c>
      <c r="C8" s="24" t="n">
        <f aca="false">'absensi setoran'!C8</f>
        <v>30</v>
      </c>
      <c r="D8" s="24" t="n">
        <f aca="false">SUM(Ngaji!U8,Ngaji!U42,Ngaji!U76,Ngaji!U110,Ngaji!U144)</f>
        <v>3</v>
      </c>
      <c r="E8" s="24" t="n">
        <f aca="false">SUM(Ngaji!V8,Ngaji!V42,Ngaji!V76,Ngaji!V110,Ngaji!V144)</f>
        <v>3</v>
      </c>
      <c r="F8" s="24" t="n">
        <f aca="false">SUM(Ngaji!W8,Ngaji!W42,Ngaji!W76,Ngaji!W110,Ngaji!W144)</f>
        <v>0</v>
      </c>
      <c r="G8" s="24" t="n">
        <f aca="false">SUM(Ngaji!X8,Ngaji!X42,Ngaji!X76,Ngaji!X110,Ngaji!X144)</f>
        <v>0</v>
      </c>
      <c r="H8" s="24" t="n">
        <f aca="false">SUM(Ngaji!Y8,Ngaji!Y42,Ngaji!Y76,Ngaji!Y110,Ngaji!Y144)</f>
        <v>0</v>
      </c>
      <c r="I8" s="24" t="str">
        <f aca="false">B8</f>
        <v>ABRURRAHMAN AFANDI</v>
      </c>
    </row>
    <row r="9" customFormat="false" ht="15.75" hidden="false" customHeight="false" outlineLevel="0" collapsed="false">
      <c r="A9" s="24" t="n">
        <v>3</v>
      </c>
      <c r="B9" s="24" t="str">
        <f aca="false">'absensi setoran'!B9</f>
        <v>CECEP ABDULATIF</v>
      </c>
      <c r="C9" s="24" t="n">
        <f aca="false">'absensi setoran'!C9</f>
        <v>30</v>
      </c>
      <c r="D9" s="24" t="n">
        <f aca="false">SUM(Ngaji!U9,Ngaji!U43,Ngaji!U77,Ngaji!U111,Ngaji!U145)</f>
        <v>8</v>
      </c>
      <c r="E9" s="24" t="n">
        <f aca="false">SUM(Ngaji!V9,Ngaji!V43,Ngaji!V77,Ngaji!V111,Ngaji!V145)</f>
        <v>0</v>
      </c>
      <c r="F9" s="24" t="n">
        <f aca="false">SUM(Ngaji!W9,Ngaji!W43,Ngaji!W77,Ngaji!W111,Ngaji!W145)</f>
        <v>0</v>
      </c>
      <c r="G9" s="24" t="n">
        <f aca="false">SUM(Ngaji!X9,Ngaji!X43,Ngaji!X77,Ngaji!X111,Ngaji!X145)</f>
        <v>0</v>
      </c>
      <c r="H9" s="24" t="n">
        <f aca="false">SUM(Ngaji!Y9,Ngaji!Y43,Ngaji!Y77,Ngaji!Y111,Ngaji!Y145)</f>
        <v>0</v>
      </c>
      <c r="I9" s="24" t="str">
        <f aca="false">B9</f>
        <v>CECEP ABDULATIF</v>
      </c>
    </row>
    <row r="10" customFormat="false" ht="15.75" hidden="false" customHeight="false" outlineLevel="0" collapsed="false">
      <c r="A10" s="24" t="n">
        <v>4</v>
      </c>
      <c r="B10" s="24" t="str">
        <f aca="false">'absensi setoran'!B10</f>
        <v>DONI SUPRIATNA</v>
      </c>
      <c r="C10" s="24" t="n">
        <f aca="false">'absensi setoran'!C10</f>
        <v>30</v>
      </c>
      <c r="D10" s="24" t="n">
        <f aca="false">SUM(Ngaji!U10,Ngaji!U44,Ngaji!U78,Ngaji!U112,Ngaji!U146)</f>
        <v>5</v>
      </c>
      <c r="E10" s="24" t="n">
        <f aca="false">SUM(Ngaji!V10,Ngaji!V44,Ngaji!V78,Ngaji!V112,Ngaji!V146)</f>
        <v>0</v>
      </c>
      <c r="F10" s="24" t="n">
        <f aca="false">SUM(Ngaji!W10,Ngaji!W44,Ngaji!W78,Ngaji!W112,Ngaji!W146)</f>
        <v>3</v>
      </c>
      <c r="G10" s="24" t="n">
        <f aca="false">SUM(Ngaji!X10,Ngaji!X44,Ngaji!X78,Ngaji!X112,Ngaji!X146)</f>
        <v>0</v>
      </c>
      <c r="H10" s="24" t="n">
        <f aca="false">SUM(Ngaji!Y10,Ngaji!Y44,Ngaji!Y78,Ngaji!Y112,Ngaji!Y146)</f>
        <v>0</v>
      </c>
      <c r="I10" s="24" t="str">
        <f aca="false">B10</f>
        <v>DONI SUPRIATNA</v>
      </c>
    </row>
    <row r="11" customFormat="false" ht="15.75" hidden="false" customHeight="false" outlineLevel="0" collapsed="false">
      <c r="A11" s="24" t="n">
        <v>5</v>
      </c>
      <c r="B11" s="24" t="e">
        <f aca="false">'absensi setoran'!B11</f>
        <v>#REF!</v>
      </c>
      <c r="C11" s="24" t="e">
        <f aca="false">'absensi setoran'!C11</f>
        <v>#REF!</v>
      </c>
      <c r="D11" s="24" t="n">
        <f aca="false">SUM(Ngaji!U11,Ngaji!U45,Ngaji!U79,Ngaji!U113,Ngaji!U147)</f>
        <v>9</v>
      </c>
      <c r="E11" s="24" t="n">
        <f aca="false">SUM(Ngaji!V11,Ngaji!V45,Ngaji!V79,Ngaji!V113,Ngaji!V147)</f>
        <v>0</v>
      </c>
      <c r="F11" s="24" t="n">
        <f aca="false">SUM(Ngaji!W11,Ngaji!W45,Ngaji!W79,Ngaji!W113,Ngaji!W147)</f>
        <v>0</v>
      </c>
      <c r="G11" s="24" t="n">
        <f aca="false">SUM(Ngaji!X11,Ngaji!X45,Ngaji!X79,Ngaji!X113,Ngaji!X147)</f>
        <v>0</v>
      </c>
      <c r="H11" s="24" t="n">
        <f aca="false">SUM(Ngaji!Y11,Ngaji!Y45,Ngaji!Y79,Ngaji!Y113,Ngaji!Y147)</f>
        <v>0</v>
      </c>
      <c r="I11" s="24" t="e">
        <f aca="false">B11</f>
        <v>#REF!</v>
      </c>
    </row>
    <row r="12" customFormat="false" ht="15.75" hidden="false" customHeight="false" outlineLevel="0" collapsed="false">
      <c r="A12" s="24" t="n">
        <v>6</v>
      </c>
      <c r="B12" s="24" t="str">
        <f aca="false">'absensi setoran'!B12</f>
        <v>ZAKY AZHARI</v>
      </c>
      <c r="C12" s="24" t="n">
        <f aca="false">'absensi setoran'!C12</f>
        <v>30</v>
      </c>
      <c r="D12" s="24" t="n">
        <f aca="false">SUM(Ngaji!U12,Ngaji!U46,Ngaji!U80,Ngaji!U114,Ngaji!U148)</f>
        <v>5</v>
      </c>
      <c r="E12" s="24" t="n">
        <f aca="false">SUM(Ngaji!V12,Ngaji!V46,Ngaji!V80,Ngaji!V114,Ngaji!V148)</f>
        <v>0</v>
      </c>
      <c r="F12" s="24" t="n">
        <f aca="false">SUM(Ngaji!W12,Ngaji!W46,Ngaji!W80,Ngaji!W114,Ngaji!W148)</f>
        <v>1</v>
      </c>
      <c r="G12" s="24" t="n">
        <f aca="false">SUM(Ngaji!X12,Ngaji!X46,Ngaji!X80,Ngaji!X114,Ngaji!X148)</f>
        <v>0</v>
      </c>
      <c r="H12" s="24" t="n">
        <f aca="false">SUM(Ngaji!Y12,Ngaji!Y46,Ngaji!Y80,Ngaji!Y114,Ngaji!Y148)</f>
        <v>2</v>
      </c>
      <c r="I12" s="24" t="str">
        <f aca="false">B12</f>
        <v>ZAKY AZHARI</v>
      </c>
    </row>
    <row r="13" customFormat="false" ht="15.75" hidden="false" customHeight="false" outlineLevel="0" collapsed="false">
      <c r="A13" s="24" t="n">
        <v>7</v>
      </c>
      <c r="B13" s="24" t="str">
        <f aca="false">'absensi setoran'!B13</f>
        <v>MUHAMMAD FAUZIL ADZIM</v>
      </c>
      <c r="C13" s="24" t="n">
        <f aca="false">'absensi setoran'!C13</f>
        <v>30</v>
      </c>
      <c r="D13" s="24" t="n">
        <f aca="false">SUM(Ngaji!U13,Ngaji!U47,Ngaji!U81,Ngaji!U115,Ngaji!U149)</f>
        <v>7</v>
      </c>
      <c r="E13" s="24" t="n">
        <f aca="false">SUM(Ngaji!V13,Ngaji!V47,Ngaji!V81,Ngaji!V115,Ngaji!V149)</f>
        <v>0</v>
      </c>
      <c r="F13" s="24" t="n">
        <f aca="false">SUM(Ngaji!W13,Ngaji!W47,Ngaji!W81,Ngaji!W115,Ngaji!W149)</f>
        <v>1</v>
      </c>
      <c r="G13" s="24" t="n">
        <f aca="false">SUM(Ngaji!X13,Ngaji!X47,Ngaji!X81,Ngaji!X115,Ngaji!X149)</f>
        <v>0</v>
      </c>
      <c r="H13" s="24" t="n">
        <f aca="false">SUM(Ngaji!Y13,Ngaji!Y47,Ngaji!Y81,Ngaji!Y115,Ngaji!Y149)</f>
        <v>0</v>
      </c>
      <c r="I13" s="24" t="str">
        <f aca="false">B13</f>
        <v>MUHAMMAD FAUZIL ADZIM</v>
      </c>
    </row>
    <row r="14" customFormat="false" ht="15.75" hidden="false" customHeight="false" outlineLevel="0" collapsed="false">
      <c r="A14" s="24" t="n">
        <v>8</v>
      </c>
      <c r="B14" s="24" t="str">
        <f aca="false">'absensi setoran'!B14</f>
        <v>MUHAMMAD DZIKRI HUSAENI</v>
      </c>
      <c r="C14" s="24" t="n">
        <f aca="false">'absensi setoran'!C14</f>
        <v>18</v>
      </c>
      <c r="D14" s="24" t="n">
        <f aca="false">SUM(Ngaji!U14,Ngaji!U48,Ngaji!U82,Ngaji!U116,Ngaji!U150)</f>
        <v>9</v>
      </c>
      <c r="E14" s="24" t="n">
        <f aca="false">SUM(Ngaji!V14,Ngaji!V48,Ngaji!V82,Ngaji!V116,Ngaji!V150)</f>
        <v>0</v>
      </c>
      <c r="F14" s="24" t="n">
        <f aca="false">SUM(Ngaji!W14,Ngaji!W48,Ngaji!W82,Ngaji!W116,Ngaji!W150)</f>
        <v>0</v>
      </c>
      <c r="G14" s="24" t="n">
        <f aca="false">SUM(Ngaji!X14,Ngaji!X48,Ngaji!X82,Ngaji!X116,Ngaji!X150)</f>
        <v>0</v>
      </c>
      <c r="H14" s="24" t="n">
        <f aca="false">SUM(Ngaji!Y14,Ngaji!Y48,Ngaji!Y82,Ngaji!Y116,Ngaji!Y150)</f>
        <v>0</v>
      </c>
      <c r="I14" s="24" t="str">
        <f aca="false">B14</f>
        <v>MUHAMMAD DZIKRI HUSAENI</v>
      </c>
    </row>
    <row r="15" customFormat="false" ht="15.75" hidden="false" customHeight="false" outlineLevel="0" collapsed="false">
      <c r="A15" s="24" t="n">
        <v>9</v>
      </c>
      <c r="B15" s="24" t="e">
        <f aca="false">'absensi setoran'!B15</f>
        <v>#REF!</v>
      </c>
      <c r="C15" s="24" t="e">
        <f aca="false">'absensi setoran'!C15</f>
        <v>#REF!</v>
      </c>
      <c r="D15" s="24" t="n">
        <f aca="false">SUM(Ngaji!U15,Ngaji!U49,Ngaji!U83,Ngaji!U117,Ngaji!U151)</f>
        <v>5</v>
      </c>
      <c r="E15" s="24" t="n">
        <f aca="false">SUM(Ngaji!V15,Ngaji!V49,Ngaji!V83,Ngaji!V117,Ngaji!V151)</f>
        <v>0</v>
      </c>
      <c r="F15" s="24" t="n">
        <f aca="false">SUM(Ngaji!W15,Ngaji!W49,Ngaji!W83,Ngaji!W117,Ngaji!W151)</f>
        <v>2</v>
      </c>
      <c r="G15" s="24" t="n">
        <f aca="false">SUM(Ngaji!X15,Ngaji!X49,Ngaji!X83,Ngaji!X117,Ngaji!X151)</f>
        <v>0</v>
      </c>
      <c r="H15" s="24" t="n">
        <f aca="false">SUM(Ngaji!Y15,Ngaji!Y49,Ngaji!Y83,Ngaji!Y117,Ngaji!Y151)</f>
        <v>1</v>
      </c>
      <c r="I15" s="24" t="e">
        <f aca="false">B15</f>
        <v>#REF!</v>
      </c>
    </row>
    <row r="16" customFormat="false" ht="15.75" hidden="false" customHeight="false" outlineLevel="0" collapsed="false">
      <c r="A16" s="24" t="n">
        <v>10</v>
      </c>
      <c r="B16" s="24" t="str">
        <f aca="false">'absensi setoran'!B16</f>
        <v>ABDUL KHOLIQ</v>
      </c>
      <c r="C16" s="24" t="n">
        <f aca="false">'absensi setoran'!C16</f>
        <v>14</v>
      </c>
      <c r="D16" s="24" t="n">
        <f aca="false">SUM(Ngaji!U16,Ngaji!U50,Ngaji!U84,Ngaji!U118,Ngaji!U152)</f>
        <v>8</v>
      </c>
      <c r="E16" s="24" t="n">
        <f aca="false">SUM(Ngaji!V16,Ngaji!V50,Ngaji!V84,Ngaji!V118,Ngaji!V152)</f>
        <v>0</v>
      </c>
      <c r="F16" s="24" t="n">
        <f aca="false">SUM(Ngaji!W16,Ngaji!W50,Ngaji!W84,Ngaji!W118,Ngaji!W152)</f>
        <v>0</v>
      </c>
      <c r="G16" s="24" t="n">
        <f aca="false">SUM(Ngaji!X16,Ngaji!X50,Ngaji!X84,Ngaji!X118,Ngaji!X152)</f>
        <v>0</v>
      </c>
      <c r="H16" s="24" t="n">
        <f aca="false">SUM(Ngaji!Y16,Ngaji!Y50,Ngaji!Y84,Ngaji!Y118,Ngaji!Y152)</f>
        <v>0</v>
      </c>
      <c r="I16" s="24" t="str">
        <f aca="false">B16</f>
        <v>ABDUL KHOLIQ</v>
      </c>
    </row>
    <row r="17" customFormat="false" ht="15.75" hidden="false" customHeight="false" outlineLevel="0" collapsed="false">
      <c r="A17" s="24" t="n">
        <v>11</v>
      </c>
      <c r="B17" s="24" t="str">
        <f aca="false">'absensi setoran'!B17</f>
        <v>IYAN FARID</v>
      </c>
      <c r="C17" s="24" t="n">
        <f aca="false">'absensi setoran'!C17</f>
        <v>13</v>
      </c>
      <c r="D17" s="24" t="n">
        <f aca="false">SUM(Ngaji!U17,Ngaji!U51,Ngaji!U85,Ngaji!U119,Ngaji!U153)</f>
        <v>8</v>
      </c>
      <c r="E17" s="24" t="n">
        <f aca="false">SUM(Ngaji!V17,Ngaji!V51,Ngaji!V85,Ngaji!V119,Ngaji!V153)</f>
        <v>0</v>
      </c>
      <c r="F17" s="24" t="n">
        <f aca="false">SUM(Ngaji!W17,Ngaji!W51,Ngaji!W85,Ngaji!W119,Ngaji!W153)</f>
        <v>0</v>
      </c>
      <c r="G17" s="24" t="n">
        <f aca="false">SUM(Ngaji!X17,Ngaji!X51,Ngaji!X85,Ngaji!X119,Ngaji!X153)</f>
        <v>0</v>
      </c>
      <c r="H17" s="24" t="n">
        <f aca="false">SUM(Ngaji!Y17,Ngaji!Y51,Ngaji!Y85,Ngaji!Y119,Ngaji!Y153)</f>
        <v>0</v>
      </c>
      <c r="I17" s="24" t="str">
        <f aca="false">B17</f>
        <v>IYAN FARID</v>
      </c>
    </row>
    <row r="18" customFormat="false" ht="15.75" hidden="false" customHeight="false" outlineLevel="0" collapsed="false">
      <c r="A18" s="24" t="n">
        <v>12</v>
      </c>
      <c r="B18" s="24" t="str">
        <f aca="false">'absensi setoran'!B18</f>
        <v>ZAENI NURIL HIKAM</v>
      </c>
      <c r="C18" s="24" t="n">
        <f aca="false">'absensi setoran'!C18</f>
        <v>12</v>
      </c>
      <c r="D18" s="24" t="n">
        <f aca="false">SUM(Ngaji!U18,Ngaji!U52,Ngaji!U86,Ngaji!U120,Ngaji!U154)</f>
        <v>8</v>
      </c>
      <c r="E18" s="24" t="n">
        <f aca="false">SUM(Ngaji!V18,Ngaji!V52,Ngaji!V86,Ngaji!V120,Ngaji!V154)</f>
        <v>0</v>
      </c>
      <c r="F18" s="24" t="n">
        <f aca="false">SUM(Ngaji!W18,Ngaji!W52,Ngaji!W86,Ngaji!W120,Ngaji!W154)</f>
        <v>0</v>
      </c>
      <c r="G18" s="24" t="n">
        <f aca="false">SUM(Ngaji!X18,Ngaji!X52,Ngaji!X86,Ngaji!X120,Ngaji!X154)</f>
        <v>0</v>
      </c>
      <c r="H18" s="24" t="n">
        <f aca="false">SUM(Ngaji!Y18,Ngaji!Y52,Ngaji!Y86,Ngaji!Y120,Ngaji!Y154)</f>
        <v>0</v>
      </c>
      <c r="I18" s="24" t="str">
        <f aca="false">B18</f>
        <v>ZAENI NURIL HIKAM</v>
      </c>
    </row>
    <row r="19" customFormat="false" ht="15.75" hidden="false" customHeight="false" outlineLevel="0" collapsed="false">
      <c r="A19" s="24" t="n">
        <v>13</v>
      </c>
      <c r="B19" s="24" t="str">
        <f aca="false">'absensi setoran'!B19</f>
        <v>LUCKY KURNIAWAN</v>
      </c>
      <c r="C19" s="24" t="n">
        <f aca="false">'absensi setoran'!C19</f>
        <v>12</v>
      </c>
      <c r="D19" s="24" t="n">
        <f aca="false">SUM(Ngaji!U19,Ngaji!U53,Ngaji!U87,Ngaji!U121,Ngaji!U155)</f>
        <v>8</v>
      </c>
      <c r="E19" s="24" t="n">
        <f aca="false">SUM(Ngaji!V19,Ngaji!V53,Ngaji!V87,Ngaji!V121,Ngaji!V155)</f>
        <v>0</v>
      </c>
      <c r="F19" s="24" t="n">
        <f aca="false">SUM(Ngaji!W19,Ngaji!W53,Ngaji!W87,Ngaji!W121,Ngaji!W155)</f>
        <v>0</v>
      </c>
      <c r="G19" s="24" t="n">
        <f aca="false">SUM(Ngaji!X19,Ngaji!X53,Ngaji!X87,Ngaji!X121,Ngaji!X155)</f>
        <v>0</v>
      </c>
      <c r="H19" s="24" t="n">
        <f aca="false">SUM(Ngaji!Y19,Ngaji!Y53,Ngaji!Y87,Ngaji!Y121,Ngaji!Y155)</f>
        <v>0</v>
      </c>
      <c r="I19" s="24" t="str">
        <f aca="false">B19</f>
        <v>LUCKY KURNIAWAN</v>
      </c>
    </row>
    <row r="20" customFormat="false" ht="15.75" hidden="false" customHeight="false" outlineLevel="0" collapsed="false">
      <c r="A20" s="24" t="n">
        <v>14</v>
      </c>
      <c r="B20" s="24" t="str">
        <f aca="false">'absensi setoran'!B20</f>
        <v>MUHAMMAD RAFIK MUHARAM</v>
      </c>
      <c r="C20" s="24" t="n">
        <f aca="false">'absensi setoran'!C20</f>
        <v>12</v>
      </c>
      <c r="D20" s="24" t="n">
        <f aca="false">SUM(Ngaji!U20,Ngaji!U54,Ngaji!U88,Ngaji!U122,Ngaji!U156)</f>
        <v>7</v>
      </c>
      <c r="E20" s="24" t="n">
        <f aca="false">SUM(Ngaji!V20,Ngaji!V54,Ngaji!V88,Ngaji!V122,Ngaji!V156)</f>
        <v>0</v>
      </c>
      <c r="F20" s="24" t="n">
        <f aca="false">SUM(Ngaji!W20,Ngaji!W54,Ngaji!W88,Ngaji!W122,Ngaji!W156)</f>
        <v>0</v>
      </c>
      <c r="G20" s="24" t="n">
        <f aca="false">SUM(Ngaji!X20,Ngaji!X54,Ngaji!X88,Ngaji!X122,Ngaji!X156)</f>
        <v>0</v>
      </c>
      <c r="H20" s="24" t="n">
        <f aca="false">SUM(Ngaji!Y20,Ngaji!Y54,Ngaji!Y88,Ngaji!Y122,Ngaji!Y156)</f>
        <v>1</v>
      </c>
      <c r="I20" s="24" t="str">
        <f aca="false">B20</f>
        <v>MUHAMMAD RAFIK MUHARAM</v>
      </c>
    </row>
    <row r="21" customFormat="false" ht="15.75" hidden="false" customHeight="false" outlineLevel="0" collapsed="false">
      <c r="A21" s="24" t="n">
        <v>15</v>
      </c>
      <c r="B21" s="24" t="str">
        <f aca="false">'absensi setoran'!B21</f>
        <v>UMAR ABDUL MALIK</v>
      </c>
      <c r="C21" s="24" t="n">
        <f aca="false">'absensi setoran'!C21</f>
        <v>11</v>
      </c>
      <c r="D21" s="24" t="n">
        <f aca="false">SUM(Ngaji!U21,Ngaji!U55,Ngaji!U89,Ngaji!U123,Ngaji!U157)</f>
        <v>5</v>
      </c>
      <c r="E21" s="24" t="n">
        <f aca="false">SUM(Ngaji!V21,Ngaji!V55,Ngaji!V89,Ngaji!V123,Ngaji!V157)</f>
        <v>0</v>
      </c>
      <c r="F21" s="24" t="n">
        <f aca="false">SUM(Ngaji!W21,Ngaji!W55,Ngaji!W89,Ngaji!W123,Ngaji!W157)</f>
        <v>0</v>
      </c>
      <c r="G21" s="24" t="n">
        <f aca="false">SUM(Ngaji!X21,Ngaji!X55,Ngaji!X89,Ngaji!X123,Ngaji!X157)</f>
        <v>0</v>
      </c>
      <c r="H21" s="24" t="n">
        <f aca="false">SUM(Ngaji!Y21,Ngaji!Y55,Ngaji!Y89,Ngaji!Y123,Ngaji!Y157)</f>
        <v>3</v>
      </c>
      <c r="I21" s="24" t="str">
        <f aca="false">B21</f>
        <v>UMAR ABDUL MALIK</v>
      </c>
    </row>
    <row r="22" customFormat="false" ht="15.75" hidden="false" customHeight="false" outlineLevel="0" collapsed="false">
      <c r="A22" s="24" t="n">
        <v>16</v>
      </c>
      <c r="B22" s="24" t="str">
        <f aca="false">'absensi setoran'!B22</f>
        <v>AHMAD HAFIDZ ALHAWARI</v>
      </c>
      <c r="C22" s="24" t="n">
        <f aca="false">'absensi setoran'!C22</f>
        <v>10</v>
      </c>
      <c r="D22" s="24" t="n">
        <f aca="false">SUM(Ngaji!U22,Ngaji!U56,Ngaji!U90,Ngaji!U124,Ngaji!U158)</f>
        <v>9</v>
      </c>
      <c r="E22" s="24" t="n">
        <f aca="false">SUM(Ngaji!V22,Ngaji!V56,Ngaji!V90,Ngaji!V124,Ngaji!V158)</f>
        <v>0</v>
      </c>
      <c r="F22" s="24" t="n">
        <f aca="false">SUM(Ngaji!W22,Ngaji!W56,Ngaji!W90,Ngaji!W124,Ngaji!W158)</f>
        <v>0</v>
      </c>
      <c r="G22" s="24" t="n">
        <f aca="false">SUM(Ngaji!X22,Ngaji!X56,Ngaji!X90,Ngaji!X124,Ngaji!X158)</f>
        <v>0</v>
      </c>
      <c r="H22" s="24" t="n">
        <f aca="false">SUM(Ngaji!Y22,Ngaji!Y56,Ngaji!Y90,Ngaji!Y124,Ngaji!Y158)</f>
        <v>0</v>
      </c>
      <c r="I22" s="24" t="str">
        <f aca="false">B22</f>
        <v>AHMAD HAFIDZ ALHAWARI</v>
      </c>
    </row>
    <row r="23" customFormat="false" ht="15.75" hidden="false" customHeight="false" outlineLevel="0" collapsed="false">
      <c r="A23" s="24" t="n">
        <v>17</v>
      </c>
      <c r="B23" s="24" t="str">
        <f aca="false">'absensi setoran'!B23</f>
        <v>MUHAMMAD FAUZAN</v>
      </c>
      <c r="C23" s="24" t="n">
        <f aca="false">'absensi setoran'!C23</f>
        <v>10</v>
      </c>
      <c r="D23" s="24" t="n">
        <f aca="false">SUM(Ngaji!U23,Ngaji!U57,Ngaji!U91,Ngaji!U125,Ngaji!U159)</f>
        <v>9</v>
      </c>
      <c r="E23" s="24" t="n">
        <f aca="false">SUM(Ngaji!V23,Ngaji!V57,Ngaji!V91,Ngaji!V125,Ngaji!V159)</f>
        <v>0</v>
      </c>
      <c r="F23" s="24" t="n">
        <f aca="false">SUM(Ngaji!W23,Ngaji!W57,Ngaji!W91,Ngaji!W125,Ngaji!W159)</f>
        <v>0</v>
      </c>
      <c r="G23" s="24" t="n">
        <f aca="false">SUM(Ngaji!X23,Ngaji!X57,Ngaji!X91,Ngaji!X125,Ngaji!X159)</f>
        <v>0</v>
      </c>
      <c r="H23" s="24" t="n">
        <f aca="false">SUM(Ngaji!Y23,Ngaji!Y57,Ngaji!Y91,Ngaji!Y125,Ngaji!Y159)</f>
        <v>0</v>
      </c>
      <c r="I23" s="24" t="str">
        <f aca="false">B23</f>
        <v>MUHAMMAD FAUZAN</v>
      </c>
    </row>
    <row r="24" customFormat="false" ht="15.75" hidden="false" customHeight="false" outlineLevel="0" collapsed="false">
      <c r="A24" s="24" t="n">
        <v>18</v>
      </c>
      <c r="B24" s="24" t="str">
        <f aca="false">'absensi setoran'!B24</f>
        <v>AKBAR RAMADAN</v>
      </c>
      <c r="C24" s="24" t="n">
        <f aca="false">'absensi setoran'!C24</f>
        <v>9</v>
      </c>
      <c r="D24" s="24" t="n">
        <f aca="false">SUM(Ngaji!U24,Ngaji!U58,Ngaji!U92,Ngaji!U126,Ngaji!U160)</f>
        <v>9</v>
      </c>
      <c r="E24" s="24" t="n">
        <f aca="false">SUM(Ngaji!V24,Ngaji!V58,Ngaji!V92,Ngaji!V126,Ngaji!V160)</f>
        <v>0</v>
      </c>
      <c r="F24" s="24" t="n">
        <f aca="false">SUM(Ngaji!W24,Ngaji!W58,Ngaji!W92,Ngaji!W126,Ngaji!W160)</f>
        <v>0</v>
      </c>
      <c r="G24" s="24" t="n">
        <f aca="false">SUM(Ngaji!X24,Ngaji!X58,Ngaji!X92,Ngaji!X126,Ngaji!X160)</f>
        <v>0</v>
      </c>
      <c r="H24" s="24" t="n">
        <f aca="false">SUM(Ngaji!Y24,Ngaji!Y58,Ngaji!Y92,Ngaji!Y126,Ngaji!Y160)</f>
        <v>0</v>
      </c>
      <c r="I24" s="24" t="str">
        <f aca="false">B24</f>
        <v>AKBAR RAMADAN</v>
      </c>
    </row>
    <row r="25" customFormat="false" ht="15.75" hidden="false" customHeight="false" outlineLevel="0" collapsed="false">
      <c r="A25" s="24" t="n">
        <v>19</v>
      </c>
      <c r="B25" s="24" t="e">
        <f aca="false">'absensi setoran'!B25</f>
        <v>#REF!</v>
      </c>
      <c r="C25" s="24" t="e">
        <f aca="false">'absensi setoran'!C25</f>
        <v>#REF!</v>
      </c>
      <c r="D25" s="24" t="n">
        <f aca="false">SUM(Ngaji!U25,Ngaji!U59,Ngaji!U93,Ngaji!U127,Ngaji!U161)</f>
        <v>8</v>
      </c>
      <c r="E25" s="24" t="n">
        <f aca="false">SUM(Ngaji!V25,Ngaji!V59,Ngaji!V93,Ngaji!V127,Ngaji!V161)</f>
        <v>0</v>
      </c>
      <c r="F25" s="24" t="n">
        <f aca="false">SUM(Ngaji!W25,Ngaji!W59,Ngaji!W93,Ngaji!W127,Ngaji!W161)</f>
        <v>0</v>
      </c>
      <c r="G25" s="24" t="n">
        <f aca="false">SUM(Ngaji!X25,Ngaji!X59,Ngaji!X93,Ngaji!X127,Ngaji!X161)</f>
        <v>0</v>
      </c>
      <c r="H25" s="24" t="n">
        <f aca="false">SUM(Ngaji!Y25,Ngaji!Y59,Ngaji!Y93,Ngaji!Y127,Ngaji!Y161)</f>
        <v>1</v>
      </c>
      <c r="I25" s="24" t="e">
        <f aca="false">B25</f>
        <v>#REF!</v>
      </c>
    </row>
    <row r="26" customFormat="false" ht="15.75" hidden="false" customHeight="false" outlineLevel="0" collapsed="false">
      <c r="A26" s="24" t="n">
        <v>20</v>
      </c>
      <c r="B26" s="24" t="str">
        <f aca="false">'absensi setoran'!B26</f>
        <v>ABIDZAR ALGHIFARI</v>
      </c>
      <c r="C26" s="24" t="n">
        <f aca="false">'absensi setoran'!C26</f>
        <v>8</v>
      </c>
      <c r="D26" s="24" t="n">
        <f aca="false">SUM(Ngaji!U26,Ngaji!U60,Ngaji!U94,Ngaji!U128,Ngaji!U162)</f>
        <v>9</v>
      </c>
      <c r="E26" s="24" t="n">
        <f aca="false">SUM(Ngaji!V26,Ngaji!V60,Ngaji!V94,Ngaji!V128,Ngaji!V162)</f>
        <v>0</v>
      </c>
      <c r="F26" s="24" t="n">
        <f aca="false">SUM(Ngaji!W26,Ngaji!W60,Ngaji!W94,Ngaji!W128,Ngaji!W162)</f>
        <v>0</v>
      </c>
      <c r="G26" s="24" t="n">
        <f aca="false">SUM(Ngaji!X26,Ngaji!X60,Ngaji!X94,Ngaji!X128,Ngaji!X162)</f>
        <v>0</v>
      </c>
      <c r="H26" s="24" t="n">
        <f aca="false">SUM(Ngaji!Y26,Ngaji!Y60,Ngaji!Y94,Ngaji!Y128,Ngaji!Y162)</f>
        <v>0</v>
      </c>
      <c r="I26" s="24" t="str">
        <f aca="false">B26</f>
        <v>ABIDZAR ALGHIFARI</v>
      </c>
    </row>
    <row r="27" customFormat="false" ht="15.75" hidden="false" customHeight="false" outlineLevel="0" collapsed="false">
      <c r="A27" s="24" t="n">
        <v>21</v>
      </c>
      <c r="B27" s="24" t="str">
        <f aca="false">'absensi setoran'!B27</f>
        <v>KAFY MUHAMMAD AZIZY</v>
      </c>
      <c r="C27" s="24" t="n">
        <f aca="false">'absensi setoran'!C27</f>
        <v>7</v>
      </c>
      <c r="D27" s="24" t="n">
        <f aca="false">SUM(Ngaji!U27,Ngaji!U61,Ngaji!U95,Ngaji!U129,Ngaji!U163)</f>
        <v>9</v>
      </c>
      <c r="E27" s="24" t="n">
        <f aca="false">SUM(Ngaji!V27,Ngaji!V61,Ngaji!V95,Ngaji!V129,Ngaji!V163)</f>
        <v>0</v>
      </c>
      <c r="F27" s="24" t="n">
        <f aca="false">SUM(Ngaji!W27,Ngaji!W61,Ngaji!W95,Ngaji!W129,Ngaji!W163)</f>
        <v>0</v>
      </c>
      <c r="G27" s="24" t="n">
        <f aca="false">SUM(Ngaji!X27,Ngaji!X61,Ngaji!X95,Ngaji!X129,Ngaji!X163)</f>
        <v>0</v>
      </c>
      <c r="H27" s="24" t="n">
        <f aca="false">SUM(Ngaji!Y27,Ngaji!Y61,Ngaji!Y95,Ngaji!Y129,Ngaji!Y163)</f>
        <v>0</v>
      </c>
      <c r="I27" s="24" t="str">
        <f aca="false">B27</f>
        <v>KAFY MUHAMMAD AZIZY</v>
      </c>
    </row>
    <row r="28" customFormat="false" ht="15.75" hidden="false" customHeight="false" outlineLevel="0" collapsed="false">
      <c r="A28" s="24" t="n">
        <v>22</v>
      </c>
      <c r="B28" s="24" t="e">
        <f aca="false">'absensi setoran'!B28</f>
        <v>#REF!</v>
      </c>
      <c r="C28" s="24" t="e">
        <f aca="false">'absensi setoran'!C28</f>
        <v>#REF!</v>
      </c>
      <c r="D28" s="24" t="n">
        <f aca="false">SUM(Ngaji!U28,Ngaji!U62,Ngaji!U96,Ngaji!U130,Ngaji!U164)</f>
        <v>9</v>
      </c>
      <c r="E28" s="24" t="n">
        <f aca="false">SUM(Ngaji!V28,Ngaji!V62,Ngaji!V96,Ngaji!V130,Ngaji!V164)</f>
        <v>0</v>
      </c>
      <c r="F28" s="24" t="n">
        <f aca="false">SUM(Ngaji!W28,Ngaji!W62,Ngaji!W96,Ngaji!W130,Ngaji!W164)</f>
        <v>0</v>
      </c>
      <c r="G28" s="24" t="n">
        <f aca="false">SUM(Ngaji!X28,Ngaji!X62,Ngaji!X96,Ngaji!X130,Ngaji!X164)</f>
        <v>0</v>
      </c>
      <c r="H28" s="24" t="n">
        <f aca="false">SUM(Ngaji!Y28,Ngaji!Y62,Ngaji!Y96,Ngaji!Y130,Ngaji!Y164)</f>
        <v>0</v>
      </c>
      <c r="I28" s="24" t="e">
        <f aca="false">B28</f>
        <v>#REF!</v>
      </c>
    </row>
    <row r="29" customFormat="false" ht="15.75" hidden="false" customHeight="false" outlineLevel="0" collapsed="false">
      <c r="A29" s="24" t="n">
        <v>23</v>
      </c>
      <c r="B29" s="24" t="str">
        <f aca="false">'absensi setoran'!B29</f>
        <v>MUHAMMAD MUNAWWAR KHOLIL</v>
      </c>
      <c r="C29" s="24" t="n">
        <f aca="false">'absensi setoran'!C29</f>
        <v>4</v>
      </c>
      <c r="D29" s="24" t="n">
        <f aca="false">SUM(Ngaji!U29,Ngaji!U63,Ngaji!U97,Ngaji!U131,Ngaji!U165)</f>
        <v>9</v>
      </c>
      <c r="E29" s="24" t="n">
        <f aca="false">SUM(Ngaji!V29,Ngaji!V63,Ngaji!V97,Ngaji!V131,Ngaji!V165)</f>
        <v>0</v>
      </c>
      <c r="F29" s="24" t="n">
        <f aca="false">SUM(Ngaji!W29,Ngaji!W63,Ngaji!W97,Ngaji!W131,Ngaji!W165)</f>
        <v>0</v>
      </c>
      <c r="G29" s="24" t="n">
        <f aca="false">SUM(Ngaji!X29,Ngaji!X63,Ngaji!X97,Ngaji!X131,Ngaji!X165)</f>
        <v>0</v>
      </c>
      <c r="H29" s="24" t="n">
        <f aca="false">SUM(Ngaji!Y29,Ngaji!Y63,Ngaji!Y97,Ngaji!Y131,Ngaji!Y165)</f>
        <v>0</v>
      </c>
      <c r="I29" s="24" t="str">
        <f aca="false">B29</f>
        <v>MUHAMMAD MUNAWWAR KHOLIL</v>
      </c>
    </row>
    <row r="30" customFormat="false" ht="15.75" hidden="false" customHeight="false" outlineLevel="0" collapsed="false">
      <c r="A30" s="24" t="n">
        <v>24</v>
      </c>
      <c r="B30" s="24" t="str">
        <f aca="false">'absensi setoran'!B30</f>
        <v>ALWI</v>
      </c>
      <c r="C30" s="24" t="n">
        <f aca="false">'absensi setoran'!C30</f>
        <v>3</v>
      </c>
      <c r="D30" s="24" t="n">
        <f aca="false">SUM(Ngaji!U30,Ngaji!U64,Ngaji!U98,Ngaji!U132,Ngaji!U166)</f>
        <v>4</v>
      </c>
      <c r="E30" s="24" t="n">
        <f aca="false">SUM(Ngaji!V30,Ngaji!V64,Ngaji!V98,Ngaji!V132,Ngaji!V166)</f>
        <v>0</v>
      </c>
      <c r="F30" s="24" t="n">
        <f aca="false">SUM(Ngaji!W30,Ngaji!W64,Ngaji!W98,Ngaji!W132,Ngaji!W166)</f>
        <v>0</v>
      </c>
      <c r="G30" s="24" t="n">
        <f aca="false">SUM(Ngaji!X30,Ngaji!X64,Ngaji!X98,Ngaji!X132,Ngaji!X166)</f>
        <v>0</v>
      </c>
      <c r="H30" s="24" t="n">
        <f aca="false">SUM(Ngaji!Y30,Ngaji!Y64,Ngaji!Y98,Ngaji!Y132,Ngaji!Y166)</f>
        <v>0</v>
      </c>
      <c r="I30" s="24" t="str">
        <f aca="false">B30</f>
        <v>ALWI</v>
      </c>
    </row>
    <row r="31" customFormat="false" ht="15.75" hidden="false" customHeight="false" outlineLevel="0" collapsed="false">
      <c r="A31" s="24" t="n">
        <v>25</v>
      </c>
      <c r="B31" s="24" t="str">
        <f aca="false">'absensi setoran'!B31</f>
        <v>PIRMAN</v>
      </c>
    </row>
    <row r="32" customFormat="false" ht="15.75" hidden="false" customHeight="false" outlineLevel="0" collapsed="false">
      <c r="A32" s="24" t="n">
        <v>26</v>
      </c>
      <c r="B32" s="24" t="str">
        <f aca="false">'absensi setoran'!B32</f>
        <v>MUHAMMAD DENMAR NABAWI</v>
      </c>
    </row>
    <row r="33" customFormat="false" ht="15.75" hidden="false" customHeight="false" outlineLevel="0" collapsed="false">
      <c r="A33" s="24" t="n">
        <v>27</v>
      </c>
      <c r="B33" s="24" t="e">
        <f aca="false">'absensi setoran'!B33</f>
        <v>#REF!</v>
      </c>
    </row>
    <row r="34" customFormat="false" ht="15.75" hidden="false" customHeight="false" outlineLevel="0" collapsed="false">
      <c r="A34" s="24" t="n">
        <v>28</v>
      </c>
      <c r="B34" s="24" t="e">
        <f aca="false">'absensi setoran'!B34</f>
        <v>#REF!</v>
      </c>
    </row>
    <row r="35" customFormat="false" ht="15.75" hidden="false" customHeight="false" outlineLevel="0" collapsed="false">
      <c r="A35" s="19" t="s">
        <v>47</v>
      </c>
      <c r="B35" s="19"/>
      <c r="C35" s="19"/>
      <c r="D35" s="19"/>
      <c r="E35" s="19"/>
      <c r="F35" s="19"/>
      <c r="G35" s="19"/>
      <c r="H35" s="19"/>
      <c r="I35" s="19"/>
    </row>
    <row r="36" customFormat="false" ht="15.75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  <c r="I36" s="19"/>
    </row>
    <row r="37" customFormat="false" ht="15.75" hidden="false" customHeight="true" outlineLevel="0" collapsed="false">
      <c r="A37" s="19"/>
      <c r="B37" s="19"/>
      <c r="C37" s="19"/>
      <c r="D37" s="19"/>
      <c r="E37" s="19"/>
      <c r="F37" s="19"/>
      <c r="G37" s="19"/>
      <c r="H37" s="19"/>
      <c r="I37" s="19"/>
    </row>
    <row r="38" customFormat="false" ht="15.75" hidden="false" customHeight="false" outlineLevel="0" collapsed="false">
      <c r="A38" s="20" t="s">
        <v>56</v>
      </c>
      <c r="B38" s="20"/>
      <c r="C38" s="20"/>
      <c r="D38" s="20"/>
      <c r="E38" s="20"/>
      <c r="F38" s="20"/>
      <c r="G38" s="20"/>
      <c r="H38" s="20"/>
      <c r="I38" s="20"/>
    </row>
    <row r="39" customFormat="false" ht="15.75" hidden="false" customHeight="false" outlineLevel="0" collapsed="false">
      <c r="A39" s="21" t="s">
        <v>1</v>
      </c>
      <c r="B39" s="21" t="s">
        <v>2</v>
      </c>
      <c r="C39" s="22"/>
      <c r="D39" s="23" t="s">
        <v>49</v>
      </c>
      <c r="E39" s="23"/>
      <c r="F39" s="23"/>
      <c r="G39" s="23"/>
      <c r="H39" s="23"/>
      <c r="I39" s="23"/>
    </row>
    <row r="40" customFormat="false" ht="15.75" hidden="false" customHeight="false" outlineLevel="0" collapsed="false">
      <c r="A40" s="21"/>
      <c r="B40" s="21"/>
      <c r="C40" s="22" t="s">
        <v>50</v>
      </c>
      <c r="D40" s="24" t="s">
        <v>51</v>
      </c>
      <c r="E40" s="24" t="s">
        <v>52</v>
      </c>
      <c r="F40" s="24" t="s">
        <v>53</v>
      </c>
      <c r="G40" s="24" t="s">
        <v>54</v>
      </c>
      <c r="H40" s="24" t="s">
        <v>55</v>
      </c>
      <c r="I40" s="24"/>
    </row>
    <row r="41" customFormat="false" ht="15.75" hidden="false" customHeight="false" outlineLevel="0" collapsed="false">
      <c r="A41" s="24" t="n">
        <v>1</v>
      </c>
      <c r="B41" s="24" t="str">
        <f aca="false">'absensi setoran'!B41</f>
        <v>AYI KOSIM HATIMI</v>
      </c>
      <c r="C41" s="24" t="n">
        <f aca="false">'absensi setoran'!C41</f>
        <v>30</v>
      </c>
      <c r="D41" s="24" t="n">
        <f aca="false">SUM('absensi setoran'!AS7,'absensi setoran'!AS41,'absensi setoran'!AS75,'absensi setoran'!AS109,'absensi setoran'!AS143)</f>
        <v>11</v>
      </c>
      <c r="E41" s="24" t="n">
        <f aca="false">SUM('absensi setoran'!AT7,'absensi setoran'!AT41,'absensi setoran'!AT75,'absensi setoran'!AT109,'absensi setoran'!AT143)</f>
        <v>0</v>
      </c>
      <c r="F41" s="24" t="n">
        <f aca="false">SUM('absensi setoran'!AU7,'absensi setoran'!AU41,'absensi setoran'!AU75,'absensi setoran'!AU109,'absensi setoran'!AU143)</f>
        <v>2</v>
      </c>
      <c r="G41" s="24" t="n">
        <f aca="false">SUM('absensi setoran'!AV7,'absensi setoran'!AV41,'absensi setoran'!AV75,'absensi setoran'!AV109,'absensi setoran'!AV143)</f>
        <v>0</v>
      </c>
      <c r="H41" s="24" t="n">
        <f aca="false">SUM('absensi setoran'!AW7,'absensi setoran'!AW41,'absensi setoran'!AW75,'absensi setoran'!AW109,'absensi setoran'!AW143)</f>
        <v>3</v>
      </c>
      <c r="I41" s="24" t="str">
        <f aca="false">B41</f>
        <v>AYI KOSIM HATIMI</v>
      </c>
    </row>
    <row r="42" customFormat="false" ht="15.75" hidden="false" customHeight="false" outlineLevel="0" collapsed="false">
      <c r="A42" s="24" t="n">
        <v>2</v>
      </c>
      <c r="B42" s="24" t="str">
        <f aca="false">'absensi setoran'!B42</f>
        <v>ABRURRAHMAN AFANDI</v>
      </c>
      <c r="C42" s="24" t="n">
        <f aca="false">'absensi setoran'!C42</f>
        <v>30</v>
      </c>
      <c r="D42" s="24" t="n">
        <f aca="false">SUM('absensi setoran'!AS8,'absensi setoran'!AS42,'absensi setoran'!AS76,'absensi setoran'!AS110,'absensi setoran'!AS144)</f>
        <v>1</v>
      </c>
      <c r="E42" s="24" t="n">
        <f aca="false">SUM('absensi setoran'!AT8,'absensi setoran'!AT42,'absensi setoran'!AT76,'absensi setoran'!AT110,'absensi setoran'!AT144)</f>
        <v>0</v>
      </c>
      <c r="F42" s="24" t="n">
        <f aca="false">SUM('absensi setoran'!AU8,'absensi setoran'!AU42,'absensi setoran'!AU76,'absensi setoran'!AU110,'absensi setoran'!AU144)</f>
        <v>4</v>
      </c>
      <c r="G42" s="24" t="n">
        <f aca="false">SUM('absensi setoran'!AV8,'absensi setoran'!AV42,'absensi setoran'!AV76,'absensi setoran'!AV110,'absensi setoran'!AV144)</f>
        <v>0</v>
      </c>
      <c r="H42" s="24" t="n">
        <f aca="false">SUM('absensi setoran'!AW8,'absensi setoran'!AW42,'absensi setoran'!AW76,'absensi setoran'!AW110,'absensi setoran'!AW144)</f>
        <v>2</v>
      </c>
      <c r="I42" s="24" t="str">
        <f aca="false">B42</f>
        <v>ABRURRAHMAN AFANDI</v>
      </c>
    </row>
    <row r="43" customFormat="false" ht="15.75" hidden="false" customHeight="false" outlineLevel="0" collapsed="false">
      <c r="A43" s="24" t="n">
        <v>3</v>
      </c>
      <c r="B43" s="24" t="str">
        <f aca="false">'absensi setoran'!B43</f>
        <v>CECEP ABDULATIF</v>
      </c>
      <c r="C43" s="24" t="n">
        <f aca="false">'absensi setoran'!C43</f>
        <v>30</v>
      </c>
      <c r="D43" s="24" t="n">
        <f aca="false">SUM('absensi setoran'!AS9,'absensi setoran'!AS43,'absensi setoran'!AS77,'absensi setoran'!AS111,'absensi setoran'!AS145)</f>
        <v>6</v>
      </c>
      <c r="E43" s="24" t="n">
        <f aca="false">SUM('absensi setoran'!AT9,'absensi setoran'!AT43,'absensi setoran'!AT77,'absensi setoran'!AT111,'absensi setoran'!AT145)</f>
        <v>0</v>
      </c>
      <c r="F43" s="24" t="n">
        <f aca="false">SUM('absensi setoran'!AU9,'absensi setoran'!AU43,'absensi setoran'!AU77,'absensi setoran'!AU111,'absensi setoran'!AU145)</f>
        <v>6</v>
      </c>
      <c r="G43" s="24" t="n">
        <f aca="false">SUM('absensi setoran'!AV9,'absensi setoran'!AV43,'absensi setoran'!AV77,'absensi setoran'!AV111,'absensi setoran'!AV145)</f>
        <v>0</v>
      </c>
      <c r="H43" s="24" t="n">
        <f aca="false">SUM('absensi setoran'!AW9,'absensi setoran'!AW43,'absensi setoran'!AW77,'absensi setoran'!AW111,'absensi setoran'!AW145)</f>
        <v>3</v>
      </c>
      <c r="I43" s="24" t="str">
        <f aca="false">B43</f>
        <v>CECEP ABDULATIF</v>
      </c>
    </row>
    <row r="44" customFormat="false" ht="15.75" hidden="false" customHeight="false" outlineLevel="0" collapsed="false">
      <c r="A44" s="24" t="n">
        <v>4</v>
      </c>
      <c r="B44" s="24" t="str">
        <f aca="false">'absensi setoran'!B44</f>
        <v>DONI SUPRIATNA</v>
      </c>
      <c r="C44" s="24" t="n">
        <f aca="false">'absensi setoran'!C44</f>
        <v>30</v>
      </c>
      <c r="D44" s="24" t="n">
        <f aca="false">SUM('absensi setoran'!AS10,'absensi setoran'!AS44,'absensi setoran'!AS78,'absensi setoran'!AS112,'absensi setoran'!AS146)</f>
        <v>4</v>
      </c>
      <c r="E44" s="24" t="n">
        <f aca="false">SUM('absensi setoran'!AT10,'absensi setoran'!AT44,'absensi setoran'!AT78,'absensi setoran'!AT112,'absensi setoran'!AT146)</f>
        <v>1</v>
      </c>
      <c r="F44" s="24" t="n">
        <f aca="false">SUM('absensi setoran'!AU10,'absensi setoran'!AU44,'absensi setoran'!AU78,'absensi setoran'!AU112,'absensi setoran'!AU146)</f>
        <v>2</v>
      </c>
      <c r="G44" s="24" t="n">
        <f aca="false">SUM('absensi setoran'!AV10,'absensi setoran'!AV44,'absensi setoran'!AV78,'absensi setoran'!AV112,'absensi setoran'!AV146)</f>
        <v>0</v>
      </c>
      <c r="H44" s="24" t="n">
        <f aca="false">SUM('absensi setoran'!AW10,'absensi setoran'!AW44,'absensi setoran'!AW78,'absensi setoran'!AW112,'absensi setoran'!AW146)</f>
        <v>1</v>
      </c>
      <c r="I44" s="24" t="str">
        <f aca="false">B44</f>
        <v>DONI SUPRIATNA</v>
      </c>
    </row>
    <row r="45" customFormat="false" ht="15.75" hidden="false" customHeight="false" outlineLevel="0" collapsed="false">
      <c r="A45" s="24" t="n">
        <v>5</v>
      </c>
      <c r="B45" s="24" t="e">
        <f aca="false">'absensi setoran'!B45</f>
        <v>#REF!</v>
      </c>
      <c r="C45" s="24" t="e">
        <f aca="false">'absensi setoran'!C45</f>
        <v>#REF!</v>
      </c>
      <c r="D45" s="24" t="n">
        <f aca="false">SUM('absensi setoran'!AS11,'absensi setoran'!AS45,'absensi setoran'!AS79,'absensi setoran'!AS113,'absensi setoran'!AS147)</f>
        <v>11</v>
      </c>
      <c r="E45" s="24" t="n">
        <f aca="false">SUM('absensi setoran'!AT11,'absensi setoran'!AT45,'absensi setoran'!AT79,'absensi setoran'!AT113,'absensi setoran'!AT147)</f>
        <v>0</v>
      </c>
      <c r="F45" s="24" t="n">
        <f aca="false">SUM('absensi setoran'!AU11,'absensi setoran'!AU45,'absensi setoran'!AU79,'absensi setoran'!AU113,'absensi setoran'!AU147)</f>
        <v>0</v>
      </c>
      <c r="G45" s="24" t="n">
        <f aca="false">SUM('absensi setoran'!AV11,'absensi setoran'!AV45,'absensi setoran'!AV79,'absensi setoran'!AV113,'absensi setoran'!AV147)</f>
        <v>0</v>
      </c>
      <c r="H45" s="24" t="n">
        <f aca="false">SUM('absensi setoran'!AW11,'absensi setoran'!AW45,'absensi setoran'!AW79,'absensi setoran'!AW113,'absensi setoran'!AW147)</f>
        <v>2</v>
      </c>
      <c r="I45" s="24" t="e">
        <f aca="false">B45</f>
        <v>#REF!</v>
      </c>
    </row>
    <row r="46" customFormat="false" ht="15.75" hidden="false" customHeight="false" outlineLevel="0" collapsed="false">
      <c r="A46" s="24" t="n">
        <v>6</v>
      </c>
      <c r="B46" s="24" t="str">
        <f aca="false">'absensi setoran'!B46</f>
        <v>ZAKY AZHARI</v>
      </c>
      <c r="C46" s="24" t="n">
        <f aca="false">'absensi setoran'!C46</f>
        <v>30</v>
      </c>
      <c r="D46" s="24" t="n">
        <f aca="false">SUM('absensi setoran'!AS12,'absensi setoran'!AS46,'absensi setoran'!AS80,'absensi setoran'!AS114,'absensi setoran'!AS148)</f>
        <v>2</v>
      </c>
      <c r="E46" s="24" t="n">
        <f aca="false">SUM('absensi setoran'!AT12,'absensi setoran'!AT46,'absensi setoran'!AT80,'absensi setoran'!AT114,'absensi setoran'!AT148)</f>
        <v>3</v>
      </c>
      <c r="F46" s="24" t="n">
        <f aca="false">SUM('absensi setoran'!AU12,'absensi setoran'!AU46,'absensi setoran'!AU80,'absensi setoran'!AU114,'absensi setoran'!AU148)</f>
        <v>1</v>
      </c>
      <c r="G46" s="24" t="n">
        <f aca="false">SUM('absensi setoran'!AV12,'absensi setoran'!AV46,'absensi setoran'!AV80,'absensi setoran'!AV114,'absensi setoran'!AV148)</f>
        <v>2</v>
      </c>
      <c r="H46" s="24" t="n">
        <f aca="false">SUM('absensi setoran'!AW12,'absensi setoran'!AW46,'absensi setoran'!AW80,'absensi setoran'!AW114,'absensi setoran'!AW148)</f>
        <v>3</v>
      </c>
      <c r="I46" s="24" t="str">
        <f aca="false">B46</f>
        <v>ZAKY AZHARI</v>
      </c>
    </row>
    <row r="47" customFormat="false" ht="15.75" hidden="false" customHeight="false" outlineLevel="0" collapsed="false">
      <c r="A47" s="24" t="n">
        <v>7</v>
      </c>
      <c r="B47" s="24" t="str">
        <f aca="false">'absensi setoran'!B47</f>
        <v>MUHAMMAD FAUZIL ADZIM</v>
      </c>
      <c r="C47" s="24" t="n">
        <f aca="false">'absensi setoran'!C47</f>
        <v>30</v>
      </c>
      <c r="D47" s="24" t="n">
        <f aca="false">SUM('absensi setoran'!AS13,'absensi setoran'!AS47,'absensi setoran'!AS81,'absensi setoran'!AS115,'absensi setoran'!AS149)</f>
        <v>12</v>
      </c>
      <c r="E47" s="24" t="n">
        <f aca="false">SUM('absensi setoran'!AT13,'absensi setoran'!AT47,'absensi setoran'!AT81,'absensi setoran'!AT115,'absensi setoran'!AT149)</f>
        <v>0</v>
      </c>
      <c r="F47" s="24" t="n">
        <f aca="false">SUM('absensi setoran'!AU13,'absensi setoran'!AU47,'absensi setoran'!AU81,'absensi setoran'!AU115,'absensi setoran'!AU149)</f>
        <v>0</v>
      </c>
      <c r="G47" s="24" t="n">
        <f aca="false">SUM('absensi setoran'!AV13,'absensi setoran'!AV47,'absensi setoran'!AV81,'absensi setoran'!AV115,'absensi setoran'!AV149)</f>
        <v>0</v>
      </c>
      <c r="H47" s="24" t="n">
        <f aca="false">SUM('absensi setoran'!AW13,'absensi setoran'!AW47,'absensi setoran'!AW81,'absensi setoran'!AW115,'absensi setoran'!AW149)</f>
        <v>0</v>
      </c>
      <c r="I47" s="24" t="str">
        <f aca="false">B47</f>
        <v>MUHAMMAD FAUZIL ADZIM</v>
      </c>
    </row>
    <row r="48" customFormat="false" ht="15.75" hidden="false" customHeight="false" outlineLevel="0" collapsed="false">
      <c r="A48" s="24" t="n">
        <v>8</v>
      </c>
      <c r="B48" s="24" t="str">
        <f aca="false">'absensi setoran'!B48</f>
        <v>MUHAMMAD DZIKRI HUSAENI</v>
      </c>
      <c r="C48" s="24" t="n">
        <f aca="false">'absensi setoran'!C48</f>
        <v>18</v>
      </c>
      <c r="D48" s="24" t="n">
        <f aca="false">SUM('absensi setoran'!AS14,'absensi setoran'!AS48,'absensi setoran'!AS82,'absensi setoran'!AS116,'absensi setoran'!AS150)</f>
        <v>17</v>
      </c>
      <c r="E48" s="24" t="n">
        <f aca="false">SUM('absensi setoran'!AT14,'absensi setoran'!AT48,'absensi setoran'!AT82,'absensi setoran'!AT116,'absensi setoran'!AT150)</f>
        <v>0</v>
      </c>
      <c r="F48" s="24" t="n">
        <f aca="false">SUM('absensi setoran'!AU14,'absensi setoran'!AU48,'absensi setoran'!AU82,'absensi setoran'!AU116,'absensi setoran'!AU150)</f>
        <v>2</v>
      </c>
      <c r="G48" s="24" t="n">
        <f aca="false">SUM('absensi setoran'!AV14,'absensi setoran'!AV48,'absensi setoran'!AV82,'absensi setoran'!AV116,'absensi setoran'!AV150)</f>
        <v>1</v>
      </c>
      <c r="H48" s="24" t="n">
        <f aca="false">SUM('absensi setoran'!AW14,'absensi setoran'!AW48,'absensi setoran'!AW82,'absensi setoran'!AW116,'absensi setoran'!AW150)</f>
        <v>1</v>
      </c>
      <c r="I48" s="24" t="str">
        <f aca="false">B48</f>
        <v>MUHAMMAD DZIKRI HUSAENI</v>
      </c>
    </row>
    <row r="49" customFormat="false" ht="15.75" hidden="false" customHeight="false" outlineLevel="0" collapsed="false">
      <c r="A49" s="24" t="n">
        <v>9</v>
      </c>
      <c r="B49" s="24" t="e">
        <f aca="false">'absensi setoran'!B49</f>
        <v>#REF!</v>
      </c>
      <c r="C49" s="24" t="e">
        <f aca="false">'absensi setoran'!C49</f>
        <v>#REF!</v>
      </c>
      <c r="D49" s="24" t="n">
        <f aca="false">SUM('absensi setoran'!AS15,'absensi setoran'!AS49,'absensi setoran'!AS83,'absensi setoran'!AS117,'absensi setoran'!AS151)</f>
        <v>15</v>
      </c>
      <c r="E49" s="24" t="n">
        <f aca="false">SUM('absensi setoran'!AT15,'absensi setoran'!AT49,'absensi setoran'!AT83,'absensi setoran'!AT117,'absensi setoran'!AT151)</f>
        <v>0</v>
      </c>
      <c r="F49" s="24" t="n">
        <f aca="false">SUM('absensi setoran'!AU15,'absensi setoran'!AU49,'absensi setoran'!AU83,'absensi setoran'!AU117,'absensi setoran'!AU151)</f>
        <v>4</v>
      </c>
      <c r="G49" s="24" t="n">
        <f aca="false">SUM('absensi setoran'!AV15,'absensi setoran'!AV49,'absensi setoran'!AV83,'absensi setoran'!AV117,'absensi setoran'!AV151)</f>
        <v>0</v>
      </c>
      <c r="H49" s="24" t="n">
        <f aca="false">SUM('absensi setoran'!AW15,'absensi setoran'!AW49,'absensi setoran'!AW83,'absensi setoran'!AW117,'absensi setoran'!AW151)</f>
        <v>3</v>
      </c>
      <c r="I49" s="24" t="e">
        <f aca="false">B49</f>
        <v>#REF!</v>
      </c>
    </row>
    <row r="50" customFormat="false" ht="15.75" hidden="false" customHeight="false" outlineLevel="0" collapsed="false">
      <c r="A50" s="24" t="n">
        <v>10</v>
      </c>
      <c r="B50" s="24" t="str">
        <f aca="false">'absensi setoran'!B50</f>
        <v>ABDUL KHOLIQ</v>
      </c>
      <c r="C50" s="24" t="n">
        <f aca="false">'absensi setoran'!C50</f>
        <v>14</v>
      </c>
      <c r="D50" s="24" t="n">
        <f aca="false">SUM('absensi setoran'!AS16,'absensi setoran'!AS50,'absensi setoran'!AS84,'absensi setoran'!AS118,'absensi setoran'!AS152)</f>
        <v>10</v>
      </c>
      <c r="E50" s="24" t="n">
        <f aca="false">SUM('absensi setoran'!AT16,'absensi setoran'!AT50,'absensi setoran'!AT84,'absensi setoran'!AT118,'absensi setoran'!AT152)</f>
        <v>1</v>
      </c>
      <c r="F50" s="24" t="n">
        <f aca="false">SUM('absensi setoran'!AU16,'absensi setoran'!AU50,'absensi setoran'!AU84,'absensi setoran'!AU118,'absensi setoran'!AU152)</f>
        <v>1</v>
      </c>
      <c r="G50" s="24" t="n">
        <f aca="false">SUM('absensi setoran'!AV16,'absensi setoran'!AV50,'absensi setoran'!AV84,'absensi setoran'!AV118,'absensi setoran'!AV152)</f>
        <v>1</v>
      </c>
      <c r="H50" s="24" t="n">
        <f aca="false">SUM('absensi setoran'!AW16,'absensi setoran'!AW50,'absensi setoran'!AW84,'absensi setoran'!AW118,'absensi setoran'!AW152)</f>
        <v>1</v>
      </c>
      <c r="I50" s="24" t="str">
        <f aca="false">B50</f>
        <v>ABDUL KHOLIQ</v>
      </c>
    </row>
    <row r="51" customFormat="false" ht="15.75" hidden="false" customHeight="false" outlineLevel="0" collapsed="false">
      <c r="A51" s="24" t="n">
        <v>11</v>
      </c>
      <c r="B51" s="24" t="str">
        <f aca="false">'absensi setoran'!B51</f>
        <v>IYAN FARID</v>
      </c>
      <c r="C51" s="24" t="n">
        <f aca="false">'absensi setoran'!C51</f>
        <v>13</v>
      </c>
      <c r="D51" s="24" t="n">
        <f aca="false">SUM('absensi setoran'!AS17,'absensi setoran'!AS51,'absensi setoran'!AS85,'absensi setoran'!AS119,'absensi setoran'!AS153)</f>
        <v>9</v>
      </c>
      <c r="E51" s="24" t="n">
        <f aca="false">SUM('absensi setoran'!AT17,'absensi setoran'!AT51,'absensi setoran'!AT85,'absensi setoran'!AT119,'absensi setoran'!AT153)</f>
        <v>2</v>
      </c>
      <c r="F51" s="24" t="n">
        <f aca="false">SUM('absensi setoran'!AU17,'absensi setoran'!AU51,'absensi setoran'!AU85,'absensi setoran'!AU119,'absensi setoran'!AU153)</f>
        <v>0</v>
      </c>
      <c r="G51" s="24" t="n">
        <f aca="false">SUM('absensi setoran'!AV17,'absensi setoran'!AV51,'absensi setoran'!AV85,'absensi setoran'!AV119,'absensi setoran'!AV153)</f>
        <v>1</v>
      </c>
      <c r="H51" s="24" t="n">
        <f aca="false">SUM('absensi setoran'!AW17,'absensi setoran'!AW51,'absensi setoran'!AW85,'absensi setoran'!AW119,'absensi setoran'!AW153)</f>
        <v>1</v>
      </c>
      <c r="I51" s="24" t="str">
        <f aca="false">B51</f>
        <v>IYAN FARID</v>
      </c>
    </row>
    <row r="52" customFormat="false" ht="15.75" hidden="false" customHeight="false" outlineLevel="0" collapsed="false">
      <c r="A52" s="24" t="n">
        <v>12</v>
      </c>
      <c r="B52" s="24" t="str">
        <f aca="false">'absensi setoran'!B52</f>
        <v>ZAENI NURIL HIKAM</v>
      </c>
      <c r="C52" s="24" t="n">
        <f aca="false">'absensi setoran'!C52</f>
        <v>12</v>
      </c>
      <c r="D52" s="24" t="n">
        <f aca="false">SUM('absensi setoran'!AS18,'absensi setoran'!AS52,'absensi setoran'!AS86,'absensi setoran'!AS120,'absensi setoran'!AS154)</f>
        <v>8</v>
      </c>
      <c r="E52" s="24" t="n">
        <f aca="false">SUM('absensi setoran'!AT18,'absensi setoran'!AT52,'absensi setoran'!AT86,'absensi setoran'!AT120,'absensi setoran'!AT154)</f>
        <v>0</v>
      </c>
      <c r="F52" s="24" t="n">
        <f aca="false">SUM('absensi setoran'!AU18,'absensi setoran'!AU52,'absensi setoran'!AU86,'absensi setoran'!AU120,'absensi setoran'!AU154)</f>
        <v>2</v>
      </c>
      <c r="G52" s="24" t="n">
        <f aca="false">SUM('absensi setoran'!AV18,'absensi setoran'!AV52,'absensi setoran'!AV86,'absensi setoran'!AV120,'absensi setoran'!AV154)</f>
        <v>1</v>
      </c>
      <c r="H52" s="24" t="n">
        <f aca="false">SUM('absensi setoran'!AW18,'absensi setoran'!AW52,'absensi setoran'!AW86,'absensi setoran'!AW120,'absensi setoran'!AW154)</f>
        <v>1</v>
      </c>
      <c r="I52" s="24" t="str">
        <f aca="false">B52</f>
        <v>ZAENI NURIL HIKAM</v>
      </c>
    </row>
    <row r="53" customFormat="false" ht="15.75" hidden="false" customHeight="false" outlineLevel="0" collapsed="false">
      <c r="A53" s="24" t="n">
        <v>13</v>
      </c>
      <c r="B53" s="24" t="str">
        <f aca="false">'absensi setoran'!B53</f>
        <v>LUCKY KURNIAWAN</v>
      </c>
      <c r="C53" s="24" t="n">
        <f aca="false">'absensi setoran'!C53</f>
        <v>12</v>
      </c>
      <c r="D53" s="24" t="n">
        <f aca="false">SUM('absensi setoran'!AS19,'absensi setoran'!AS53,'absensi setoran'!AS87,'absensi setoran'!AS121,'absensi setoran'!AS155)</f>
        <v>8</v>
      </c>
      <c r="E53" s="24" t="n">
        <f aca="false">SUM('absensi setoran'!AT19,'absensi setoran'!AT53,'absensi setoran'!AT87,'absensi setoran'!AT121,'absensi setoran'!AT155)</f>
        <v>0</v>
      </c>
      <c r="F53" s="24" t="n">
        <f aca="false">SUM('absensi setoran'!AU19,'absensi setoran'!AU53,'absensi setoran'!AU87,'absensi setoran'!AU121,'absensi setoran'!AU155)</f>
        <v>11</v>
      </c>
      <c r="G53" s="24" t="n">
        <f aca="false">SUM('absensi setoran'!AV19,'absensi setoran'!AV53,'absensi setoran'!AV87,'absensi setoran'!AV121,'absensi setoran'!AV155)</f>
        <v>0</v>
      </c>
      <c r="H53" s="24" t="n">
        <f aca="false">SUM('absensi setoran'!AW19,'absensi setoran'!AW53,'absensi setoran'!AW87,'absensi setoran'!AW121,'absensi setoran'!AW155)</f>
        <v>5</v>
      </c>
      <c r="I53" s="24" t="str">
        <f aca="false">B53</f>
        <v>LUCKY KURNIAWAN</v>
      </c>
    </row>
    <row r="54" customFormat="false" ht="15.75" hidden="false" customHeight="false" outlineLevel="0" collapsed="false">
      <c r="A54" s="24" t="n">
        <v>14</v>
      </c>
      <c r="B54" s="24" t="str">
        <f aca="false">'absensi setoran'!B54</f>
        <v>MUHAMMAD RAFIK MUHARAM</v>
      </c>
      <c r="C54" s="24" t="n">
        <f aca="false">'absensi setoran'!C54</f>
        <v>12</v>
      </c>
      <c r="D54" s="24" t="n">
        <f aca="false">SUM('absensi setoran'!AS20,'absensi setoran'!AS54,'absensi setoran'!AS88,'absensi setoran'!AS122,'absensi setoran'!AS156)</f>
        <v>7</v>
      </c>
      <c r="E54" s="24" t="n">
        <f aca="false">SUM('absensi setoran'!AT20,'absensi setoran'!AT54,'absensi setoran'!AT88,'absensi setoran'!AT122,'absensi setoran'!AT156)</f>
        <v>0</v>
      </c>
      <c r="F54" s="24" t="n">
        <f aca="false">SUM('absensi setoran'!AU20,'absensi setoran'!AU54,'absensi setoran'!AU88,'absensi setoran'!AU122,'absensi setoran'!AU156)</f>
        <v>12</v>
      </c>
      <c r="G54" s="24" t="n">
        <f aca="false">SUM('absensi setoran'!AV20,'absensi setoran'!AV54,'absensi setoran'!AV88,'absensi setoran'!AV122,'absensi setoran'!AV156)</f>
        <v>0</v>
      </c>
      <c r="H54" s="24" t="n">
        <f aca="false">SUM('absensi setoran'!AW20,'absensi setoran'!AW54,'absensi setoran'!AW88,'absensi setoran'!AW122,'absensi setoran'!AW156)</f>
        <v>3</v>
      </c>
      <c r="I54" s="24" t="str">
        <f aca="false">B54</f>
        <v>MUHAMMAD RAFIK MUHARAM</v>
      </c>
    </row>
    <row r="55" customFormat="false" ht="15.75" hidden="false" customHeight="false" outlineLevel="0" collapsed="false">
      <c r="A55" s="24" t="n">
        <v>15</v>
      </c>
      <c r="B55" s="24" t="str">
        <f aca="false">'absensi setoran'!B55</f>
        <v>UMAR ABDUL MALIK</v>
      </c>
      <c r="C55" s="24" t="n">
        <f aca="false">'absensi setoran'!C55</f>
        <v>11</v>
      </c>
      <c r="D55" s="24" t="n">
        <f aca="false">SUM('absensi setoran'!AS21,'absensi setoran'!AS55,'absensi setoran'!AS89,'absensi setoran'!AS123,'absensi setoran'!AS157)</f>
        <v>9</v>
      </c>
      <c r="E55" s="24" t="n">
        <f aca="false">SUM('absensi setoran'!AT21,'absensi setoran'!AT55,'absensi setoran'!AT89,'absensi setoran'!AT123,'absensi setoran'!AT157)</f>
        <v>0</v>
      </c>
      <c r="F55" s="24" t="n">
        <f aca="false">SUM('absensi setoran'!AU21,'absensi setoran'!AU55,'absensi setoran'!AU89,'absensi setoran'!AU123,'absensi setoran'!AU157)</f>
        <v>4</v>
      </c>
      <c r="G55" s="24" t="n">
        <f aca="false">SUM('absensi setoran'!AV21,'absensi setoran'!AV55,'absensi setoran'!AV89,'absensi setoran'!AV123,'absensi setoran'!AV157)</f>
        <v>0</v>
      </c>
      <c r="H55" s="24" t="n">
        <f aca="false">SUM('absensi setoran'!AW21,'absensi setoran'!AW55,'absensi setoran'!AW89,'absensi setoran'!AW123,'absensi setoran'!AW157)</f>
        <v>7</v>
      </c>
      <c r="I55" s="24" t="str">
        <f aca="false">B55</f>
        <v>UMAR ABDUL MALIK</v>
      </c>
    </row>
    <row r="56" customFormat="false" ht="15.75" hidden="false" customHeight="false" outlineLevel="0" collapsed="false">
      <c r="A56" s="24" t="n">
        <v>16</v>
      </c>
      <c r="B56" s="24" t="str">
        <f aca="false">'absensi setoran'!B56</f>
        <v>AHMAD HAFIDZ ALHAWARI</v>
      </c>
      <c r="C56" s="24" t="n">
        <f aca="false">'absensi setoran'!C56</f>
        <v>10</v>
      </c>
      <c r="D56" s="24" t="n">
        <f aca="false">SUM('absensi setoran'!AS22,'absensi setoran'!AS56,'absensi setoran'!AS90,'absensi setoran'!AS124,'absensi setoran'!AS158)</f>
        <v>19</v>
      </c>
      <c r="E56" s="24" t="n">
        <f aca="false">SUM('absensi setoran'!AT22,'absensi setoran'!AT56,'absensi setoran'!AT90,'absensi setoran'!AT124,'absensi setoran'!AT158)</f>
        <v>0</v>
      </c>
      <c r="F56" s="24" t="n">
        <f aca="false">SUM('absensi setoran'!AU22,'absensi setoran'!AU56,'absensi setoran'!AU90,'absensi setoran'!AU124,'absensi setoran'!AU158)</f>
        <v>0</v>
      </c>
      <c r="G56" s="24" t="n">
        <f aca="false">SUM('absensi setoran'!AV22,'absensi setoran'!AV56,'absensi setoran'!AV90,'absensi setoran'!AV124,'absensi setoran'!AV158)</f>
        <v>0</v>
      </c>
      <c r="H56" s="24" t="n">
        <f aca="false">SUM('absensi setoran'!AW22,'absensi setoran'!AW56,'absensi setoran'!AW90,'absensi setoran'!AW124,'absensi setoran'!AW158)</f>
        <v>0</v>
      </c>
      <c r="I56" s="24" t="str">
        <f aca="false">B56</f>
        <v>AHMAD HAFIDZ ALHAWARI</v>
      </c>
    </row>
    <row r="57" customFormat="false" ht="15.75" hidden="false" customHeight="false" outlineLevel="0" collapsed="false">
      <c r="A57" s="24" t="n">
        <v>17</v>
      </c>
      <c r="B57" s="24" t="str">
        <f aca="false">'absensi setoran'!B57</f>
        <v>MUHAMMAD FAUZAN</v>
      </c>
      <c r="C57" s="24" t="n">
        <f aca="false">'absensi setoran'!C57</f>
        <v>10</v>
      </c>
      <c r="D57" s="24" t="n">
        <f aca="false">SUM('absensi setoran'!AS23,'absensi setoran'!AS57,'absensi setoran'!AS91,'absensi setoran'!AS125,'absensi setoran'!AS159)</f>
        <v>14</v>
      </c>
      <c r="E57" s="24" t="n">
        <f aca="false">SUM('absensi setoran'!AT23,'absensi setoran'!AT57,'absensi setoran'!AT91,'absensi setoran'!AT125,'absensi setoran'!AT159)</f>
        <v>0</v>
      </c>
      <c r="F57" s="24" t="n">
        <f aca="false">SUM('absensi setoran'!AU23,'absensi setoran'!AU57,'absensi setoran'!AU91,'absensi setoran'!AU125,'absensi setoran'!AU159)</f>
        <v>0</v>
      </c>
      <c r="G57" s="24" t="n">
        <f aca="false">SUM('absensi setoran'!AV23,'absensi setoran'!AV57,'absensi setoran'!AV91,'absensi setoran'!AV125,'absensi setoran'!AV159)</f>
        <v>0</v>
      </c>
      <c r="H57" s="24" t="n">
        <f aca="false">SUM('absensi setoran'!AW23,'absensi setoran'!AW57,'absensi setoran'!AW91,'absensi setoran'!AW125,'absensi setoran'!AW159)</f>
        <v>0</v>
      </c>
      <c r="I57" s="24" t="str">
        <f aca="false">B57</f>
        <v>MUHAMMAD FAUZAN</v>
      </c>
    </row>
    <row r="58" customFormat="false" ht="15.75" hidden="false" customHeight="false" outlineLevel="0" collapsed="false">
      <c r="A58" s="24" t="n">
        <v>18</v>
      </c>
      <c r="B58" s="24" t="str">
        <f aca="false">'absensi setoran'!B58</f>
        <v>AKBAR RAMADAN</v>
      </c>
      <c r="C58" s="24" t="n">
        <f aca="false">'absensi setoran'!C58</f>
        <v>9</v>
      </c>
      <c r="D58" s="24" t="n">
        <f aca="false">SUM('absensi setoran'!AS24,'absensi setoran'!AS58,'absensi setoran'!AS92,'absensi setoran'!AS126,'absensi setoran'!AS160)</f>
        <v>20</v>
      </c>
      <c r="E58" s="24" t="n">
        <f aca="false">SUM('absensi setoran'!AT24,'absensi setoran'!AT58,'absensi setoran'!AT92,'absensi setoran'!AT126,'absensi setoran'!AT160)</f>
        <v>0</v>
      </c>
      <c r="F58" s="24" t="n">
        <f aca="false">SUM('absensi setoran'!AU24,'absensi setoran'!AU58,'absensi setoran'!AU92,'absensi setoran'!AU126,'absensi setoran'!AU160)</f>
        <v>0</v>
      </c>
      <c r="G58" s="24" t="n">
        <f aca="false">SUM('absensi setoran'!AV24,'absensi setoran'!AV58,'absensi setoran'!AV92,'absensi setoran'!AV126,'absensi setoran'!AV160)</f>
        <v>2</v>
      </c>
      <c r="H58" s="24" t="n">
        <f aca="false">SUM('absensi setoran'!AW24,'absensi setoran'!AW58,'absensi setoran'!AW92,'absensi setoran'!AW126,'absensi setoran'!AW160)</f>
        <v>0</v>
      </c>
      <c r="I58" s="24" t="str">
        <f aca="false">B58</f>
        <v>AKBAR RAMADAN</v>
      </c>
    </row>
    <row r="59" customFormat="false" ht="15.75" hidden="false" customHeight="false" outlineLevel="0" collapsed="false">
      <c r="A59" s="24" t="n">
        <v>19</v>
      </c>
      <c r="B59" s="24" t="e">
        <f aca="false">'absensi setoran'!B59</f>
        <v>#REF!</v>
      </c>
      <c r="C59" s="24" t="e">
        <f aca="false">'absensi setoran'!C59</f>
        <v>#REF!</v>
      </c>
      <c r="D59" s="24" t="n">
        <f aca="false">SUM('absensi setoran'!AS25,'absensi setoran'!AS59,'absensi setoran'!AS93,'absensi setoran'!AS127,'absensi setoran'!AS161)</f>
        <v>18</v>
      </c>
      <c r="E59" s="24" t="n">
        <f aca="false">SUM('absensi setoran'!AT25,'absensi setoran'!AT59,'absensi setoran'!AT93,'absensi setoran'!AT127,'absensi setoran'!AT161)</f>
        <v>0</v>
      </c>
      <c r="F59" s="24" t="n">
        <f aca="false">SUM('absensi setoran'!AU25,'absensi setoran'!AU59,'absensi setoran'!AU93,'absensi setoran'!AU127,'absensi setoran'!AU161)</f>
        <v>4</v>
      </c>
      <c r="G59" s="24" t="n">
        <f aca="false">SUM('absensi setoran'!AV25,'absensi setoran'!AV59,'absensi setoran'!AV93,'absensi setoran'!AV127,'absensi setoran'!AV161)</f>
        <v>0</v>
      </c>
      <c r="H59" s="24" t="n">
        <f aca="false">SUM('absensi setoran'!AW25,'absensi setoran'!AW59,'absensi setoran'!AW93,'absensi setoran'!AW127,'absensi setoran'!AW161)</f>
        <v>0</v>
      </c>
      <c r="I59" s="24" t="e">
        <f aca="false">B59</f>
        <v>#REF!</v>
      </c>
    </row>
    <row r="60" customFormat="false" ht="15.75" hidden="false" customHeight="false" outlineLevel="0" collapsed="false">
      <c r="A60" s="24" t="n">
        <v>20</v>
      </c>
      <c r="B60" s="24" t="str">
        <f aca="false">'absensi setoran'!B60</f>
        <v>ABIDZAR ALGHIFARI</v>
      </c>
      <c r="C60" s="24" t="n">
        <f aca="false">'absensi setoran'!C60</f>
        <v>8</v>
      </c>
      <c r="D60" s="24" t="n">
        <f aca="false">SUM('absensi setoran'!AS26,'absensi setoran'!AS60,'absensi setoran'!AS94,'absensi setoran'!AS128,'absensi setoran'!AS162)</f>
        <v>21</v>
      </c>
      <c r="E60" s="24" t="n">
        <f aca="false">SUM('absensi setoran'!AT26,'absensi setoran'!AT60,'absensi setoran'!AT94,'absensi setoran'!AT128,'absensi setoran'!AT162)</f>
        <v>0</v>
      </c>
      <c r="F60" s="24" t="n">
        <f aca="false">SUM('absensi setoran'!AU26,'absensi setoran'!AU60,'absensi setoran'!AU94,'absensi setoran'!AU128,'absensi setoran'!AU162)</f>
        <v>1</v>
      </c>
      <c r="G60" s="24" t="n">
        <f aca="false">SUM('absensi setoran'!AV26,'absensi setoran'!AV60,'absensi setoran'!AV94,'absensi setoran'!AV128,'absensi setoran'!AV162)</f>
        <v>0</v>
      </c>
      <c r="H60" s="24" t="n">
        <f aca="false">SUM('absensi setoran'!AW26,'absensi setoran'!AW60,'absensi setoran'!AW94,'absensi setoran'!AW128,'absensi setoran'!AW162)</f>
        <v>0</v>
      </c>
      <c r="I60" s="24" t="str">
        <f aca="false">B60</f>
        <v>ABIDZAR ALGHIFARI</v>
      </c>
    </row>
    <row r="61" customFormat="false" ht="15.75" hidden="false" customHeight="false" outlineLevel="0" collapsed="false">
      <c r="A61" s="24" t="n">
        <v>21</v>
      </c>
      <c r="B61" s="24" t="str">
        <f aca="false">'absensi setoran'!B61</f>
        <v>KAFY MUHAMMAD AZIZY</v>
      </c>
      <c r="C61" s="24" t="n">
        <f aca="false">'absensi setoran'!C61</f>
        <v>7</v>
      </c>
      <c r="D61" s="24" t="n">
        <f aca="false">SUM('absensi setoran'!AS27,'absensi setoran'!AS61,'absensi setoran'!AS95,'absensi setoran'!AS129,'absensi setoran'!AS163)</f>
        <v>18</v>
      </c>
      <c r="E61" s="24" t="n">
        <f aca="false">SUM('absensi setoran'!AT27,'absensi setoran'!AT61,'absensi setoran'!AT95,'absensi setoran'!AT129,'absensi setoran'!AT163)</f>
        <v>0</v>
      </c>
      <c r="F61" s="24" t="n">
        <f aca="false">SUM('absensi setoran'!AU27,'absensi setoran'!AU61,'absensi setoran'!AU95,'absensi setoran'!AU129,'absensi setoran'!AU163)</f>
        <v>1</v>
      </c>
      <c r="G61" s="24" t="n">
        <f aca="false">SUM('absensi setoran'!AV27,'absensi setoran'!AV61,'absensi setoran'!AV95,'absensi setoran'!AV129,'absensi setoran'!AV163)</f>
        <v>0</v>
      </c>
      <c r="H61" s="24" t="n">
        <f aca="false">SUM('absensi setoran'!AW27,'absensi setoran'!AW61,'absensi setoran'!AW95,'absensi setoran'!AW129,'absensi setoran'!AW163)</f>
        <v>0</v>
      </c>
      <c r="I61" s="24" t="str">
        <f aca="false">B61</f>
        <v>KAFY MUHAMMAD AZIZY</v>
      </c>
    </row>
    <row r="62" customFormat="false" ht="15.75" hidden="false" customHeight="false" outlineLevel="0" collapsed="false">
      <c r="A62" s="24" t="n">
        <v>22</v>
      </c>
      <c r="B62" s="24" t="e">
        <f aca="false">'absensi setoran'!B62</f>
        <v>#REF!</v>
      </c>
      <c r="C62" s="24" t="e">
        <f aca="false">'absensi setoran'!C62</f>
        <v>#REF!</v>
      </c>
      <c r="D62" s="24" t="n">
        <f aca="false">SUM('absensi setoran'!AS28,'absensi setoran'!AS62,'absensi setoran'!AS96,'absensi setoran'!AS130,'absensi setoran'!AS164)</f>
        <v>19</v>
      </c>
      <c r="E62" s="24" t="n">
        <f aca="false">SUM('absensi setoran'!AT28,'absensi setoran'!AT62,'absensi setoran'!AT96,'absensi setoran'!AT130,'absensi setoran'!AT164)</f>
        <v>0</v>
      </c>
      <c r="F62" s="24" t="n">
        <f aca="false">SUM('absensi setoran'!AU28,'absensi setoran'!AU62,'absensi setoran'!AU96,'absensi setoran'!AU130,'absensi setoran'!AU164)</f>
        <v>3</v>
      </c>
      <c r="G62" s="24" t="n">
        <f aca="false">SUM('absensi setoran'!AV28,'absensi setoran'!AV62,'absensi setoran'!AV96,'absensi setoran'!AV130,'absensi setoran'!AV164)</f>
        <v>0</v>
      </c>
      <c r="H62" s="24" t="n">
        <f aca="false">SUM('absensi setoran'!AW28,'absensi setoran'!AW62,'absensi setoran'!AW96,'absensi setoran'!AW130,'absensi setoran'!AW164)</f>
        <v>0</v>
      </c>
      <c r="I62" s="24" t="e">
        <f aca="false">B62</f>
        <v>#REF!</v>
      </c>
    </row>
    <row r="63" customFormat="false" ht="15.75" hidden="false" customHeight="false" outlineLevel="0" collapsed="false">
      <c r="A63" s="24" t="n">
        <v>23</v>
      </c>
      <c r="B63" s="24" t="str">
        <f aca="false">'absensi setoran'!B63</f>
        <v>MUHAMMAD MUNAWWAR KHOLIL</v>
      </c>
      <c r="C63" s="24" t="n">
        <f aca="false">'absensi setoran'!C63</f>
        <v>4</v>
      </c>
      <c r="D63" s="24" t="n">
        <f aca="false">SUM('absensi setoran'!AS29,'absensi setoran'!AS63,'absensi setoran'!AS97,'absensi setoran'!AS131,'absensi setoran'!AS165)</f>
        <v>27</v>
      </c>
      <c r="E63" s="24" t="n">
        <f aca="false">SUM('absensi setoran'!AT29,'absensi setoran'!AT63,'absensi setoran'!AT97,'absensi setoran'!AT131,'absensi setoran'!AT165)</f>
        <v>0</v>
      </c>
      <c r="F63" s="24" t="n">
        <f aca="false">SUM('absensi setoran'!AU29,'absensi setoran'!AU63,'absensi setoran'!AU97,'absensi setoran'!AU131,'absensi setoran'!AU165)</f>
        <v>0</v>
      </c>
      <c r="G63" s="24" t="n">
        <f aca="false">SUM('absensi setoran'!AV29,'absensi setoran'!AV63,'absensi setoran'!AV97,'absensi setoran'!AV131,'absensi setoran'!AV165)</f>
        <v>0</v>
      </c>
      <c r="H63" s="24" t="n">
        <f aca="false">SUM('absensi setoran'!AW29,'absensi setoran'!AW63,'absensi setoran'!AW97,'absensi setoran'!AW131,'absensi setoran'!AW165)</f>
        <v>0</v>
      </c>
      <c r="I63" s="24" t="str">
        <f aca="false">B63</f>
        <v>MUHAMMAD MUNAWWAR KHOLIL</v>
      </c>
    </row>
    <row r="64" customFormat="false" ht="15.75" hidden="false" customHeight="false" outlineLevel="0" collapsed="false">
      <c r="A64" s="24" t="n">
        <v>24</v>
      </c>
      <c r="B64" s="24" t="str">
        <f aca="false">'absensi setoran'!B64</f>
        <v>ALWI</v>
      </c>
      <c r="C64" s="24" t="n">
        <f aca="false">'absensi setoran'!C64</f>
        <v>3</v>
      </c>
      <c r="D64" s="24" t="n">
        <f aca="false">SUM('absensi setoran'!AS30,'absensi setoran'!AS64,'absensi setoran'!AS98,'absensi setoran'!AS132,'absensi setoran'!AS166)</f>
        <v>13</v>
      </c>
      <c r="E64" s="24" t="n">
        <f aca="false">SUM('absensi setoran'!AT30,'absensi setoran'!AT64,'absensi setoran'!AT98,'absensi setoran'!AT132,'absensi setoran'!AT166)</f>
        <v>0</v>
      </c>
      <c r="F64" s="24" t="n">
        <f aca="false">SUM('absensi setoran'!AU30,'absensi setoran'!AU64,'absensi setoran'!AU98,'absensi setoran'!AU132,'absensi setoran'!AU166)</f>
        <v>0</v>
      </c>
      <c r="G64" s="24" t="n">
        <f aca="false">SUM('absensi setoran'!AV30,'absensi setoran'!AV64,'absensi setoran'!AV98,'absensi setoran'!AV132,'absensi setoran'!AV166)</f>
        <v>0</v>
      </c>
      <c r="H64" s="24" t="n">
        <f aca="false">SUM('absensi setoran'!AW30,'absensi setoran'!AW64,'absensi setoran'!AW98,'absensi setoran'!AW132,'absensi setoran'!AW166)</f>
        <v>0</v>
      </c>
      <c r="I64" s="24" t="str">
        <f aca="false">B64</f>
        <v>ALWI</v>
      </c>
    </row>
    <row r="69" customFormat="false" ht="15.75" hidden="false" customHeight="false" outlineLevel="0" collapsed="false">
      <c r="A69" s="25" t="s">
        <v>47</v>
      </c>
      <c r="B69" s="25"/>
      <c r="C69" s="25"/>
      <c r="D69" s="25"/>
      <c r="E69" s="25"/>
      <c r="F69" s="25"/>
      <c r="G69" s="25"/>
      <c r="H69" s="25"/>
      <c r="I69" s="25"/>
    </row>
    <row r="70" customFormat="false" ht="15.75" hidden="false" customHeight="true" outlineLevel="0" collapsed="false">
      <c r="A70" s="25"/>
      <c r="B70" s="25"/>
      <c r="C70" s="25"/>
      <c r="D70" s="25"/>
      <c r="E70" s="25"/>
      <c r="F70" s="25"/>
      <c r="G70" s="25"/>
      <c r="H70" s="25"/>
      <c r="I70" s="25"/>
    </row>
    <row r="71" customFormat="false" ht="15.75" hidden="false" customHeight="true" outlineLevel="0" collapsed="false">
      <c r="A71" s="25"/>
      <c r="B71" s="25"/>
      <c r="C71" s="25"/>
      <c r="D71" s="25"/>
      <c r="E71" s="25"/>
      <c r="F71" s="25"/>
      <c r="G71" s="25"/>
      <c r="H71" s="25"/>
      <c r="I71" s="25"/>
    </row>
    <row r="72" customFormat="false" ht="15.75" hidden="false" customHeight="false" outlineLevel="0" collapsed="false">
      <c r="A72" s="26" t="s">
        <v>57</v>
      </c>
      <c r="B72" s="26"/>
      <c r="C72" s="26"/>
      <c r="D72" s="26"/>
      <c r="E72" s="26"/>
      <c r="F72" s="26"/>
      <c r="G72" s="26"/>
      <c r="H72" s="26"/>
      <c r="I72" s="26"/>
    </row>
    <row r="73" customFormat="false" ht="15.75" hidden="false" customHeight="false" outlineLevel="0" collapsed="false">
      <c r="A73" s="27" t="s">
        <v>1</v>
      </c>
      <c r="B73" s="27" t="s">
        <v>2</v>
      </c>
      <c r="C73" s="28"/>
      <c r="D73" s="29" t="s">
        <v>49</v>
      </c>
      <c r="E73" s="29"/>
      <c r="F73" s="29"/>
      <c r="G73" s="29"/>
      <c r="H73" s="29"/>
      <c r="I73" s="29"/>
    </row>
    <row r="74" customFormat="false" ht="15.75" hidden="false" customHeight="false" outlineLevel="0" collapsed="false">
      <c r="A74" s="27"/>
      <c r="B74" s="27"/>
      <c r="C74" s="30" t="s">
        <v>50</v>
      </c>
      <c r="D74" s="31" t="s">
        <v>51</v>
      </c>
      <c r="E74" s="31" t="s">
        <v>52</v>
      </c>
      <c r="F74" s="31" t="s">
        <v>53</v>
      </c>
      <c r="G74" s="31" t="s">
        <v>54</v>
      </c>
      <c r="H74" s="31" t="s">
        <v>55</v>
      </c>
      <c r="I74" s="2"/>
    </row>
    <row r="75" customFormat="false" ht="15.75" hidden="false" customHeight="false" outlineLevel="0" collapsed="false">
      <c r="A75" s="31" t="n">
        <v>1</v>
      </c>
      <c r="B75" s="31" t="str">
        <f aca="false">'absensi setoran'!B75</f>
        <v>AYI KOSIM HATIMI</v>
      </c>
      <c r="C75" s="31" t="n">
        <f aca="false">'absensi setoran'!C75</f>
        <v>30</v>
      </c>
      <c r="D75" s="31" t="n">
        <f aca="false">SUM(ngafal!U7,ngafal!U41,ngafal!U75,ngafal!U109,ngafal!U143)</f>
        <v>3</v>
      </c>
      <c r="E75" s="31" t="n">
        <f aca="false">SUM(ngafal!V7,ngafal!V41,ngafal!V75,ngafal!V109,ngafal!V143)</f>
        <v>1</v>
      </c>
      <c r="F75" s="31" t="n">
        <f aca="false">SUM(ngafal!W7,ngafal!W41,ngafal!W75,ngafal!W109,ngafal!W143)</f>
        <v>2</v>
      </c>
      <c r="G75" s="31" t="n">
        <f aca="false">SUM(ngafal!X7,ngafal!X41,ngafal!X75,ngafal!X109,ngafal!X143)</f>
        <v>0</v>
      </c>
      <c r="H75" s="31" t="n">
        <f aca="false">SUM(ngafal!Y7,ngafal!Y41,ngafal!Y75,ngafal!Y109,ngafal!Y143)</f>
        <v>0</v>
      </c>
      <c r="I75" s="31" t="str">
        <f aca="false">B75</f>
        <v>AYI KOSIM HATIMI</v>
      </c>
    </row>
    <row r="76" customFormat="false" ht="15.75" hidden="false" customHeight="false" outlineLevel="0" collapsed="false">
      <c r="A76" s="31" t="n">
        <v>2</v>
      </c>
      <c r="B76" s="31" t="str">
        <f aca="false">'absensi setoran'!B76</f>
        <v>ABRURRAHMAN AFANDI</v>
      </c>
      <c r="C76" s="31" t="n">
        <f aca="false">'absensi setoran'!C76</f>
        <v>30</v>
      </c>
      <c r="D76" s="31" t="n">
        <f aca="false">SUM(ngafal!U8,ngafal!U42,ngafal!U76,ngafal!U110,ngafal!U144)</f>
        <v>0</v>
      </c>
      <c r="E76" s="31" t="n">
        <f aca="false">SUM(ngafal!V8,ngafal!V42,ngafal!V76,ngafal!V110,ngafal!V144)</f>
        <v>5</v>
      </c>
      <c r="F76" s="31" t="n">
        <f aca="false">SUM(ngafal!W8,ngafal!W42,ngafal!W76,ngafal!W110,ngafal!W144)</f>
        <v>0</v>
      </c>
      <c r="G76" s="31" t="n">
        <f aca="false">SUM(ngafal!X8,ngafal!X42,ngafal!X76,ngafal!X110,ngafal!X144)</f>
        <v>0</v>
      </c>
      <c r="H76" s="31" t="n">
        <f aca="false">SUM(ngafal!Y8,ngafal!Y42,ngafal!Y76,ngafal!Y110,ngafal!Y144)</f>
        <v>1</v>
      </c>
      <c r="I76" s="31" t="str">
        <f aca="false">B76</f>
        <v>ABRURRAHMAN AFANDI</v>
      </c>
    </row>
    <row r="77" customFormat="false" ht="15.75" hidden="false" customHeight="false" outlineLevel="0" collapsed="false">
      <c r="A77" s="31" t="n">
        <v>3</v>
      </c>
      <c r="B77" s="31" t="str">
        <f aca="false">'absensi setoran'!B77</f>
        <v>CECEP ABDULATIF</v>
      </c>
      <c r="C77" s="31" t="n">
        <f aca="false">'absensi setoran'!C77</f>
        <v>30</v>
      </c>
      <c r="D77" s="31" t="n">
        <f aca="false">SUM(ngafal!U9,ngafal!U43,ngafal!U77,ngafal!U111,ngafal!U145)</f>
        <v>5</v>
      </c>
      <c r="E77" s="31" t="n">
        <f aca="false">SUM(ngafal!V9,ngafal!V43,ngafal!V77,ngafal!V111,ngafal!V145)</f>
        <v>0</v>
      </c>
      <c r="F77" s="31" t="n">
        <f aca="false">SUM(ngafal!W9,ngafal!W43,ngafal!W77,ngafal!W111,ngafal!W145)</f>
        <v>0</v>
      </c>
      <c r="G77" s="31" t="n">
        <f aca="false">SUM(ngafal!X9,ngafal!X43,ngafal!X77,ngafal!X111,ngafal!X145)</f>
        <v>0</v>
      </c>
      <c r="H77" s="31" t="n">
        <f aca="false">SUM(ngafal!Y9,ngafal!Y43,ngafal!Y77,ngafal!Y111,ngafal!Y145)</f>
        <v>0</v>
      </c>
      <c r="I77" s="31" t="str">
        <f aca="false">B77</f>
        <v>CECEP ABDULATIF</v>
      </c>
    </row>
    <row r="78" customFormat="false" ht="15.75" hidden="false" customHeight="false" outlineLevel="0" collapsed="false">
      <c r="A78" s="31" t="n">
        <v>4</v>
      </c>
      <c r="B78" s="31" t="str">
        <f aca="false">'absensi setoran'!B78</f>
        <v>DONI SUPRIATNA</v>
      </c>
      <c r="C78" s="31" t="n">
        <f aca="false">'absensi setoran'!C78</f>
        <v>30</v>
      </c>
      <c r="D78" s="31" t="n">
        <f aca="false">SUM(ngafal!U10,ngafal!U44,ngafal!U78,ngafal!U112,ngafal!U146)</f>
        <v>4</v>
      </c>
      <c r="E78" s="31" t="n">
        <f aca="false">SUM(ngafal!V10,ngafal!V44,ngafal!V78,ngafal!V112,ngafal!V146)</f>
        <v>1</v>
      </c>
      <c r="F78" s="31" t="n">
        <f aca="false">SUM(ngafal!W10,ngafal!W44,ngafal!W78,ngafal!W112,ngafal!W146)</f>
        <v>0</v>
      </c>
      <c r="G78" s="31" t="n">
        <f aca="false">SUM(ngafal!X10,ngafal!X44,ngafal!X78,ngafal!X112,ngafal!X146)</f>
        <v>0</v>
      </c>
      <c r="H78" s="31" t="n">
        <f aca="false">SUM(ngafal!Y10,ngafal!Y44,ngafal!Y78,ngafal!Y112,ngafal!Y146)</f>
        <v>1</v>
      </c>
      <c r="I78" s="31" t="str">
        <f aca="false">B78</f>
        <v>DONI SUPRIATNA</v>
      </c>
    </row>
    <row r="79" customFormat="false" ht="15.75" hidden="false" customHeight="false" outlineLevel="0" collapsed="false">
      <c r="A79" s="31" t="n">
        <v>5</v>
      </c>
      <c r="B79" s="31" t="e">
        <f aca="false">'absensi setoran'!B79</f>
        <v>#REF!</v>
      </c>
      <c r="C79" s="31" t="e">
        <f aca="false">'absensi setoran'!C79</f>
        <v>#REF!</v>
      </c>
      <c r="D79" s="31" t="n">
        <f aca="false">SUM(ngafal!U11,ngafal!U45,ngafal!U79,ngafal!U113,ngafal!U147)</f>
        <v>4</v>
      </c>
      <c r="E79" s="31" t="n">
        <f aca="false">SUM(ngafal!V11,ngafal!V45,ngafal!V79,ngafal!V113,ngafal!V147)</f>
        <v>0</v>
      </c>
      <c r="F79" s="31" t="n">
        <f aca="false">SUM(ngafal!W11,ngafal!W45,ngafal!W79,ngafal!W113,ngafal!W147)</f>
        <v>0</v>
      </c>
      <c r="G79" s="31" t="n">
        <f aca="false">SUM(ngafal!X11,ngafal!X45,ngafal!X79,ngafal!X113,ngafal!X147)</f>
        <v>0</v>
      </c>
      <c r="H79" s="31" t="n">
        <f aca="false">SUM(ngafal!Y11,ngafal!Y45,ngafal!Y79,ngafal!Y113,ngafal!Y147)</f>
        <v>2</v>
      </c>
      <c r="I79" s="31" t="e">
        <f aca="false">B79</f>
        <v>#REF!</v>
      </c>
    </row>
    <row r="80" customFormat="false" ht="15.75" hidden="false" customHeight="false" outlineLevel="0" collapsed="false">
      <c r="A80" s="31" t="n">
        <v>6</v>
      </c>
      <c r="B80" s="31" t="str">
        <f aca="false">'absensi setoran'!B80</f>
        <v>ZAKY AZHARI</v>
      </c>
      <c r="C80" s="31" t="n">
        <f aca="false">'absensi setoran'!C80</f>
        <v>30</v>
      </c>
      <c r="D80" s="31" t="n">
        <f aca="false">SUM(ngafal!U12,ngafal!U46,ngafal!U80,ngafal!U114,ngafal!U148)</f>
        <v>2</v>
      </c>
      <c r="E80" s="31" t="n">
        <f aca="false">SUM(ngafal!V12,ngafal!V46,ngafal!V80,ngafal!V114,ngafal!V148)</f>
        <v>0</v>
      </c>
      <c r="F80" s="31" t="n">
        <f aca="false">SUM(ngafal!W12,ngafal!W46,ngafal!W80,ngafal!W114,ngafal!W148)</f>
        <v>2</v>
      </c>
      <c r="G80" s="31" t="n">
        <f aca="false">SUM(ngafal!X12,ngafal!X46,ngafal!X80,ngafal!X114,ngafal!X148)</f>
        <v>0</v>
      </c>
      <c r="H80" s="31" t="n">
        <f aca="false">SUM(ngafal!Y12,ngafal!Y46,ngafal!Y80,ngafal!Y114,ngafal!Y148)</f>
        <v>2</v>
      </c>
      <c r="I80" s="31" t="str">
        <f aca="false">B80</f>
        <v>ZAKY AZHARI</v>
      </c>
    </row>
    <row r="81" customFormat="false" ht="15.75" hidden="false" customHeight="false" outlineLevel="0" collapsed="false">
      <c r="A81" s="31" t="n">
        <v>7</v>
      </c>
      <c r="B81" s="31" t="str">
        <f aca="false">'absensi setoran'!B81</f>
        <v>MUHAMMAD FAUZIL ADZIM</v>
      </c>
      <c r="C81" s="31" t="n">
        <f aca="false">'absensi setoran'!C81</f>
        <v>30</v>
      </c>
      <c r="D81" s="31" t="n">
        <f aca="false">SUM(ngafal!U13,ngafal!U47,ngafal!U81,ngafal!U115,ngafal!U149)</f>
        <v>4</v>
      </c>
      <c r="E81" s="31" t="n">
        <f aca="false">SUM(ngafal!V13,ngafal!V47,ngafal!V81,ngafal!V115,ngafal!V149)</f>
        <v>0</v>
      </c>
      <c r="F81" s="31" t="n">
        <f aca="false">SUM(ngafal!W13,ngafal!W47,ngafal!W81,ngafal!W115,ngafal!W149)</f>
        <v>1</v>
      </c>
      <c r="G81" s="31" t="n">
        <f aca="false">SUM(ngafal!X13,ngafal!X47,ngafal!X81,ngafal!X115,ngafal!X149)</f>
        <v>0</v>
      </c>
      <c r="H81" s="31" t="n">
        <f aca="false">SUM(ngafal!Y13,ngafal!Y47,ngafal!Y81,ngafal!Y115,ngafal!Y149)</f>
        <v>0</v>
      </c>
      <c r="I81" s="31" t="str">
        <f aca="false">B81</f>
        <v>MUHAMMAD FAUZIL ADZIM</v>
      </c>
    </row>
    <row r="82" customFormat="false" ht="15.75" hidden="false" customHeight="false" outlineLevel="0" collapsed="false">
      <c r="A82" s="31" t="n">
        <v>8</v>
      </c>
      <c r="B82" s="31" t="str">
        <f aca="false">'absensi setoran'!B82</f>
        <v>MUHAMMAD DZIKRI HUSAENI</v>
      </c>
      <c r="C82" s="31" t="n">
        <f aca="false">'absensi setoran'!C82</f>
        <v>18</v>
      </c>
      <c r="D82" s="31" t="n">
        <f aca="false">SUM(ngafal!U14,ngafal!U48,ngafal!U82,ngafal!U116,ngafal!U150)</f>
        <v>3</v>
      </c>
      <c r="E82" s="31" t="n">
        <f aca="false">SUM(ngafal!V14,ngafal!V48,ngafal!V82,ngafal!V116,ngafal!V150)</f>
        <v>0</v>
      </c>
      <c r="F82" s="31" t="n">
        <f aca="false">SUM(ngafal!W14,ngafal!W48,ngafal!W82,ngafal!W116,ngafal!W150)</f>
        <v>0</v>
      </c>
      <c r="G82" s="31" t="n">
        <f aca="false">SUM(ngafal!X14,ngafal!X48,ngafal!X82,ngafal!X116,ngafal!X150)</f>
        <v>0</v>
      </c>
      <c r="H82" s="31" t="n">
        <f aca="false">SUM(ngafal!Y14,ngafal!Y48,ngafal!Y82,ngafal!Y116,ngafal!Y150)</f>
        <v>2</v>
      </c>
      <c r="I82" s="31" t="str">
        <f aca="false">B82</f>
        <v>MUHAMMAD DZIKRI HUSAENI</v>
      </c>
    </row>
    <row r="83" customFormat="false" ht="15.75" hidden="false" customHeight="false" outlineLevel="0" collapsed="false">
      <c r="A83" s="31" t="n">
        <v>9</v>
      </c>
      <c r="B83" s="31" t="e">
        <f aca="false">'absensi setoran'!B83</f>
        <v>#REF!</v>
      </c>
      <c r="C83" s="31" t="e">
        <f aca="false">'absensi setoran'!C83</f>
        <v>#REF!</v>
      </c>
      <c r="D83" s="31" t="n">
        <f aca="false">SUM(ngafal!U15,ngafal!U49,ngafal!U83,ngafal!U117,ngafal!U151)</f>
        <v>2</v>
      </c>
      <c r="E83" s="31" t="n">
        <f aca="false">SUM(ngafal!V15,ngafal!V49,ngafal!V83,ngafal!V117,ngafal!V151)</f>
        <v>0</v>
      </c>
      <c r="F83" s="31" t="n">
        <f aca="false">SUM(ngafal!W15,ngafal!W49,ngafal!W83,ngafal!W117,ngafal!W151)</f>
        <v>2</v>
      </c>
      <c r="G83" s="31" t="n">
        <f aca="false">SUM(ngafal!X15,ngafal!X49,ngafal!X83,ngafal!X117,ngafal!X151)</f>
        <v>0</v>
      </c>
      <c r="H83" s="31" t="n">
        <f aca="false">SUM(ngafal!Y15,ngafal!Y49,ngafal!Y83,ngafal!Y117,ngafal!Y151)</f>
        <v>2</v>
      </c>
      <c r="I83" s="31" t="e">
        <f aca="false">B83</f>
        <v>#REF!</v>
      </c>
    </row>
    <row r="84" customFormat="false" ht="15.75" hidden="false" customHeight="false" outlineLevel="0" collapsed="false">
      <c r="A84" s="31" t="n">
        <v>10</v>
      </c>
      <c r="B84" s="31" t="str">
        <f aca="false">'absensi setoran'!B84</f>
        <v>ABDUL KHOLIQ</v>
      </c>
      <c r="C84" s="31" t="n">
        <f aca="false">'absensi setoran'!C84</f>
        <v>14</v>
      </c>
      <c r="D84" s="31" t="n">
        <f aca="false">SUM(ngafal!U16,ngafal!U50,ngafal!U84,ngafal!U118,ngafal!U152)</f>
        <v>5</v>
      </c>
      <c r="E84" s="31" t="n">
        <f aca="false">SUM(ngafal!V16,ngafal!V50,ngafal!V84,ngafal!V118,ngafal!V152)</f>
        <v>0</v>
      </c>
      <c r="F84" s="31" t="n">
        <f aca="false">SUM(ngafal!W16,ngafal!W50,ngafal!W84,ngafal!W118,ngafal!W152)</f>
        <v>0</v>
      </c>
      <c r="G84" s="31" t="n">
        <f aca="false">SUM(ngafal!X16,ngafal!X50,ngafal!X84,ngafal!X118,ngafal!X152)</f>
        <v>0</v>
      </c>
      <c r="H84" s="31" t="n">
        <f aca="false">SUM(ngafal!Y16,ngafal!Y50,ngafal!Y84,ngafal!Y118,ngafal!Y152)</f>
        <v>1</v>
      </c>
      <c r="I84" s="31" t="str">
        <f aca="false">B84</f>
        <v>ABDUL KHOLIQ</v>
      </c>
    </row>
    <row r="85" customFormat="false" ht="15.75" hidden="false" customHeight="false" outlineLevel="0" collapsed="false">
      <c r="A85" s="31" t="n">
        <v>11</v>
      </c>
      <c r="B85" s="31" t="str">
        <f aca="false">'absensi setoran'!B85</f>
        <v>IYAN FARID</v>
      </c>
      <c r="C85" s="31" t="n">
        <f aca="false">'absensi setoran'!C85</f>
        <v>13</v>
      </c>
      <c r="D85" s="31" t="n">
        <f aca="false">SUM(ngafal!U17,ngafal!U51,ngafal!U85,ngafal!U119,ngafal!U153)</f>
        <v>2</v>
      </c>
      <c r="E85" s="31" t="n">
        <f aca="false">SUM(ngafal!V17,ngafal!V51,ngafal!V85,ngafal!V119,ngafal!V153)</f>
        <v>0</v>
      </c>
      <c r="F85" s="31" t="n">
        <f aca="false">SUM(ngafal!W17,ngafal!W51,ngafal!W85,ngafal!W119,ngafal!W153)</f>
        <v>1</v>
      </c>
      <c r="G85" s="31" t="n">
        <f aca="false">SUM(ngafal!X17,ngafal!X51,ngafal!X85,ngafal!X119,ngafal!X153)</f>
        <v>0</v>
      </c>
      <c r="H85" s="31" t="n">
        <f aca="false">SUM(ngafal!Y17,ngafal!Y51,ngafal!Y85,ngafal!Y119,ngafal!Y153)</f>
        <v>2</v>
      </c>
      <c r="I85" s="31" t="str">
        <f aca="false">B85</f>
        <v>IYAN FARID</v>
      </c>
    </row>
    <row r="86" customFormat="false" ht="15.75" hidden="false" customHeight="false" outlineLevel="0" collapsed="false">
      <c r="A86" s="31" t="n">
        <v>12</v>
      </c>
      <c r="B86" s="31" t="str">
        <f aca="false">'absensi setoran'!B86</f>
        <v>ZAENI NURIL HIKAM</v>
      </c>
      <c r="C86" s="31" t="n">
        <f aca="false">'absensi setoran'!C86</f>
        <v>12</v>
      </c>
      <c r="D86" s="31" t="n">
        <f aca="false">SUM(ngafal!U18,ngafal!U52,ngafal!U86,ngafal!U120,ngafal!U154)</f>
        <v>5</v>
      </c>
      <c r="E86" s="31" t="n">
        <f aca="false">SUM(ngafal!V18,ngafal!V52,ngafal!V86,ngafal!V120,ngafal!V154)</f>
        <v>0</v>
      </c>
      <c r="F86" s="31" t="n">
        <f aca="false">SUM(ngafal!W18,ngafal!W52,ngafal!W86,ngafal!W120,ngafal!W154)</f>
        <v>0</v>
      </c>
      <c r="G86" s="31" t="n">
        <f aca="false">SUM(ngafal!X18,ngafal!X52,ngafal!X86,ngafal!X120,ngafal!X154)</f>
        <v>0</v>
      </c>
      <c r="H86" s="31" t="n">
        <f aca="false">SUM(ngafal!Y18,ngafal!Y52,ngafal!Y86,ngafal!Y120,ngafal!Y154)</f>
        <v>1</v>
      </c>
      <c r="I86" s="31" t="str">
        <f aca="false">B86</f>
        <v>ZAENI NURIL HIKAM</v>
      </c>
    </row>
    <row r="87" customFormat="false" ht="15.75" hidden="false" customHeight="false" outlineLevel="0" collapsed="false">
      <c r="A87" s="31" t="n">
        <v>13</v>
      </c>
      <c r="B87" s="31" t="str">
        <f aca="false">'absensi setoran'!B87</f>
        <v>LUCKY KURNIAWAN</v>
      </c>
      <c r="C87" s="31" t="n">
        <f aca="false">'absensi setoran'!C87</f>
        <v>12</v>
      </c>
      <c r="D87" s="31" t="n">
        <f aca="false">SUM(ngafal!U19,ngafal!U53,ngafal!U87,ngafal!U121,ngafal!U155)</f>
        <v>3</v>
      </c>
      <c r="E87" s="31" t="n">
        <f aca="false">SUM(ngafal!V19,ngafal!V53,ngafal!V87,ngafal!V121,ngafal!V155)</f>
        <v>0</v>
      </c>
      <c r="F87" s="31" t="n">
        <f aca="false">SUM(ngafal!W19,ngafal!W53,ngafal!W87,ngafal!W121,ngafal!W155)</f>
        <v>0</v>
      </c>
      <c r="G87" s="31" t="n">
        <f aca="false">SUM(ngafal!X19,ngafal!X53,ngafal!X87,ngafal!X121,ngafal!X155)</f>
        <v>0</v>
      </c>
      <c r="H87" s="31" t="n">
        <f aca="false">SUM(ngafal!Y19,ngafal!Y53,ngafal!Y87,ngafal!Y121,ngafal!Y155)</f>
        <v>3</v>
      </c>
      <c r="I87" s="31" t="str">
        <f aca="false">B87</f>
        <v>LUCKY KURNIAWAN</v>
      </c>
    </row>
    <row r="88" customFormat="false" ht="15.75" hidden="false" customHeight="false" outlineLevel="0" collapsed="false">
      <c r="A88" s="31" t="n">
        <v>14</v>
      </c>
      <c r="B88" s="31" t="str">
        <f aca="false">'absensi setoran'!B88</f>
        <v>MUHAMMAD RAFIK MUHARAM</v>
      </c>
      <c r="C88" s="31" t="n">
        <f aca="false">'absensi setoran'!C88</f>
        <v>12</v>
      </c>
      <c r="D88" s="31" t="n">
        <f aca="false">SUM(ngafal!U20,ngafal!U54,ngafal!U88,ngafal!U122,ngafal!U156)</f>
        <v>1</v>
      </c>
      <c r="E88" s="31" t="n">
        <f aca="false">SUM(ngafal!V20,ngafal!V54,ngafal!V88,ngafal!V122,ngafal!V156)</f>
        <v>0</v>
      </c>
      <c r="F88" s="31" t="n">
        <f aca="false">SUM(ngafal!W20,ngafal!W54,ngafal!W88,ngafal!W122,ngafal!W156)</f>
        <v>0</v>
      </c>
      <c r="G88" s="31" t="n">
        <f aca="false">SUM(ngafal!X20,ngafal!X54,ngafal!X88,ngafal!X122,ngafal!X156)</f>
        <v>0</v>
      </c>
      <c r="H88" s="31" t="n">
        <f aca="false">SUM(ngafal!Y20,ngafal!Y54,ngafal!Y88,ngafal!Y122,ngafal!Y156)</f>
        <v>4</v>
      </c>
      <c r="I88" s="31" t="str">
        <f aca="false">B88</f>
        <v>MUHAMMAD RAFIK MUHARAM</v>
      </c>
    </row>
    <row r="89" customFormat="false" ht="15.75" hidden="false" customHeight="false" outlineLevel="0" collapsed="false">
      <c r="A89" s="31" t="n">
        <v>15</v>
      </c>
      <c r="B89" s="31" t="str">
        <f aca="false">'absensi setoran'!B89</f>
        <v>UMAR ABDUL MALIK</v>
      </c>
      <c r="C89" s="31" t="n">
        <f aca="false">'absensi setoran'!C89</f>
        <v>11</v>
      </c>
      <c r="D89" s="31" t="n">
        <f aca="false">SUM(ngafal!U21,ngafal!U55,ngafal!U89,ngafal!U123,ngafal!U157)</f>
        <v>1</v>
      </c>
      <c r="E89" s="31" t="n">
        <f aca="false">SUM(ngafal!V21,ngafal!V55,ngafal!V89,ngafal!V123,ngafal!V157)</f>
        <v>0</v>
      </c>
      <c r="F89" s="31" t="n">
        <f aca="false">SUM(ngafal!W21,ngafal!W55,ngafal!W89,ngafal!W123,ngafal!W157)</f>
        <v>0</v>
      </c>
      <c r="G89" s="31" t="n">
        <f aca="false">SUM(ngafal!X21,ngafal!X55,ngafal!X89,ngafal!X123,ngafal!X157)</f>
        <v>0</v>
      </c>
      <c r="H89" s="31" t="n">
        <f aca="false">SUM(ngafal!Y21,ngafal!Y55,ngafal!Y89,ngafal!Y123,ngafal!Y157)</f>
        <v>5</v>
      </c>
      <c r="I89" s="31" t="str">
        <f aca="false">B89</f>
        <v>UMAR ABDUL MALIK</v>
      </c>
    </row>
    <row r="90" customFormat="false" ht="15.75" hidden="false" customHeight="false" outlineLevel="0" collapsed="false">
      <c r="A90" s="31" t="n">
        <v>16</v>
      </c>
      <c r="B90" s="31" t="str">
        <f aca="false">'absensi setoran'!B90</f>
        <v>AHMAD HAFIDZ ALHAWARI</v>
      </c>
      <c r="C90" s="31" t="n">
        <f aca="false">'absensi setoran'!C90</f>
        <v>10</v>
      </c>
      <c r="D90" s="31" t="n">
        <f aca="false">SUM(ngafal!U22,ngafal!U56,ngafal!U90,ngafal!U124,ngafal!U158)</f>
        <v>6</v>
      </c>
      <c r="E90" s="31" t="n">
        <f aca="false">SUM(ngafal!V22,ngafal!V56,ngafal!V90,ngafal!V124,ngafal!V158)</f>
        <v>0</v>
      </c>
      <c r="F90" s="31" t="n">
        <f aca="false">SUM(ngafal!W22,ngafal!W56,ngafal!W90,ngafal!W124,ngafal!W158)</f>
        <v>0</v>
      </c>
      <c r="G90" s="31" t="n">
        <f aca="false">SUM(ngafal!X22,ngafal!X56,ngafal!X90,ngafal!X124,ngafal!X158)</f>
        <v>0</v>
      </c>
      <c r="H90" s="31" t="n">
        <f aca="false">SUM(ngafal!Y22,ngafal!Y56,ngafal!Y90,ngafal!Y124,ngafal!Y158)</f>
        <v>0</v>
      </c>
      <c r="I90" s="31" t="str">
        <f aca="false">B90</f>
        <v>AHMAD HAFIDZ ALHAWARI</v>
      </c>
    </row>
    <row r="91" customFormat="false" ht="15.75" hidden="false" customHeight="false" outlineLevel="0" collapsed="false">
      <c r="A91" s="31" t="n">
        <v>17</v>
      </c>
      <c r="B91" s="31" t="str">
        <f aca="false">'absensi setoran'!B91</f>
        <v>MUHAMMAD FAUZAN</v>
      </c>
      <c r="C91" s="31" t="n">
        <f aca="false">'absensi setoran'!C91</f>
        <v>10</v>
      </c>
      <c r="D91" s="31" t="n">
        <f aca="false">SUM(ngafal!U23,ngafal!U57,ngafal!U91,ngafal!U125,ngafal!U159)</f>
        <v>5</v>
      </c>
      <c r="E91" s="31" t="n">
        <f aca="false">SUM(ngafal!V23,ngafal!V57,ngafal!V91,ngafal!V125,ngafal!V159)</f>
        <v>0</v>
      </c>
      <c r="F91" s="31" t="n">
        <f aca="false">SUM(ngafal!W23,ngafal!W57,ngafal!W91,ngafal!W125,ngafal!W159)</f>
        <v>1</v>
      </c>
      <c r="G91" s="31" t="n">
        <f aca="false">SUM(ngafal!X23,ngafal!X57,ngafal!X91,ngafal!X125,ngafal!X159)</f>
        <v>0</v>
      </c>
      <c r="H91" s="31" t="n">
        <f aca="false">SUM(ngafal!Y23,ngafal!Y57,ngafal!Y91,ngafal!Y125,ngafal!Y159)</f>
        <v>0</v>
      </c>
      <c r="I91" s="31" t="str">
        <f aca="false">B91</f>
        <v>MUHAMMAD FAUZAN</v>
      </c>
    </row>
    <row r="92" customFormat="false" ht="15.75" hidden="false" customHeight="false" outlineLevel="0" collapsed="false">
      <c r="A92" s="31" t="n">
        <v>18</v>
      </c>
      <c r="B92" s="31" t="str">
        <f aca="false">'absensi setoran'!B92</f>
        <v>AKBAR RAMADAN</v>
      </c>
      <c r="C92" s="31" t="n">
        <f aca="false">'absensi setoran'!C92</f>
        <v>9</v>
      </c>
      <c r="D92" s="31" t="n">
        <f aca="false">SUM(ngafal!U24,ngafal!U58,ngafal!U92,ngafal!U126,ngafal!U160)</f>
        <v>6</v>
      </c>
      <c r="E92" s="31" t="n">
        <f aca="false">SUM(ngafal!V24,ngafal!V58,ngafal!V92,ngafal!V126,ngafal!V160)</f>
        <v>0</v>
      </c>
      <c r="F92" s="31" t="n">
        <f aca="false">SUM(ngafal!W24,ngafal!W58,ngafal!W92,ngafal!W126,ngafal!W160)</f>
        <v>0</v>
      </c>
      <c r="G92" s="31" t="n">
        <f aca="false">SUM(ngafal!X24,ngafal!X58,ngafal!X92,ngafal!X126,ngafal!X160)</f>
        <v>0</v>
      </c>
      <c r="H92" s="31" t="n">
        <f aca="false">SUM(ngafal!Y24,ngafal!Y58,ngafal!Y92,ngafal!Y126,ngafal!Y160)</f>
        <v>0</v>
      </c>
      <c r="I92" s="31" t="str">
        <f aca="false">B92</f>
        <v>AKBAR RAMADAN</v>
      </c>
    </row>
    <row r="93" customFormat="false" ht="15.75" hidden="false" customHeight="false" outlineLevel="0" collapsed="false">
      <c r="A93" s="31" t="n">
        <v>19</v>
      </c>
      <c r="B93" s="31" t="e">
        <f aca="false">'absensi setoran'!B93</f>
        <v>#REF!</v>
      </c>
      <c r="C93" s="31" t="e">
        <f aca="false">'absensi setoran'!C93</f>
        <v>#REF!</v>
      </c>
      <c r="D93" s="31" t="n">
        <f aca="false">SUM(ngafal!U25,ngafal!U59,ngafal!U93,ngafal!U127,ngafal!U161)</f>
        <v>3</v>
      </c>
      <c r="E93" s="31" t="n">
        <f aca="false">SUM(ngafal!V25,ngafal!V59,ngafal!V93,ngafal!V127,ngafal!V161)</f>
        <v>0</v>
      </c>
      <c r="F93" s="31" t="n">
        <f aca="false">SUM(ngafal!W25,ngafal!W59,ngafal!W93,ngafal!W127,ngafal!W161)</f>
        <v>0</v>
      </c>
      <c r="G93" s="31" t="n">
        <f aca="false">SUM(ngafal!X25,ngafal!X59,ngafal!X93,ngafal!X127,ngafal!X161)</f>
        <v>0</v>
      </c>
      <c r="H93" s="31" t="n">
        <f aca="false">SUM(ngafal!Y25,ngafal!Y59,ngafal!Y93,ngafal!Y127,ngafal!Y161)</f>
        <v>2</v>
      </c>
      <c r="I93" s="31" t="e">
        <f aca="false">B93</f>
        <v>#REF!</v>
      </c>
    </row>
    <row r="94" customFormat="false" ht="15.75" hidden="false" customHeight="false" outlineLevel="0" collapsed="false">
      <c r="A94" s="31" t="n">
        <v>20</v>
      </c>
      <c r="B94" s="31" t="str">
        <f aca="false">'absensi setoran'!B94</f>
        <v>ABIDZAR ALGHIFARI</v>
      </c>
      <c r="C94" s="31" t="n">
        <f aca="false">'absensi setoran'!C94</f>
        <v>8</v>
      </c>
      <c r="D94" s="31" t="n">
        <f aca="false">SUM(ngafal!U26,ngafal!U60,ngafal!U94,ngafal!U128,ngafal!U162)</f>
        <v>4</v>
      </c>
      <c r="E94" s="31" t="n">
        <f aca="false">SUM(ngafal!V26,ngafal!V60,ngafal!V94,ngafal!V128,ngafal!V162)</f>
        <v>1</v>
      </c>
      <c r="F94" s="31" t="n">
        <f aca="false">SUM(ngafal!W26,ngafal!W60,ngafal!W94,ngafal!W128,ngafal!W162)</f>
        <v>0</v>
      </c>
      <c r="G94" s="31" t="n">
        <f aca="false">SUM(ngafal!X26,ngafal!X60,ngafal!X94,ngafal!X128,ngafal!X162)</f>
        <v>0</v>
      </c>
      <c r="H94" s="31" t="n">
        <f aca="false">SUM(ngafal!Y26,ngafal!Y60,ngafal!Y94,ngafal!Y128,ngafal!Y162)</f>
        <v>0</v>
      </c>
      <c r="I94" s="31" t="str">
        <f aca="false">B94</f>
        <v>ABIDZAR ALGHIFARI</v>
      </c>
    </row>
    <row r="95" customFormat="false" ht="15.75" hidden="false" customHeight="false" outlineLevel="0" collapsed="false">
      <c r="A95" s="31" t="n">
        <v>21</v>
      </c>
      <c r="B95" s="2" t="str">
        <f aca="false">'absensi setoran'!B95</f>
        <v>KAFY MUHAMMAD AZIZY</v>
      </c>
      <c r="C95" s="2" t="n">
        <f aca="false">'absensi setoran'!C95</f>
        <v>7</v>
      </c>
      <c r="D95" s="31" t="n">
        <f aca="false">SUM(ngafal!U27,ngafal!U61,ngafal!U95,ngafal!U129,ngafal!U163)</f>
        <v>5</v>
      </c>
      <c r="E95" s="31" t="n">
        <f aca="false">SUM(ngafal!V27,ngafal!V61,ngafal!V95,ngafal!V129,ngafal!V163)</f>
        <v>0</v>
      </c>
      <c r="F95" s="31" t="n">
        <f aca="false">SUM(ngafal!W27,ngafal!W61,ngafal!W95,ngafal!W129,ngafal!W163)</f>
        <v>0</v>
      </c>
      <c r="G95" s="31" t="n">
        <f aca="false">SUM(ngafal!X27,ngafal!X61,ngafal!X95,ngafal!X129,ngafal!X163)</f>
        <v>0</v>
      </c>
      <c r="H95" s="31" t="n">
        <f aca="false">SUM(ngafal!Y27,ngafal!Y61,ngafal!Y95,ngafal!Y129,ngafal!Y163)</f>
        <v>0</v>
      </c>
      <c r="I95" s="2" t="str">
        <f aca="false">B95</f>
        <v>KAFY MUHAMMAD AZIZY</v>
      </c>
    </row>
    <row r="96" customFormat="false" ht="15.75" hidden="false" customHeight="false" outlineLevel="0" collapsed="false">
      <c r="A96" s="31" t="n">
        <v>22</v>
      </c>
      <c r="B96" s="2" t="e">
        <f aca="false">'absensi setoran'!B96</f>
        <v>#REF!</v>
      </c>
      <c r="C96" s="2" t="e">
        <f aca="false">'absensi setoran'!C96</f>
        <v>#REF!</v>
      </c>
      <c r="D96" s="31" t="n">
        <f aca="false">SUM(ngafal!U28,ngafal!U62,ngafal!U96,ngafal!U130,ngafal!U164)</f>
        <v>3</v>
      </c>
      <c r="E96" s="31" t="n">
        <f aca="false">SUM(ngafal!V28,ngafal!V62,ngafal!V96,ngafal!V130,ngafal!V164)</f>
        <v>0</v>
      </c>
      <c r="F96" s="31" t="n">
        <f aca="false">SUM(ngafal!W28,ngafal!W62,ngafal!W96,ngafal!W130,ngafal!W164)</f>
        <v>0</v>
      </c>
      <c r="G96" s="31" t="n">
        <f aca="false">SUM(ngafal!X28,ngafal!X62,ngafal!X96,ngafal!X130,ngafal!X164)</f>
        <v>0</v>
      </c>
      <c r="H96" s="31" t="n">
        <f aca="false">SUM(ngafal!Y28,ngafal!Y62,ngafal!Y96,ngafal!Y130,ngafal!Y164)</f>
        <v>2</v>
      </c>
      <c r="I96" s="2" t="e">
        <f aca="false">B96</f>
        <v>#REF!</v>
      </c>
    </row>
    <row r="97" customFormat="false" ht="15.75" hidden="false" customHeight="false" outlineLevel="0" collapsed="false">
      <c r="A97" s="31" t="n">
        <v>23</v>
      </c>
      <c r="B97" s="2" t="str">
        <f aca="false">'absensi setoran'!B97</f>
        <v>MUHAMMAD MUNAWWAR KHOLIL</v>
      </c>
      <c r="C97" s="2" t="str">
        <f aca="false">'absensi setoran'!C97</f>
        <v>Tahsin</v>
      </c>
      <c r="D97" s="31" t="n">
        <f aca="false">SUM(ngafal!U29,ngafal!U63,ngafal!U97,ngafal!U131,ngafal!U165)</f>
        <v>4</v>
      </c>
      <c r="E97" s="31" t="n">
        <f aca="false">SUM(ngafal!V29,ngafal!V63,ngafal!V97,ngafal!V131,ngafal!V165)</f>
        <v>0</v>
      </c>
      <c r="F97" s="31" t="n">
        <f aca="false">SUM(ngafal!W29,ngafal!W63,ngafal!W97,ngafal!W131,ngafal!W165)</f>
        <v>0</v>
      </c>
      <c r="G97" s="31" t="n">
        <f aca="false">SUM(ngafal!X29,ngafal!X63,ngafal!X97,ngafal!X131,ngafal!X165)</f>
        <v>0</v>
      </c>
      <c r="H97" s="31" t="n">
        <f aca="false">SUM(ngafal!Y29,ngafal!Y63,ngafal!Y97,ngafal!Y131,ngafal!Y165)</f>
        <v>0</v>
      </c>
      <c r="I97" s="2" t="str">
        <f aca="false">B97</f>
        <v>MUHAMMAD MUNAWWAR KHOLIL</v>
      </c>
    </row>
    <row r="98" customFormat="false" ht="15.75" hidden="false" customHeight="false" outlineLevel="0" collapsed="false">
      <c r="A98" s="31" t="n">
        <v>24</v>
      </c>
      <c r="B98" s="2" t="str">
        <f aca="false">'absensi setoran'!B98</f>
        <v>ALWI</v>
      </c>
      <c r="C98" s="2" t="str">
        <f aca="false">'absensi setoran'!C98</f>
        <v>Tahsin</v>
      </c>
      <c r="D98" s="31" t="n">
        <f aca="false">SUM(ngafal!U30,ngafal!U64,ngafal!U98,ngafal!U132,ngafal!U166)</f>
        <v>1</v>
      </c>
      <c r="E98" s="31" t="n">
        <f aca="false">SUM(ngafal!V30,ngafal!V64,ngafal!V98,ngafal!V132,ngafal!V166)</f>
        <v>0</v>
      </c>
      <c r="F98" s="31" t="n">
        <f aca="false">SUM(ngafal!W30,ngafal!W64,ngafal!W98,ngafal!W132,ngafal!W166)</f>
        <v>0</v>
      </c>
      <c r="G98" s="31" t="n">
        <f aca="false">SUM(ngafal!X30,ngafal!X64,ngafal!X98,ngafal!X132,ngafal!X166)</f>
        <v>0</v>
      </c>
      <c r="H98" s="31" t="n">
        <f aca="false">SUM(ngafal!Y30,ngafal!Y64,ngafal!Y98,ngafal!Y132,ngafal!Y166)</f>
        <v>0</v>
      </c>
      <c r="I98" s="2" t="str">
        <f aca="false">B98</f>
        <v>ALWI</v>
      </c>
    </row>
  </sheetData>
  <mergeCells count="15">
    <mergeCell ref="A1:I3"/>
    <mergeCell ref="A4:I4"/>
    <mergeCell ref="A5:A6"/>
    <mergeCell ref="B5:B6"/>
    <mergeCell ref="D5:I5"/>
    <mergeCell ref="A35:I37"/>
    <mergeCell ref="A38:I38"/>
    <mergeCell ref="A39:A40"/>
    <mergeCell ref="B39:B40"/>
    <mergeCell ref="D39:I39"/>
    <mergeCell ref="A69:I71"/>
    <mergeCell ref="A72:I72"/>
    <mergeCell ref="A73:A74"/>
    <mergeCell ref="B73:B74"/>
    <mergeCell ref="D73:I7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X701"/>
  <sheetViews>
    <sheetView showFormulas="false" showGridLines="true" showRowColHeaders="true" showZeros="true" rightToLeft="false" tabSelected="false" showOutlineSymbols="true" defaultGridColor="true" view="normal" topLeftCell="A1" colorId="64" zoomScale="61" zoomScaleNormal="61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25.75"/>
    <col collapsed="false" customWidth="true" hidden="false" outlineLevel="0" max="3" min="3" style="0" width="16.75"/>
    <col collapsed="false" customWidth="true" hidden="false" outlineLevel="0" max="4" min="4" style="0" width="17"/>
    <col collapsed="false" customWidth="true" hidden="false" outlineLevel="0" max="7" min="7" style="0" width="17"/>
    <col collapsed="false" customWidth="true" hidden="false" outlineLevel="0" max="10" min="10" style="0" width="25.75"/>
    <col collapsed="false" customWidth="true" hidden="false" outlineLevel="0" max="11" min="11" style="0" width="17"/>
    <col collapsed="false" customWidth="true" hidden="false" outlineLevel="0" max="14" min="14" style="0" width="17"/>
    <col collapsed="false" customWidth="true" hidden="false" outlineLevel="0" max="17" min="17" style="0" width="25.75"/>
    <col collapsed="false" customWidth="true" hidden="false" outlineLevel="0" max="18" min="18" style="0" width="17"/>
    <col collapsed="false" customWidth="true" hidden="false" outlineLevel="0" max="21" min="21" style="0" width="17"/>
    <col collapsed="false" customWidth="true" hidden="false" outlineLevel="0" max="24" min="24" style="0" width="25.75"/>
    <col collapsed="false" customWidth="true" hidden="false" outlineLevel="0" max="25" min="25" style="0" width="17"/>
    <col collapsed="false" customWidth="true" hidden="false" outlineLevel="0" max="28" min="28" style="0" width="17"/>
    <col collapsed="false" customWidth="true" hidden="false" outlineLevel="0" max="31" min="31" style="0" width="25.75"/>
    <col collapsed="false" customWidth="true" hidden="false" outlineLevel="0" max="32" min="32" style="0" width="17"/>
    <col collapsed="false" customWidth="true" hidden="false" outlineLevel="0" max="35" min="35" style="0" width="17"/>
    <col collapsed="false" customWidth="true" hidden="false" outlineLevel="0" max="38" min="38" style="0" width="25.75"/>
    <col collapsed="false" customWidth="true" hidden="false" outlineLevel="0" max="39" min="39" style="0" width="17"/>
    <col collapsed="false" customWidth="true" hidden="false" outlineLevel="0" max="42" min="42" style="0" width="17"/>
    <col collapsed="false" customWidth="true" hidden="false" outlineLevel="0" max="50" min="50" style="0" width="25.75"/>
  </cols>
  <sheetData>
    <row r="1" customFormat="false" ht="15.75" hidden="false" customHeight="false" outlineLevel="0" collapsed="false">
      <c r="A1" s="19" t="s">
        <v>56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24"/>
      <c r="AS1" s="24"/>
      <c r="AT1" s="24"/>
      <c r="AU1" s="24"/>
      <c r="AV1" s="24"/>
      <c r="AW1" s="24"/>
      <c r="AX1" s="24"/>
    </row>
    <row r="2" customFormat="false" ht="15.75" hidden="false" customHeight="false" outlineLevel="0" collapsed="false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4"/>
      <c r="AS2" s="24"/>
      <c r="AT2" s="24"/>
      <c r="AU2" s="24"/>
      <c r="AV2" s="24"/>
      <c r="AW2" s="24"/>
      <c r="AX2" s="24"/>
    </row>
    <row r="3" customFormat="false" ht="15.75" hidden="false" customHeight="false" outlineLevel="0" collapsed="false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24"/>
      <c r="AS3" s="24"/>
      <c r="AT3" s="24"/>
      <c r="AU3" s="24"/>
      <c r="AV3" s="24"/>
      <c r="AW3" s="24"/>
      <c r="AX3" s="24"/>
    </row>
    <row r="4" customFormat="false" ht="15.75" hidden="false" customHeight="false" outlineLevel="0" collapsed="false">
      <c r="A4" s="32" t="s">
        <v>58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</row>
    <row r="5" customFormat="false" ht="15.75" hidden="false" customHeight="false" outlineLevel="0" collapsed="false">
      <c r="A5" s="21" t="s">
        <v>1</v>
      </c>
      <c r="B5" s="21" t="s">
        <v>2</v>
      </c>
      <c r="C5" s="22"/>
      <c r="D5" s="33" t="s">
        <v>59</v>
      </c>
      <c r="E5" s="33"/>
      <c r="F5" s="33"/>
      <c r="G5" s="33"/>
      <c r="H5" s="33"/>
      <c r="I5" s="33"/>
      <c r="J5" s="34"/>
      <c r="K5" s="33" t="s">
        <v>60</v>
      </c>
      <c r="L5" s="33"/>
      <c r="M5" s="33"/>
      <c r="N5" s="33"/>
      <c r="O5" s="33"/>
      <c r="P5" s="33"/>
      <c r="Q5" s="34"/>
      <c r="R5" s="33" t="s">
        <v>61</v>
      </c>
      <c r="S5" s="33"/>
      <c r="T5" s="33"/>
      <c r="U5" s="33"/>
      <c r="V5" s="33"/>
      <c r="W5" s="33"/>
      <c r="X5" s="34"/>
      <c r="Y5" s="33" t="s">
        <v>62</v>
      </c>
      <c r="Z5" s="33"/>
      <c r="AA5" s="33"/>
      <c r="AB5" s="33"/>
      <c r="AC5" s="33"/>
      <c r="AD5" s="33"/>
      <c r="AE5" s="34"/>
      <c r="AF5" s="33" t="s">
        <v>63</v>
      </c>
      <c r="AG5" s="33"/>
      <c r="AH5" s="33"/>
      <c r="AI5" s="33"/>
      <c r="AJ5" s="33"/>
      <c r="AK5" s="33"/>
      <c r="AL5" s="34"/>
      <c r="AM5" s="33" t="s">
        <v>64</v>
      </c>
      <c r="AN5" s="33"/>
      <c r="AO5" s="33"/>
      <c r="AP5" s="33"/>
      <c r="AQ5" s="33"/>
      <c r="AR5" s="33"/>
      <c r="AS5" s="33" t="s">
        <v>65</v>
      </c>
      <c r="AT5" s="33"/>
      <c r="AU5" s="33"/>
      <c r="AV5" s="33"/>
      <c r="AW5" s="33"/>
      <c r="AX5" s="34"/>
    </row>
    <row r="6" customFormat="false" ht="15.75" hidden="false" customHeight="false" outlineLevel="0" collapsed="false">
      <c r="A6" s="21"/>
      <c r="B6" s="21"/>
      <c r="C6" s="22" t="s">
        <v>66</v>
      </c>
      <c r="D6" s="35" t="s">
        <v>67</v>
      </c>
      <c r="E6" s="35"/>
      <c r="F6" s="36" t="s">
        <v>68</v>
      </c>
      <c r="G6" s="35" t="s">
        <v>69</v>
      </c>
      <c r="H6" s="35"/>
      <c r="I6" s="36" t="s">
        <v>68</v>
      </c>
      <c r="J6" s="37"/>
      <c r="K6" s="35" t="s">
        <v>67</v>
      </c>
      <c r="L6" s="35"/>
      <c r="M6" s="36" t="s">
        <v>68</v>
      </c>
      <c r="N6" s="35" t="s">
        <v>69</v>
      </c>
      <c r="O6" s="35"/>
      <c r="P6" s="36" t="s">
        <v>68</v>
      </c>
      <c r="Q6" s="37"/>
      <c r="R6" s="35" t="s">
        <v>67</v>
      </c>
      <c r="S6" s="35"/>
      <c r="T6" s="36" t="s">
        <v>68</v>
      </c>
      <c r="U6" s="35" t="s">
        <v>69</v>
      </c>
      <c r="V6" s="35"/>
      <c r="W6" s="36" t="s">
        <v>68</v>
      </c>
      <c r="X6" s="37"/>
      <c r="Y6" s="35" t="s">
        <v>67</v>
      </c>
      <c r="Z6" s="35"/>
      <c r="AA6" s="36" t="s">
        <v>68</v>
      </c>
      <c r="AB6" s="35" t="s">
        <v>69</v>
      </c>
      <c r="AC6" s="35"/>
      <c r="AD6" s="36" t="s">
        <v>68</v>
      </c>
      <c r="AE6" s="37"/>
      <c r="AF6" s="35" t="s">
        <v>67</v>
      </c>
      <c r="AG6" s="35"/>
      <c r="AH6" s="36" t="s">
        <v>68</v>
      </c>
      <c r="AI6" s="35" t="s">
        <v>69</v>
      </c>
      <c r="AJ6" s="35"/>
      <c r="AK6" s="36" t="s">
        <v>68</v>
      </c>
      <c r="AL6" s="37"/>
      <c r="AM6" s="35" t="s">
        <v>67</v>
      </c>
      <c r="AN6" s="35"/>
      <c r="AO6" s="36" t="s">
        <v>68</v>
      </c>
      <c r="AP6" s="35" t="s">
        <v>69</v>
      </c>
      <c r="AQ6" s="35"/>
      <c r="AR6" s="36" t="s">
        <v>68</v>
      </c>
      <c r="AS6" s="36" t="s">
        <v>70</v>
      </c>
      <c r="AT6" s="36" t="s">
        <v>71</v>
      </c>
      <c r="AU6" s="36" t="s">
        <v>72</v>
      </c>
      <c r="AV6" s="36" t="s">
        <v>73</v>
      </c>
      <c r="AW6" s="36" t="s">
        <v>74</v>
      </c>
      <c r="AX6" s="37"/>
    </row>
    <row r="7" customFormat="false" ht="15.75" hidden="false" customHeight="false" outlineLevel="0" collapsed="false">
      <c r="A7" s="24" t="n">
        <v>1</v>
      </c>
      <c r="B7" s="31" t="str">
        <f aca="false">'DATA HAFALAN'!B6</f>
        <v>AYI KOSIM HATIMI</v>
      </c>
      <c r="C7" s="24" t="n">
        <f aca="false">'DATA HAFALAN'!C6</f>
        <v>30</v>
      </c>
      <c r="D7" s="24"/>
      <c r="E7" s="24"/>
      <c r="F7" s="24"/>
      <c r="G7" s="24"/>
      <c r="H7" s="24"/>
      <c r="I7" s="24"/>
      <c r="J7" s="31" t="str">
        <f aca="false">B7</f>
        <v>AYI KOSIM HATIMI</v>
      </c>
      <c r="K7" s="24"/>
      <c r="L7" s="24" t="s">
        <v>75</v>
      </c>
      <c r="M7" s="24" t="s">
        <v>76</v>
      </c>
      <c r="N7" s="24"/>
      <c r="O7" s="24"/>
      <c r="P7" s="24"/>
      <c r="Q7" s="31" t="str">
        <f aca="false">B7</f>
        <v>AYI KOSIM HATIMI</v>
      </c>
      <c r="R7" s="24"/>
      <c r="S7" s="24" t="s">
        <v>75</v>
      </c>
      <c r="T7" s="24" t="s">
        <v>76</v>
      </c>
      <c r="U7" s="24"/>
      <c r="V7" s="24"/>
      <c r="W7" s="24"/>
      <c r="X7" s="31" t="str">
        <f aca="false">B7</f>
        <v>AYI KOSIM HATIMI</v>
      </c>
      <c r="Y7" s="24"/>
      <c r="Z7" s="24" t="s">
        <v>75</v>
      </c>
      <c r="AA7" s="24"/>
      <c r="AB7" s="24"/>
      <c r="AC7" s="24"/>
      <c r="AD7" s="24"/>
      <c r="AE7" s="31" t="str">
        <f aca="false">B7</f>
        <v>AYI KOSIM HATIMI</v>
      </c>
      <c r="AF7" s="24"/>
      <c r="AG7" s="24"/>
      <c r="AH7" s="24"/>
      <c r="AI7" s="24"/>
      <c r="AJ7" s="24"/>
      <c r="AK7" s="24"/>
      <c r="AL7" s="24" t="str">
        <f aca="false">B7</f>
        <v>AYI KOSIM HATIMI</v>
      </c>
      <c r="AM7" s="24"/>
      <c r="AN7" s="24"/>
      <c r="AO7" s="24"/>
      <c r="AP7" s="24"/>
      <c r="AQ7" s="24"/>
      <c r="AR7" s="24"/>
      <c r="AS7" s="24" t="n">
        <f aca="false">COUNTIF(E7:AQ7,"H")</f>
        <v>0</v>
      </c>
      <c r="AT7" s="24" t="n">
        <f aca="false">COUNTIF(E7:AQ7,"I")</f>
        <v>0</v>
      </c>
      <c r="AU7" s="24" t="n">
        <f aca="false">COUNTIF(E7:AQ7,"TD")</f>
        <v>0</v>
      </c>
      <c r="AV7" s="24" t="n">
        <f aca="false">COUNTIF(E7:AQ7,"S")</f>
        <v>0</v>
      </c>
      <c r="AW7" s="24" t="n">
        <f aca="false">COUNTIF(E7:AQ7,"A")</f>
        <v>3</v>
      </c>
      <c r="AX7" s="24" t="str">
        <f aca="false">B7</f>
        <v>AYI KOSIM HATIMI</v>
      </c>
    </row>
    <row r="8" customFormat="false" ht="15.75" hidden="false" customHeight="false" outlineLevel="0" collapsed="false">
      <c r="A8" s="24" t="n">
        <v>2</v>
      </c>
      <c r="B8" s="31" t="str">
        <f aca="false">'DATA HAFALAN'!B7</f>
        <v>ABRURRAHMAN AFANDI</v>
      </c>
      <c r="C8" s="24" t="n">
        <f aca="false">'DATA HAFALAN'!C7</f>
        <v>30</v>
      </c>
      <c r="D8" s="24"/>
      <c r="E8" s="24"/>
      <c r="F8" s="24"/>
      <c r="G8" s="24"/>
      <c r="H8" s="24"/>
      <c r="I8" s="24"/>
      <c r="J8" s="31" t="str">
        <f aca="false">B8</f>
        <v>ABRURRAHMAN AFANDI</v>
      </c>
      <c r="K8" s="24"/>
      <c r="L8" s="24"/>
      <c r="M8" s="24"/>
      <c r="N8" s="24"/>
      <c r="O8" s="24"/>
      <c r="P8" s="24"/>
      <c r="Q8" s="31" t="str">
        <f aca="false">B8</f>
        <v>ABRURRAHMAN AFANDI</v>
      </c>
      <c r="R8" s="24"/>
      <c r="S8" s="24"/>
      <c r="T8" s="24"/>
      <c r="U8" s="24"/>
      <c r="V8" s="24"/>
      <c r="W8" s="24"/>
      <c r="X8" s="31" t="str">
        <f aca="false">B8</f>
        <v>ABRURRAHMAN AFANDI</v>
      </c>
      <c r="Y8" s="24"/>
      <c r="Z8" s="24" t="s">
        <v>77</v>
      </c>
      <c r="AA8" s="24"/>
      <c r="AB8" s="24"/>
      <c r="AC8" s="24"/>
      <c r="AD8" s="24"/>
      <c r="AE8" s="31" t="str">
        <f aca="false">B8</f>
        <v>ABRURRAHMAN AFANDI</v>
      </c>
      <c r="AF8" s="24"/>
      <c r="AG8" s="24"/>
      <c r="AH8" s="24"/>
      <c r="AI8" s="24"/>
      <c r="AJ8" s="24"/>
      <c r="AK8" s="24"/>
      <c r="AL8" s="24" t="str">
        <f aca="false">B8</f>
        <v>ABRURRAHMAN AFANDI</v>
      </c>
      <c r="AM8" s="24"/>
      <c r="AN8" s="24"/>
      <c r="AO8" s="24"/>
      <c r="AP8" s="24"/>
      <c r="AQ8" s="24"/>
      <c r="AR8" s="24"/>
      <c r="AS8" s="24" t="n">
        <f aca="false">COUNTIF(E8:AQ8,"H")</f>
        <v>0</v>
      </c>
      <c r="AT8" s="24" t="n">
        <f aca="false">COUNTIF(E8:AQ8,"I")</f>
        <v>0</v>
      </c>
      <c r="AU8" s="24" t="n">
        <f aca="false">COUNTIF(E8:AQ8,"TD")</f>
        <v>0</v>
      </c>
      <c r="AV8" s="24" t="n">
        <f aca="false">COUNTIF(E8:AQ8,"S")</f>
        <v>0</v>
      </c>
      <c r="AW8" s="24" t="n">
        <f aca="false">COUNTIF(E8:AQ8,"A")</f>
        <v>0</v>
      </c>
      <c r="AX8" s="24" t="str">
        <f aca="false">B8</f>
        <v>ABRURRAHMAN AFANDI</v>
      </c>
    </row>
    <row r="9" customFormat="false" ht="15.75" hidden="false" customHeight="false" outlineLevel="0" collapsed="false">
      <c r="A9" s="24" t="n">
        <v>3</v>
      </c>
      <c r="B9" s="31" t="str">
        <f aca="false">'DATA HAFALAN'!B8</f>
        <v>CECEP ABDULATIF</v>
      </c>
      <c r="C9" s="24" t="n">
        <f aca="false">'DATA HAFALAN'!C8</f>
        <v>30</v>
      </c>
      <c r="D9" s="24"/>
      <c r="E9" s="24"/>
      <c r="F9" s="24"/>
      <c r="G9" s="24"/>
      <c r="H9" s="24"/>
      <c r="I9" s="24"/>
      <c r="J9" s="31" t="str">
        <f aca="false">B9</f>
        <v>CECEP ABDULATIF</v>
      </c>
      <c r="K9" s="24"/>
      <c r="L9" s="24" t="s">
        <v>78</v>
      </c>
      <c r="M9" s="24" t="s">
        <v>76</v>
      </c>
      <c r="N9" s="24"/>
      <c r="O9" s="24"/>
      <c r="P9" s="24"/>
      <c r="Q9" s="31" t="str">
        <f aca="false">B9</f>
        <v>CECEP ABDULATIF</v>
      </c>
      <c r="R9" s="24"/>
      <c r="S9" s="24"/>
      <c r="T9" s="24"/>
      <c r="U9" s="24"/>
      <c r="V9" s="24"/>
      <c r="W9" s="24"/>
      <c r="X9" s="31" t="str">
        <f aca="false">B9</f>
        <v>CECEP ABDULATIF</v>
      </c>
      <c r="Y9" s="24"/>
      <c r="Z9" s="24" t="s">
        <v>79</v>
      </c>
      <c r="AA9" s="24"/>
      <c r="AB9" s="24"/>
      <c r="AC9" s="24"/>
      <c r="AD9" s="24"/>
      <c r="AE9" s="31" t="str">
        <f aca="false">B9</f>
        <v>CECEP ABDULATIF</v>
      </c>
      <c r="AF9" s="24"/>
      <c r="AG9" s="24"/>
      <c r="AH9" s="24"/>
      <c r="AI9" s="24"/>
      <c r="AJ9" s="24"/>
      <c r="AK9" s="24"/>
      <c r="AL9" s="24" t="str">
        <f aca="false">B9</f>
        <v>CECEP ABDULATIF</v>
      </c>
      <c r="AM9" s="24"/>
      <c r="AN9" s="24"/>
      <c r="AO9" s="24"/>
      <c r="AP9" s="24"/>
      <c r="AQ9" s="24"/>
      <c r="AR9" s="24"/>
      <c r="AS9" s="24" t="n">
        <f aca="false">COUNTIF(E9:AQ9,"H")</f>
        <v>1</v>
      </c>
      <c r="AT9" s="24" t="n">
        <f aca="false">COUNTIF(E9:AQ9,"I")</f>
        <v>0</v>
      </c>
      <c r="AU9" s="24" t="n">
        <f aca="false">COUNTIF(E9:AQ9,"TD")</f>
        <v>0</v>
      </c>
      <c r="AV9" s="24" t="n">
        <f aca="false">COUNTIF(E9:AQ9,"S")</f>
        <v>0</v>
      </c>
      <c r="AW9" s="24" t="n">
        <f aca="false">COUNTIF(E9:AQ9,"A")</f>
        <v>0</v>
      </c>
      <c r="AX9" s="24" t="str">
        <f aca="false">B9</f>
        <v>CECEP ABDULATIF</v>
      </c>
    </row>
    <row r="10" customFormat="false" ht="15.75" hidden="false" customHeight="false" outlineLevel="0" collapsed="false">
      <c r="A10" s="24" t="n">
        <v>4</v>
      </c>
      <c r="B10" s="31" t="str">
        <f aca="false">'DATA HAFALAN'!B9</f>
        <v>DONI SUPRIATNA</v>
      </c>
      <c r="C10" s="24" t="n">
        <f aca="false">'DATA HAFALAN'!C9</f>
        <v>30</v>
      </c>
      <c r="D10" s="24"/>
      <c r="E10" s="24"/>
      <c r="F10" s="24"/>
      <c r="G10" s="24"/>
      <c r="H10" s="24"/>
      <c r="I10" s="24"/>
      <c r="J10" s="31" t="str">
        <f aca="false">B10</f>
        <v>DONI SUPRIATNA</v>
      </c>
      <c r="K10" s="24"/>
      <c r="L10" s="24"/>
      <c r="M10" s="24"/>
      <c r="N10" s="24"/>
      <c r="O10" s="24"/>
      <c r="P10" s="24"/>
      <c r="Q10" s="31" t="str">
        <f aca="false">B10</f>
        <v>DONI SUPRIATNA</v>
      </c>
      <c r="R10" s="24"/>
      <c r="S10" s="24"/>
      <c r="T10" s="24"/>
      <c r="U10" s="24"/>
      <c r="V10" s="24"/>
      <c r="W10" s="24"/>
      <c r="X10" s="31" t="str">
        <f aca="false">B10</f>
        <v>DONI SUPRIATNA</v>
      </c>
      <c r="Y10" s="24"/>
      <c r="Z10" s="24" t="s">
        <v>79</v>
      </c>
      <c r="AA10" s="24"/>
      <c r="AB10" s="24"/>
      <c r="AC10" s="24"/>
      <c r="AD10" s="24"/>
      <c r="AE10" s="31" t="str">
        <f aca="false">B10</f>
        <v>DONI SUPRIATNA</v>
      </c>
      <c r="AF10" s="24"/>
      <c r="AG10" s="24"/>
      <c r="AH10" s="24"/>
      <c r="AI10" s="24"/>
      <c r="AJ10" s="24"/>
      <c r="AK10" s="24"/>
      <c r="AL10" s="24" t="str">
        <f aca="false">B10</f>
        <v>DONI SUPRIATNA</v>
      </c>
      <c r="AM10" s="24"/>
      <c r="AN10" s="24"/>
      <c r="AO10" s="24"/>
      <c r="AP10" s="24"/>
      <c r="AQ10" s="24"/>
      <c r="AR10" s="24"/>
      <c r="AS10" s="24" t="n">
        <f aca="false">COUNTIF(E10:AQ10,"H")</f>
        <v>0</v>
      </c>
      <c r="AT10" s="24" t="n">
        <f aca="false">COUNTIF(E10:AQ10,"I")</f>
        <v>0</v>
      </c>
      <c r="AU10" s="24" t="n">
        <f aca="false">COUNTIF(E10:AQ10,"TD")</f>
        <v>0</v>
      </c>
      <c r="AV10" s="24" t="n">
        <f aca="false">COUNTIF(E10:AQ10,"S")</f>
        <v>0</v>
      </c>
      <c r="AW10" s="24" t="n">
        <f aca="false">COUNTIF(E10:AQ10,"A")</f>
        <v>0</v>
      </c>
      <c r="AX10" s="24" t="str">
        <f aca="false">B10</f>
        <v>DONI SUPRIATNA</v>
      </c>
    </row>
    <row r="11" customFormat="false" ht="15.75" hidden="false" customHeight="false" outlineLevel="0" collapsed="false">
      <c r="A11" s="24" t="n">
        <v>5</v>
      </c>
      <c r="B11" s="31" t="e">
        <f aca="false">#REF!</f>
        <v>#REF!</v>
      </c>
      <c r="C11" s="24" t="e">
        <f aca="false">#REF!</f>
        <v>#REF!</v>
      </c>
      <c r="D11" s="24"/>
      <c r="E11" s="24"/>
      <c r="F11" s="24"/>
      <c r="G11" s="24"/>
      <c r="H11" s="24"/>
      <c r="I11" s="24"/>
      <c r="J11" s="31" t="e">
        <f aca="false">B11</f>
        <v>#REF!</v>
      </c>
      <c r="K11" s="38"/>
      <c r="L11" s="24" t="s">
        <v>79</v>
      </c>
      <c r="M11" s="24" t="s">
        <v>76</v>
      </c>
      <c r="N11" s="24"/>
      <c r="O11" s="24"/>
      <c r="P11" s="24"/>
      <c r="Q11" s="31" t="e">
        <f aca="false">B11</f>
        <v>#REF!</v>
      </c>
      <c r="R11" s="24"/>
      <c r="S11" s="24" t="s">
        <v>79</v>
      </c>
      <c r="T11" s="24" t="s">
        <v>76</v>
      </c>
      <c r="U11" s="24"/>
      <c r="V11" s="24"/>
      <c r="W11" s="24"/>
      <c r="X11" s="31" t="e">
        <f aca="false">B11</f>
        <v>#REF!</v>
      </c>
      <c r="Y11" s="24"/>
      <c r="Z11" s="24" t="s">
        <v>78</v>
      </c>
      <c r="AA11" s="24"/>
      <c r="AB11" s="24"/>
      <c r="AC11" s="24"/>
      <c r="AD11" s="24"/>
      <c r="AE11" s="31" t="e">
        <f aca="false">B11</f>
        <v>#REF!</v>
      </c>
      <c r="AF11" s="24"/>
      <c r="AG11" s="24"/>
      <c r="AH11" s="24"/>
      <c r="AI11" s="24"/>
      <c r="AJ11" s="24"/>
      <c r="AK11" s="24"/>
      <c r="AL11" s="24" t="e">
        <f aca="false">B11</f>
        <v>#REF!</v>
      </c>
      <c r="AM11" s="24"/>
      <c r="AN11" s="24"/>
      <c r="AO11" s="24"/>
      <c r="AP11" s="24"/>
      <c r="AQ11" s="24"/>
      <c r="AR11" s="24"/>
      <c r="AS11" s="24" t="n">
        <f aca="false">COUNTIF(E11:AQ11,"H")</f>
        <v>1</v>
      </c>
      <c r="AT11" s="24" t="n">
        <f aca="false">COUNTIF(E11:AQ11,"I")</f>
        <v>0</v>
      </c>
      <c r="AU11" s="24" t="n">
        <f aca="false">COUNTIF(E11:AQ11,"TD")</f>
        <v>0</v>
      </c>
      <c r="AV11" s="24" t="n">
        <f aca="false">COUNTIF(E11:AQ11,"S")</f>
        <v>0</v>
      </c>
      <c r="AW11" s="24" t="n">
        <f aca="false">COUNTIF(E11:AQ11,"A")</f>
        <v>0</v>
      </c>
      <c r="AX11" s="24" t="e">
        <f aca="false">B11</f>
        <v>#REF!</v>
      </c>
    </row>
    <row r="12" customFormat="false" ht="15.75" hidden="false" customHeight="false" outlineLevel="0" collapsed="false">
      <c r="A12" s="24" t="n">
        <v>6</v>
      </c>
      <c r="B12" s="31" t="str">
        <f aca="false">'DATA HAFALAN'!B10</f>
        <v>ZAKY AZHARI</v>
      </c>
      <c r="C12" s="24" t="n">
        <f aca="false">'DATA HAFALAN'!C10</f>
        <v>30</v>
      </c>
      <c r="D12" s="24"/>
      <c r="E12" s="24"/>
      <c r="F12" s="24"/>
      <c r="G12" s="24"/>
      <c r="H12" s="24"/>
      <c r="I12" s="24"/>
      <c r="J12" s="31" t="str">
        <f aca="false">B12</f>
        <v>ZAKY AZHARI</v>
      </c>
      <c r="K12" s="24"/>
      <c r="L12" s="24" t="s">
        <v>79</v>
      </c>
      <c r="M12" s="24" t="s">
        <v>76</v>
      </c>
      <c r="N12" s="24"/>
      <c r="O12" s="24"/>
      <c r="P12" s="24"/>
      <c r="Q12" s="31" t="str">
        <f aca="false">B12</f>
        <v>ZAKY AZHARI</v>
      </c>
      <c r="R12" s="24"/>
      <c r="S12" s="24" t="s">
        <v>75</v>
      </c>
      <c r="T12" s="24" t="s">
        <v>76</v>
      </c>
      <c r="U12" s="24"/>
      <c r="V12" s="24"/>
      <c r="W12" s="24"/>
      <c r="X12" s="31" t="str">
        <f aca="false">B12</f>
        <v>ZAKY AZHARI</v>
      </c>
      <c r="Y12" s="24"/>
      <c r="Z12" s="24" t="s">
        <v>75</v>
      </c>
      <c r="AA12" s="24"/>
      <c r="AB12" s="24"/>
      <c r="AC12" s="24"/>
      <c r="AD12" s="24"/>
      <c r="AE12" s="31" t="str">
        <f aca="false">B12</f>
        <v>ZAKY AZHARI</v>
      </c>
      <c r="AF12" s="24"/>
      <c r="AG12" s="24"/>
      <c r="AH12" s="24"/>
      <c r="AI12" s="24"/>
      <c r="AJ12" s="24"/>
      <c r="AK12" s="24"/>
      <c r="AL12" s="24" t="str">
        <f aca="false">B12</f>
        <v>ZAKY AZHARI</v>
      </c>
      <c r="AM12" s="24"/>
      <c r="AN12" s="24"/>
      <c r="AO12" s="24"/>
      <c r="AP12" s="24"/>
      <c r="AQ12" s="24"/>
      <c r="AR12" s="24"/>
      <c r="AS12" s="24" t="n">
        <f aca="false">COUNTIF(E12:AQ12,"H")</f>
        <v>0</v>
      </c>
      <c r="AT12" s="24" t="n">
        <f aca="false">COUNTIF(E12:AQ12,"I")</f>
        <v>0</v>
      </c>
      <c r="AU12" s="24" t="n">
        <f aca="false">COUNTIF(E12:AQ12,"TD")</f>
        <v>0</v>
      </c>
      <c r="AV12" s="24" t="n">
        <f aca="false">COUNTIF(E12:AQ12,"S")</f>
        <v>0</v>
      </c>
      <c r="AW12" s="24" t="n">
        <f aca="false">COUNTIF(E12:AQ12,"A")</f>
        <v>2</v>
      </c>
      <c r="AX12" s="24" t="str">
        <f aca="false">B12</f>
        <v>ZAKY AZHARI</v>
      </c>
    </row>
    <row r="13" customFormat="false" ht="15.75" hidden="false" customHeight="false" outlineLevel="0" collapsed="false">
      <c r="A13" s="24" t="n">
        <v>7</v>
      </c>
      <c r="B13" s="31" t="str">
        <f aca="false">'DATA HAFALAN'!B11</f>
        <v>MUHAMMAD FAUZIL ADZIM</v>
      </c>
      <c r="C13" s="24" t="n">
        <f aca="false">'DATA HAFALAN'!C11</f>
        <v>30</v>
      </c>
      <c r="D13" s="24"/>
      <c r="E13" s="24"/>
      <c r="F13" s="24"/>
      <c r="G13" s="24"/>
      <c r="H13" s="24"/>
      <c r="I13" s="24"/>
      <c r="J13" s="31" t="str">
        <f aca="false">B13</f>
        <v>MUHAMMAD FAUZIL ADZIM</v>
      </c>
      <c r="K13" s="24"/>
      <c r="L13" s="24" t="s">
        <v>79</v>
      </c>
      <c r="M13" s="24" t="s">
        <v>76</v>
      </c>
      <c r="N13" s="24"/>
      <c r="O13" s="24"/>
      <c r="P13" s="24"/>
      <c r="Q13" s="31" t="str">
        <f aca="false">B13</f>
        <v>MUHAMMAD FAUZIL ADZIM</v>
      </c>
      <c r="R13" s="24"/>
      <c r="S13" s="24" t="s">
        <v>79</v>
      </c>
      <c r="T13" s="24" t="s">
        <v>76</v>
      </c>
      <c r="U13" s="24"/>
      <c r="V13" s="24"/>
      <c r="W13" s="24"/>
      <c r="X13" s="31" t="str">
        <f aca="false">B13</f>
        <v>MUHAMMAD FAUZIL ADZIM</v>
      </c>
      <c r="Y13" s="24"/>
      <c r="Z13" s="24" t="s">
        <v>79</v>
      </c>
      <c r="AA13" s="24"/>
      <c r="AB13" s="24"/>
      <c r="AC13" s="24"/>
      <c r="AD13" s="24"/>
      <c r="AE13" s="31" t="str">
        <f aca="false">B13</f>
        <v>MUHAMMAD FAUZIL ADZIM</v>
      </c>
      <c r="AF13" s="24"/>
      <c r="AG13" s="24"/>
      <c r="AH13" s="24"/>
      <c r="AI13" s="24"/>
      <c r="AJ13" s="24"/>
      <c r="AK13" s="24"/>
      <c r="AL13" s="24" t="str">
        <f aca="false">B13</f>
        <v>MUHAMMAD FAUZIL ADZIM</v>
      </c>
      <c r="AM13" s="24"/>
      <c r="AN13" s="24"/>
      <c r="AO13" s="24"/>
      <c r="AP13" s="24"/>
      <c r="AQ13" s="24"/>
      <c r="AR13" s="24"/>
      <c r="AS13" s="24" t="n">
        <f aca="false">COUNTIF(E13:AQ13,"H")</f>
        <v>0</v>
      </c>
      <c r="AT13" s="24" t="n">
        <f aca="false">COUNTIF(E13:AQ13,"I")</f>
        <v>0</v>
      </c>
      <c r="AU13" s="24" t="n">
        <f aca="false">COUNTIF(E13:AQ13,"TD")</f>
        <v>0</v>
      </c>
      <c r="AV13" s="24" t="n">
        <f aca="false">COUNTIF(E13:AQ13,"S")</f>
        <v>0</v>
      </c>
      <c r="AW13" s="24" t="n">
        <f aca="false">COUNTIF(E13:AQ13,"A")</f>
        <v>0</v>
      </c>
      <c r="AX13" s="24" t="str">
        <f aca="false">B13</f>
        <v>MUHAMMAD FAUZIL ADZIM</v>
      </c>
    </row>
    <row r="14" customFormat="false" ht="15.75" hidden="false" customHeight="false" outlineLevel="0" collapsed="false">
      <c r="A14" s="24" t="n">
        <v>8</v>
      </c>
      <c r="B14" s="31" t="str">
        <f aca="false">'DATA HAFALAN'!B12</f>
        <v>MUHAMMAD DZIKRI HUSAENI</v>
      </c>
      <c r="C14" s="24" t="n">
        <f aca="false">'DATA HAFALAN'!C12</f>
        <v>18</v>
      </c>
      <c r="D14" s="24"/>
      <c r="E14" s="24"/>
      <c r="F14" s="24"/>
      <c r="G14" s="24"/>
      <c r="H14" s="24"/>
      <c r="I14" s="24"/>
      <c r="J14" s="31" t="str">
        <f aca="false">B14</f>
        <v>MUHAMMAD DZIKRI HUSAENI</v>
      </c>
      <c r="K14" s="24"/>
      <c r="L14" s="24" t="s">
        <v>78</v>
      </c>
      <c r="M14" s="24" t="s">
        <v>76</v>
      </c>
      <c r="N14" s="24"/>
      <c r="O14" s="24"/>
      <c r="P14" s="24"/>
      <c r="Q14" s="31" t="str">
        <f aca="false">B14</f>
        <v>MUHAMMAD DZIKRI HUSAENI</v>
      </c>
      <c r="R14" s="24"/>
      <c r="S14" s="24" t="s">
        <v>78</v>
      </c>
      <c r="T14" s="24" t="s">
        <v>76</v>
      </c>
      <c r="U14" s="24"/>
      <c r="V14" s="24"/>
      <c r="W14" s="24"/>
      <c r="X14" s="31" t="str">
        <f aca="false">B14</f>
        <v>MUHAMMAD DZIKRI HUSAENI</v>
      </c>
      <c r="Y14" s="24"/>
      <c r="Z14" s="24" t="s">
        <v>79</v>
      </c>
      <c r="AA14" s="24"/>
      <c r="AB14" s="24"/>
      <c r="AC14" s="24"/>
      <c r="AD14" s="24"/>
      <c r="AE14" s="31" t="str">
        <f aca="false">B14</f>
        <v>MUHAMMAD DZIKRI HUSAENI</v>
      </c>
      <c r="AF14" s="24"/>
      <c r="AG14" s="24"/>
      <c r="AH14" s="24"/>
      <c r="AI14" s="24"/>
      <c r="AJ14" s="24"/>
      <c r="AK14" s="24"/>
      <c r="AL14" s="24" t="str">
        <f aca="false">B14</f>
        <v>MUHAMMAD DZIKRI HUSAENI</v>
      </c>
      <c r="AM14" s="24"/>
      <c r="AN14" s="24"/>
      <c r="AO14" s="24"/>
      <c r="AP14" s="24"/>
      <c r="AQ14" s="24"/>
      <c r="AR14" s="24"/>
      <c r="AS14" s="24" t="n">
        <f aca="false">COUNTIF(E14:AQ14,"H")</f>
        <v>2</v>
      </c>
      <c r="AT14" s="24" t="n">
        <f aca="false">COUNTIF(E14:AQ14,"I")</f>
        <v>0</v>
      </c>
      <c r="AU14" s="24" t="n">
        <f aca="false">COUNTIF(E14:AQ14,"TD")</f>
        <v>0</v>
      </c>
      <c r="AV14" s="24" t="n">
        <f aca="false">COUNTIF(E14:AQ14,"S")</f>
        <v>0</v>
      </c>
      <c r="AW14" s="24" t="n">
        <f aca="false">COUNTIF(E14:AQ14,"A")</f>
        <v>0</v>
      </c>
      <c r="AX14" s="24" t="str">
        <f aca="false">B14</f>
        <v>MUHAMMAD DZIKRI HUSAENI</v>
      </c>
    </row>
    <row r="15" customFormat="false" ht="15.75" hidden="false" customHeight="false" outlineLevel="0" collapsed="false">
      <c r="A15" s="24" t="n">
        <v>9</v>
      </c>
      <c r="B15" s="31" t="e">
        <f aca="false">#REF!</f>
        <v>#REF!</v>
      </c>
      <c r="C15" s="24" t="e">
        <f aca="false">#REF!</f>
        <v>#REF!</v>
      </c>
      <c r="D15" s="24"/>
      <c r="E15" s="24"/>
      <c r="F15" s="24"/>
      <c r="G15" s="24"/>
      <c r="H15" s="24"/>
      <c r="I15" s="24"/>
      <c r="J15" s="31" t="e">
        <f aca="false">B15</f>
        <v>#REF!</v>
      </c>
      <c r="K15" s="24"/>
      <c r="L15" s="24" t="s">
        <v>78</v>
      </c>
      <c r="M15" s="24" t="s">
        <v>76</v>
      </c>
      <c r="N15" s="24"/>
      <c r="O15" s="24"/>
      <c r="P15" s="24"/>
      <c r="Q15" s="31" t="e">
        <f aca="false">B15</f>
        <v>#REF!</v>
      </c>
      <c r="R15" s="24"/>
      <c r="S15" s="24" t="s">
        <v>79</v>
      </c>
      <c r="T15" s="24" t="s">
        <v>76</v>
      </c>
      <c r="U15" s="24"/>
      <c r="V15" s="24"/>
      <c r="W15" s="24"/>
      <c r="X15" s="31" t="e">
        <f aca="false">B15</f>
        <v>#REF!</v>
      </c>
      <c r="Y15" s="24"/>
      <c r="Z15" s="24" t="s">
        <v>77</v>
      </c>
      <c r="AA15" s="24"/>
      <c r="AB15" s="24"/>
      <c r="AC15" s="24"/>
      <c r="AD15" s="24"/>
      <c r="AE15" s="31" t="e">
        <f aca="false">B15</f>
        <v>#REF!</v>
      </c>
      <c r="AF15" s="24"/>
      <c r="AG15" s="24"/>
      <c r="AH15" s="24"/>
      <c r="AI15" s="24"/>
      <c r="AJ15" s="24"/>
      <c r="AK15" s="24"/>
      <c r="AL15" s="24" t="e">
        <f aca="false">B15</f>
        <v>#REF!</v>
      </c>
      <c r="AM15" s="24"/>
      <c r="AN15" s="24"/>
      <c r="AO15" s="24"/>
      <c r="AP15" s="24"/>
      <c r="AQ15" s="24"/>
      <c r="AR15" s="24"/>
      <c r="AS15" s="24" t="n">
        <f aca="false">COUNTIF(E15:AQ15,"H")</f>
        <v>1</v>
      </c>
      <c r="AT15" s="24" t="n">
        <f aca="false">COUNTIF(E15:AQ15,"I")</f>
        <v>0</v>
      </c>
      <c r="AU15" s="24" t="n">
        <f aca="false">COUNTIF(E15:AQ15,"TD")</f>
        <v>0</v>
      </c>
      <c r="AV15" s="24" t="n">
        <f aca="false">COUNTIF(E15:AQ15,"S")</f>
        <v>0</v>
      </c>
      <c r="AW15" s="24" t="n">
        <f aca="false">COUNTIF(E15:AQ15,"A")</f>
        <v>0</v>
      </c>
      <c r="AX15" s="24" t="e">
        <f aca="false">B15</f>
        <v>#REF!</v>
      </c>
    </row>
    <row r="16" customFormat="false" ht="15.75" hidden="false" customHeight="false" outlineLevel="0" collapsed="false">
      <c r="A16" s="24" t="n">
        <v>10</v>
      </c>
      <c r="B16" s="31" t="str">
        <f aca="false">'DATA HAFALAN'!B13</f>
        <v>ABDUL KHOLIQ</v>
      </c>
      <c r="C16" s="24" t="n">
        <f aca="false">'DATA HAFALAN'!C13</f>
        <v>14</v>
      </c>
      <c r="D16" s="24"/>
      <c r="E16" s="24"/>
      <c r="F16" s="24"/>
      <c r="G16" s="24"/>
      <c r="H16" s="24"/>
      <c r="I16" s="24"/>
      <c r="J16" s="31" t="str">
        <f aca="false">B16</f>
        <v>ABDUL KHOLIQ</v>
      </c>
      <c r="K16" s="24"/>
      <c r="L16" s="24" t="s">
        <v>79</v>
      </c>
      <c r="M16" s="24" t="s">
        <v>76</v>
      </c>
      <c r="N16" s="24"/>
      <c r="O16" s="24"/>
      <c r="P16" s="24"/>
      <c r="Q16" s="31" t="str">
        <f aca="false">B16</f>
        <v>ABDUL KHOLIQ</v>
      </c>
      <c r="R16" s="24"/>
      <c r="S16" s="24" t="s">
        <v>78</v>
      </c>
      <c r="T16" s="24" t="s">
        <v>76</v>
      </c>
      <c r="U16" s="24"/>
      <c r="V16" s="24"/>
      <c r="W16" s="24"/>
      <c r="X16" s="31" t="str">
        <f aca="false">B16</f>
        <v>ABDUL KHOLIQ</v>
      </c>
      <c r="Y16" s="24"/>
      <c r="Z16" s="24" t="s">
        <v>78</v>
      </c>
      <c r="AA16" s="24"/>
      <c r="AB16" s="24"/>
      <c r="AC16" s="24"/>
      <c r="AD16" s="24"/>
      <c r="AE16" s="31" t="str">
        <f aca="false">B16</f>
        <v>ABDUL KHOLIQ</v>
      </c>
      <c r="AF16" s="24"/>
      <c r="AG16" s="24"/>
      <c r="AH16" s="24"/>
      <c r="AI16" s="24"/>
      <c r="AJ16" s="24"/>
      <c r="AK16" s="24"/>
      <c r="AL16" s="24" t="str">
        <f aca="false">B16</f>
        <v>ABDUL KHOLIQ</v>
      </c>
      <c r="AM16" s="24"/>
      <c r="AN16" s="24"/>
      <c r="AO16" s="24"/>
      <c r="AP16" s="24"/>
      <c r="AQ16" s="24"/>
      <c r="AR16" s="24"/>
      <c r="AS16" s="24" t="n">
        <f aca="false">COUNTIF(E16:AQ16,"H")</f>
        <v>2</v>
      </c>
      <c r="AT16" s="24" t="n">
        <f aca="false">COUNTIF(E16:AQ16,"I")</f>
        <v>0</v>
      </c>
      <c r="AU16" s="24" t="n">
        <f aca="false">COUNTIF(E16:AQ16,"TD")</f>
        <v>0</v>
      </c>
      <c r="AV16" s="24" t="n">
        <f aca="false">COUNTIF(E16:AQ16,"S")</f>
        <v>0</v>
      </c>
      <c r="AW16" s="24" t="n">
        <f aca="false">COUNTIF(E16:AQ16,"A")</f>
        <v>0</v>
      </c>
      <c r="AX16" s="24" t="str">
        <f aca="false">B16</f>
        <v>ABDUL KHOLIQ</v>
      </c>
    </row>
    <row r="17" customFormat="false" ht="15.75" hidden="false" customHeight="false" outlineLevel="0" collapsed="false">
      <c r="A17" s="24" t="n">
        <v>11</v>
      </c>
      <c r="B17" s="31" t="str">
        <f aca="false">'DATA HAFALAN'!B14</f>
        <v>IYAN FARID</v>
      </c>
      <c r="C17" s="24" t="n">
        <f aca="false">'DATA HAFALAN'!C14</f>
        <v>13</v>
      </c>
      <c r="D17" s="24"/>
      <c r="E17" s="24"/>
      <c r="F17" s="24"/>
      <c r="G17" s="24"/>
      <c r="H17" s="24"/>
      <c r="I17" s="24"/>
      <c r="J17" s="31" t="str">
        <f aca="false">B17</f>
        <v>IYAN FARID</v>
      </c>
      <c r="K17" s="24"/>
      <c r="L17" s="24" t="s">
        <v>78</v>
      </c>
      <c r="M17" s="24" t="s">
        <v>76</v>
      </c>
      <c r="N17" s="24"/>
      <c r="O17" s="24"/>
      <c r="P17" s="24"/>
      <c r="Q17" s="31" t="str">
        <f aca="false">B17</f>
        <v>IYAN FARID</v>
      </c>
      <c r="R17" s="24"/>
      <c r="S17" s="24" t="s">
        <v>78</v>
      </c>
      <c r="T17" s="24" t="s">
        <v>76</v>
      </c>
      <c r="U17" s="24"/>
      <c r="V17" s="24"/>
      <c r="W17" s="24"/>
      <c r="X17" s="31" t="str">
        <f aca="false">B17</f>
        <v>IYAN FARID</v>
      </c>
      <c r="Y17" s="24"/>
      <c r="Z17" s="24" t="s">
        <v>78</v>
      </c>
      <c r="AA17" s="24"/>
      <c r="AB17" s="24"/>
      <c r="AC17" s="24"/>
      <c r="AD17" s="24"/>
      <c r="AE17" s="31" t="str">
        <f aca="false">B17</f>
        <v>IYAN FARID</v>
      </c>
      <c r="AF17" s="24"/>
      <c r="AG17" s="24"/>
      <c r="AH17" s="24"/>
      <c r="AI17" s="24"/>
      <c r="AJ17" s="24"/>
      <c r="AK17" s="24"/>
      <c r="AL17" s="24" t="str">
        <f aca="false">B17</f>
        <v>IYAN FARID</v>
      </c>
      <c r="AM17" s="24"/>
      <c r="AN17" s="24"/>
      <c r="AO17" s="24"/>
      <c r="AP17" s="24"/>
      <c r="AQ17" s="24"/>
      <c r="AR17" s="24"/>
      <c r="AS17" s="24" t="n">
        <f aca="false">COUNTIF(E17:AQ17,"H")</f>
        <v>3</v>
      </c>
      <c r="AT17" s="24" t="n">
        <f aca="false">COUNTIF(E17:AQ17,"I")</f>
        <v>0</v>
      </c>
      <c r="AU17" s="24" t="n">
        <f aca="false">COUNTIF(E17:AQ17,"TD")</f>
        <v>0</v>
      </c>
      <c r="AV17" s="24" t="n">
        <f aca="false">COUNTIF(E17:AQ17,"S")</f>
        <v>0</v>
      </c>
      <c r="AW17" s="24" t="n">
        <f aca="false">COUNTIF(E17:AQ17,"A")</f>
        <v>0</v>
      </c>
      <c r="AX17" s="24" t="str">
        <f aca="false">B17</f>
        <v>IYAN FARID</v>
      </c>
    </row>
    <row r="18" customFormat="false" ht="15.75" hidden="false" customHeight="false" outlineLevel="0" collapsed="false">
      <c r="A18" s="24" t="n">
        <v>12</v>
      </c>
      <c r="B18" s="31" t="str">
        <f aca="false">'DATA HAFALAN'!B15</f>
        <v>ZAENI NURIL HIKAM</v>
      </c>
      <c r="C18" s="24" t="n">
        <f aca="false">'DATA HAFALAN'!C15</f>
        <v>12</v>
      </c>
      <c r="D18" s="24"/>
      <c r="E18" s="24"/>
      <c r="F18" s="24"/>
      <c r="G18" s="24"/>
      <c r="H18" s="24"/>
      <c r="I18" s="24"/>
      <c r="J18" s="31" t="str">
        <f aca="false">B18</f>
        <v>ZAENI NURIL HIKAM</v>
      </c>
      <c r="K18" s="24"/>
      <c r="L18" s="24" t="s">
        <v>78</v>
      </c>
      <c r="M18" s="24" t="s">
        <v>76</v>
      </c>
      <c r="N18" s="24"/>
      <c r="O18" s="24"/>
      <c r="P18" s="24"/>
      <c r="Q18" s="31" t="str">
        <f aca="false">B18</f>
        <v>ZAENI NURIL HIKAM</v>
      </c>
      <c r="R18" s="24"/>
      <c r="S18" s="24" t="s">
        <v>80</v>
      </c>
      <c r="T18" s="24" t="s">
        <v>76</v>
      </c>
      <c r="U18" s="24"/>
      <c r="V18" s="24"/>
      <c r="W18" s="24"/>
      <c r="X18" s="31" t="str">
        <f aca="false">B18</f>
        <v>ZAENI NURIL HIKAM</v>
      </c>
      <c r="Y18" s="24"/>
      <c r="Z18" s="24" t="s">
        <v>79</v>
      </c>
      <c r="AA18" s="24"/>
      <c r="AB18" s="24"/>
      <c r="AC18" s="24"/>
      <c r="AD18" s="24"/>
      <c r="AE18" s="31" t="str">
        <f aca="false">B18</f>
        <v>ZAENI NURIL HIKAM</v>
      </c>
      <c r="AF18" s="24"/>
      <c r="AG18" s="24"/>
      <c r="AH18" s="24"/>
      <c r="AI18" s="24"/>
      <c r="AJ18" s="24"/>
      <c r="AK18" s="24"/>
      <c r="AL18" s="24" t="str">
        <f aca="false">B18</f>
        <v>ZAENI NURIL HIKAM</v>
      </c>
      <c r="AM18" s="24"/>
      <c r="AN18" s="24"/>
      <c r="AO18" s="24"/>
      <c r="AP18" s="24"/>
      <c r="AQ18" s="24"/>
      <c r="AR18" s="24"/>
      <c r="AS18" s="24" t="n">
        <f aca="false">COUNTIF(E18:AQ18,"H")</f>
        <v>1</v>
      </c>
      <c r="AT18" s="24" t="n">
        <f aca="false">COUNTIF(E18:AQ18,"I")</f>
        <v>0</v>
      </c>
      <c r="AU18" s="24" t="n">
        <f aca="false">COUNTIF(E18:AQ18,"TD")</f>
        <v>0</v>
      </c>
      <c r="AV18" s="24" t="n">
        <f aca="false">COUNTIF(E18:AQ18,"S")</f>
        <v>1</v>
      </c>
      <c r="AW18" s="24" t="n">
        <f aca="false">COUNTIF(E18:AQ18,"A")</f>
        <v>0</v>
      </c>
      <c r="AX18" s="24" t="str">
        <f aca="false">B18</f>
        <v>ZAENI NURIL HIKAM</v>
      </c>
    </row>
    <row r="19" customFormat="false" ht="15.75" hidden="false" customHeight="false" outlineLevel="0" collapsed="false">
      <c r="A19" s="24" t="n">
        <v>13</v>
      </c>
      <c r="B19" s="31" t="str">
        <f aca="false">'DATA HAFALAN'!B16</f>
        <v>LUCKY KURNIAWAN</v>
      </c>
      <c r="C19" s="24" t="n">
        <f aca="false">'DATA HAFALAN'!C16</f>
        <v>12</v>
      </c>
      <c r="D19" s="24"/>
      <c r="E19" s="24"/>
      <c r="F19" s="24"/>
      <c r="G19" s="24"/>
      <c r="H19" s="24"/>
      <c r="I19" s="24"/>
      <c r="J19" s="31" t="str">
        <f aca="false">B19</f>
        <v>LUCKY KURNIAWAN</v>
      </c>
      <c r="K19" s="24"/>
      <c r="L19" s="24" t="s">
        <v>81</v>
      </c>
      <c r="M19" s="24" t="s">
        <v>76</v>
      </c>
      <c r="N19" s="24"/>
      <c r="O19" s="24"/>
      <c r="P19" s="24"/>
      <c r="Q19" s="31" t="str">
        <f aca="false">B19</f>
        <v>LUCKY KURNIAWAN</v>
      </c>
      <c r="R19" s="24"/>
      <c r="S19" s="24" t="s">
        <v>81</v>
      </c>
      <c r="T19" s="24" t="s">
        <v>76</v>
      </c>
      <c r="U19" s="24"/>
      <c r="V19" s="24"/>
      <c r="W19" s="24"/>
      <c r="X19" s="31" t="str">
        <f aca="false">B19</f>
        <v>LUCKY KURNIAWAN</v>
      </c>
      <c r="Y19" s="24"/>
      <c r="Z19" s="24" t="s">
        <v>79</v>
      </c>
      <c r="AA19" s="24"/>
      <c r="AB19" s="24"/>
      <c r="AC19" s="24"/>
      <c r="AD19" s="24"/>
      <c r="AE19" s="31" t="str">
        <f aca="false">B19</f>
        <v>LUCKY KURNIAWAN</v>
      </c>
      <c r="AF19" s="24"/>
      <c r="AG19" s="24"/>
      <c r="AH19" s="24"/>
      <c r="AI19" s="24"/>
      <c r="AJ19" s="24"/>
      <c r="AK19" s="24"/>
      <c r="AL19" s="24" t="str">
        <f aca="false">B19</f>
        <v>LUCKY KURNIAWAN</v>
      </c>
      <c r="AM19" s="24"/>
      <c r="AN19" s="24"/>
      <c r="AO19" s="24"/>
      <c r="AP19" s="24"/>
      <c r="AQ19" s="24"/>
      <c r="AR19" s="24"/>
      <c r="AS19" s="24" t="n">
        <f aca="false">COUNTIF(E19:AQ19,"H")</f>
        <v>0</v>
      </c>
      <c r="AT19" s="24" t="n">
        <f aca="false">COUNTIF(E19:AQ19,"I")</f>
        <v>0</v>
      </c>
      <c r="AU19" s="24" t="n">
        <f aca="false">COUNTIF(E19:AQ19,"TD")</f>
        <v>2</v>
      </c>
      <c r="AV19" s="24" t="n">
        <f aca="false">COUNTIF(E19:AQ19,"S")</f>
        <v>0</v>
      </c>
      <c r="AW19" s="24" t="n">
        <f aca="false">COUNTIF(E19:AQ19,"A")</f>
        <v>0</v>
      </c>
      <c r="AX19" s="24" t="str">
        <f aca="false">B19</f>
        <v>LUCKY KURNIAWAN</v>
      </c>
    </row>
    <row r="20" customFormat="false" ht="15.75" hidden="false" customHeight="false" outlineLevel="0" collapsed="false">
      <c r="A20" s="24" t="n">
        <v>14</v>
      </c>
      <c r="B20" s="31" t="str">
        <f aca="false">'DATA HAFALAN'!B17</f>
        <v>MUHAMMAD RAFIK MUHARAM</v>
      </c>
      <c r="C20" s="24" t="n">
        <f aca="false">'DATA HAFALAN'!C17</f>
        <v>12</v>
      </c>
      <c r="D20" s="24"/>
      <c r="E20" s="24"/>
      <c r="F20" s="24"/>
      <c r="G20" s="24"/>
      <c r="H20" s="24"/>
      <c r="I20" s="24"/>
      <c r="J20" s="31" t="str">
        <f aca="false">B20</f>
        <v>MUHAMMAD RAFIK MUHARAM</v>
      </c>
      <c r="K20" s="24"/>
      <c r="L20" s="24" t="s">
        <v>78</v>
      </c>
      <c r="M20" s="24" t="s">
        <v>76</v>
      </c>
      <c r="N20" s="24"/>
      <c r="O20" s="24"/>
      <c r="P20" s="24"/>
      <c r="Q20" s="31" t="str">
        <f aca="false">B20</f>
        <v>MUHAMMAD RAFIK MUHARAM</v>
      </c>
      <c r="R20" s="24"/>
      <c r="S20" s="24" t="s">
        <v>81</v>
      </c>
      <c r="T20" s="24" t="s">
        <v>76</v>
      </c>
      <c r="U20" s="24"/>
      <c r="V20" s="24"/>
      <c r="W20" s="24"/>
      <c r="X20" s="31" t="str">
        <f aca="false">B20</f>
        <v>MUHAMMAD RAFIK MUHARAM</v>
      </c>
      <c r="Y20" s="24"/>
      <c r="Z20" s="24" t="s">
        <v>81</v>
      </c>
      <c r="AA20" s="24"/>
      <c r="AB20" s="24"/>
      <c r="AC20" s="24"/>
      <c r="AD20" s="24"/>
      <c r="AE20" s="31" t="str">
        <f aca="false">B20</f>
        <v>MUHAMMAD RAFIK MUHARAM</v>
      </c>
      <c r="AF20" s="24"/>
      <c r="AG20" s="24"/>
      <c r="AH20" s="24"/>
      <c r="AI20" s="24"/>
      <c r="AJ20" s="24"/>
      <c r="AK20" s="24"/>
      <c r="AL20" s="24" t="str">
        <f aca="false">B20</f>
        <v>MUHAMMAD RAFIK MUHARAM</v>
      </c>
      <c r="AM20" s="24"/>
      <c r="AN20" s="24"/>
      <c r="AO20" s="24"/>
      <c r="AP20" s="24"/>
      <c r="AQ20" s="24"/>
      <c r="AR20" s="24"/>
      <c r="AS20" s="24" t="n">
        <f aca="false">COUNTIF(E20:AQ20,"H")</f>
        <v>1</v>
      </c>
      <c r="AT20" s="24" t="n">
        <f aca="false">COUNTIF(E20:AQ20,"I")</f>
        <v>0</v>
      </c>
      <c r="AU20" s="24" t="n">
        <f aca="false">COUNTIF(E20:AQ20,"TD")</f>
        <v>2</v>
      </c>
      <c r="AV20" s="24" t="n">
        <f aca="false">COUNTIF(E20:AQ20,"S")</f>
        <v>0</v>
      </c>
      <c r="AW20" s="24" t="n">
        <f aca="false">COUNTIF(E20:AQ20,"A")</f>
        <v>0</v>
      </c>
      <c r="AX20" s="24" t="str">
        <f aca="false">B20</f>
        <v>MUHAMMAD RAFIK MUHARAM</v>
      </c>
    </row>
    <row r="21" customFormat="false" ht="15.75" hidden="false" customHeight="false" outlineLevel="0" collapsed="false">
      <c r="A21" s="24" t="n">
        <v>15</v>
      </c>
      <c r="B21" s="31" t="str">
        <f aca="false">'DATA HAFALAN'!B18</f>
        <v>UMAR ABDUL MALIK</v>
      </c>
      <c r="C21" s="24" t="n">
        <f aca="false">'DATA HAFALAN'!C18</f>
        <v>11</v>
      </c>
      <c r="D21" s="24"/>
      <c r="E21" s="24"/>
      <c r="F21" s="24"/>
      <c r="G21" s="24"/>
      <c r="H21" s="24"/>
      <c r="I21" s="24"/>
      <c r="J21" s="31" t="str">
        <f aca="false">B21</f>
        <v>UMAR ABDUL MALIK</v>
      </c>
      <c r="K21" s="24"/>
      <c r="L21" s="24" t="s">
        <v>78</v>
      </c>
      <c r="M21" s="24" t="s">
        <v>76</v>
      </c>
      <c r="N21" s="24"/>
      <c r="O21" s="24"/>
      <c r="P21" s="24"/>
      <c r="Q21" s="31" t="str">
        <f aca="false">B21</f>
        <v>UMAR ABDUL MALIK</v>
      </c>
      <c r="R21" s="24"/>
      <c r="S21" s="24" t="s">
        <v>79</v>
      </c>
      <c r="T21" s="24" t="s">
        <v>76</v>
      </c>
      <c r="U21" s="24"/>
      <c r="V21" s="24"/>
      <c r="W21" s="24"/>
      <c r="X21" s="31" t="str">
        <f aca="false">B21</f>
        <v>UMAR ABDUL MALIK</v>
      </c>
      <c r="Y21" s="24"/>
      <c r="Z21" s="24" t="s">
        <v>79</v>
      </c>
      <c r="AA21" s="24"/>
      <c r="AB21" s="24"/>
      <c r="AC21" s="24"/>
      <c r="AD21" s="24"/>
      <c r="AE21" s="31" t="str">
        <f aca="false">B21</f>
        <v>UMAR ABDUL MALIK</v>
      </c>
      <c r="AF21" s="24"/>
      <c r="AG21" s="24"/>
      <c r="AH21" s="24"/>
      <c r="AI21" s="24"/>
      <c r="AJ21" s="24"/>
      <c r="AK21" s="24"/>
      <c r="AL21" s="24" t="str">
        <f aca="false">B21</f>
        <v>UMAR ABDUL MALIK</v>
      </c>
      <c r="AM21" s="24"/>
      <c r="AN21" s="24"/>
      <c r="AO21" s="24"/>
      <c r="AP21" s="24"/>
      <c r="AQ21" s="24"/>
      <c r="AR21" s="24"/>
      <c r="AS21" s="24" t="n">
        <f aca="false">COUNTIF(E21:AQ21,"H")</f>
        <v>1</v>
      </c>
      <c r="AT21" s="24" t="n">
        <f aca="false">COUNTIF(E21:AQ21,"I")</f>
        <v>0</v>
      </c>
      <c r="AU21" s="24" t="n">
        <f aca="false">COUNTIF(E21:AQ21,"TD")</f>
        <v>0</v>
      </c>
      <c r="AV21" s="24" t="n">
        <f aca="false">COUNTIF(E21:AQ21,"S")</f>
        <v>0</v>
      </c>
      <c r="AW21" s="24" t="n">
        <f aca="false">COUNTIF(E21:AQ21,"A")</f>
        <v>0</v>
      </c>
      <c r="AX21" s="24" t="str">
        <f aca="false">B21</f>
        <v>UMAR ABDUL MALIK</v>
      </c>
    </row>
    <row r="22" customFormat="false" ht="15.75" hidden="false" customHeight="false" outlineLevel="0" collapsed="false">
      <c r="A22" s="24" t="n">
        <v>16</v>
      </c>
      <c r="B22" s="31" t="str">
        <f aca="false">'DATA HAFALAN'!B19</f>
        <v>AHMAD HAFIDZ ALHAWARI</v>
      </c>
      <c r="C22" s="24" t="n">
        <f aca="false">'DATA HAFALAN'!C19</f>
        <v>10</v>
      </c>
      <c r="D22" s="24"/>
      <c r="E22" s="24"/>
      <c r="F22" s="24"/>
      <c r="G22" s="24"/>
      <c r="H22" s="24"/>
      <c r="I22" s="24"/>
      <c r="J22" s="31" t="str">
        <f aca="false">B22</f>
        <v>AHMAD HAFIDZ ALHAWARI</v>
      </c>
      <c r="K22" s="24"/>
      <c r="L22" s="24" t="s">
        <v>78</v>
      </c>
      <c r="M22" s="24" t="s">
        <v>76</v>
      </c>
      <c r="N22" s="24"/>
      <c r="O22" s="24"/>
      <c r="P22" s="24"/>
      <c r="Q22" s="31" t="str">
        <f aca="false">B22</f>
        <v>AHMAD HAFIDZ ALHAWARI</v>
      </c>
      <c r="R22" s="24"/>
      <c r="S22" s="24" t="s">
        <v>78</v>
      </c>
      <c r="T22" s="24" t="s">
        <v>76</v>
      </c>
      <c r="U22" s="24"/>
      <c r="V22" s="24"/>
      <c r="W22" s="24"/>
      <c r="X22" s="31" t="str">
        <f aca="false">B22</f>
        <v>AHMAD HAFIDZ ALHAWARI</v>
      </c>
      <c r="Y22" s="24"/>
      <c r="Z22" s="24" t="s">
        <v>78</v>
      </c>
      <c r="AA22" s="24"/>
      <c r="AB22" s="24"/>
      <c r="AC22" s="24"/>
      <c r="AD22" s="24"/>
      <c r="AE22" s="31" t="str">
        <f aca="false">B22</f>
        <v>AHMAD HAFIDZ ALHAWARI</v>
      </c>
      <c r="AF22" s="24"/>
      <c r="AG22" s="24"/>
      <c r="AH22" s="24"/>
      <c r="AI22" s="24"/>
      <c r="AJ22" s="24"/>
      <c r="AK22" s="24"/>
      <c r="AL22" s="24" t="str">
        <f aca="false">B22</f>
        <v>AHMAD HAFIDZ ALHAWARI</v>
      </c>
      <c r="AM22" s="24"/>
      <c r="AN22" s="24"/>
      <c r="AO22" s="24"/>
      <c r="AP22" s="24"/>
      <c r="AQ22" s="24"/>
      <c r="AR22" s="24"/>
      <c r="AS22" s="24" t="n">
        <f aca="false">COUNTIF(E22:AQ22,"H")</f>
        <v>3</v>
      </c>
      <c r="AT22" s="24" t="n">
        <f aca="false">COUNTIF(E22:AQ22,"I")</f>
        <v>0</v>
      </c>
      <c r="AU22" s="24" t="n">
        <f aca="false">COUNTIF(E22:AQ22,"TD")</f>
        <v>0</v>
      </c>
      <c r="AV22" s="24" t="n">
        <f aca="false">COUNTIF(E22:AQ22,"S")</f>
        <v>0</v>
      </c>
      <c r="AW22" s="24" t="n">
        <f aca="false">COUNTIF(E22:AQ22,"A")</f>
        <v>0</v>
      </c>
      <c r="AX22" s="24" t="str">
        <f aca="false">B22</f>
        <v>AHMAD HAFIDZ ALHAWARI</v>
      </c>
    </row>
    <row r="23" customFormat="false" ht="15.75" hidden="false" customHeight="false" outlineLevel="0" collapsed="false">
      <c r="A23" s="24" t="n">
        <v>17</v>
      </c>
      <c r="B23" s="31" t="str">
        <f aca="false">'DATA HAFALAN'!B20</f>
        <v>MUHAMMAD FAUZAN</v>
      </c>
      <c r="C23" s="24" t="n">
        <f aca="false">'DATA HAFALAN'!C20</f>
        <v>10</v>
      </c>
      <c r="D23" s="24"/>
      <c r="E23" s="24"/>
      <c r="F23" s="24"/>
      <c r="G23" s="24"/>
      <c r="H23" s="24"/>
      <c r="I23" s="24"/>
      <c r="J23" s="31" t="str">
        <f aca="false">B23</f>
        <v>MUHAMMAD FAUZAN</v>
      </c>
      <c r="K23" s="24"/>
      <c r="L23" s="24" t="s">
        <v>79</v>
      </c>
      <c r="M23" s="24" t="s">
        <v>76</v>
      </c>
      <c r="N23" s="24"/>
      <c r="O23" s="24"/>
      <c r="P23" s="24"/>
      <c r="Q23" s="31" t="str">
        <f aca="false">B23</f>
        <v>MUHAMMAD FAUZAN</v>
      </c>
      <c r="R23" s="24"/>
      <c r="S23" s="24" t="s">
        <v>78</v>
      </c>
      <c r="T23" s="24" t="s">
        <v>76</v>
      </c>
      <c r="U23" s="24"/>
      <c r="V23" s="24"/>
      <c r="W23" s="24"/>
      <c r="X23" s="31" t="str">
        <f aca="false">B23</f>
        <v>MUHAMMAD FAUZAN</v>
      </c>
      <c r="Y23" s="24"/>
      <c r="Z23" s="24" t="s">
        <v>79</v>
      </c>
      <c r="AA23" s="24"/>
      <c r="AB23" s="24"/>
      <c r="AC23" s="24"/>
      <c r="AD23" s="24"/>
      <c r="AE23" s="31" t="str">
        <f aca="false">B23</f>
        <v>MUHAMMAD FAUZAN</v>
      </c>
      <c r="AF23" s="24"/>
      <c r="AG23" s="24"/>
      <c r="AH23" s="24"/>
      <c r="AI23" s="24"/>
      <c r="AJ23" s="24"/>
      <c r="AK23" s="24"/>
      <c r="AL23" s="24" t="str">
        <f aca="false">B23</f>
        <v>MUHAMMAD FAUZAN</v>
      </c>
      <c r="AM23" s="24"/>
      <c r="AN23" s="24"/>
      <c r="AO23" s="24"/>
      <c r="AP23" s="24"/>
      <c r="AQ23" s="24"/>
      <c r="AR23" s="24"/>
      <c r="AS23" s="24" t="n">
        <f aca="false">COUNTIF(E23:AQ23,"H")</f>
        <v>1</v>
      </c>
      <c r="AT23" s="24" t="n">
        <f aca="false">COUNTIF(E23:AQ23,"I")</f>
        <v>0</v>
      </c>
      <c r="AU23" s="24" t="n">
        <f aca="false">COUNTIF(E23:AQ23,"TD")</f>
        <v>0</v>
      </c>
      <c r="AV23" s="24" t="n">
        <f aca="false">COUNTIF(E23:AQ23,"S")</f>
        <v>0</v>
      </c>
      <c r="AW23" s="24" t="n">
        <f aca="false">COUNTIF(E23:AQ23,"A")</f>
        <v>0</v>
      </c>
      <c r="AX23" s="24" t="str">
        <f aca="false">B23</f>
        <v>MUHAMMAD FAUZAN</v>
      </c>
    </row>
    <row r="24" customFormat="false" ht="15.75" hidden="false" customHeight="false" outlineLevel="0" collapsed="false">
      <c r="A24" s="24" t="n">
        <v>18</v>
      </c>
      <c r="B24" s="31" t="str">
        <f aca="false">'DATA HAFALAN'!B21</f>
        <v>AKBAR RAMADAN</v>
      </c>
      <c r="C24" s="24" t="n">
        <f aca="false">'DATA HAFALAN'!C21</f>
        <v>9</v>
      </c>
      <c r="D24" s="24"/>
      <c r="E24" s="24"/>
      <c r="F24" s="24"/>
      <c r="G24" s="24"/>
      <c r="H24" s="24"/>
      <c r="I24" s="24"/>
      <c r="J24" s="31" t="str">
        <f aca="false">B24</f>
        <v>AKBAR RAMADAN</v>
      </c>
      <c r="K24" s="24"/>
      <c r="L24" s="24" t="s">
        <v>79</v>
      </c>
      <c r="M24" s="24" t="s">
        <v>76</v>
      </c>
      <c r="N24" s="24"/>
      <c r="O24" s="24"/>
      <c r="P24" s="24"/>
      <c r="Q24" s="31" t="str">
        <f aca="false">B24</f>
        <v>AKBAR RAMADAN</v>
      </c>
      <c r="R24" s="24"/>
      <c r="S24" s="24" t="s">
        <v>78</v>
      </c>
      <c r="T24" s="24" t="s">
        <v>76</v>
      </c>
      <c r="U24" s="24"/>
      <c r="V24" s="24"/>
      <c r="W24" s="24"/>
      <c r="X24" s="31" t="str">
        <f aca="false">B24</f>
        <v>AKBAR RAMADAN</v>
      </c>
      <c r="Y24" s="24"/>
      <c r="Z24" s="24" t="s">
        <v>78</v>
      </c>
      <c r="AA24" s="24"/>
      <c r="AB24" s="24"/>
      <c r="AC24" s="24"/>
      <c r="AD24" s="24"/>
      <c r="AE24" s="31" t="str">
        <f aca="false">B24</f>
        <v>AKBAR RAMADAN</v>
      </c>
      <c r="AF24" s="24"/>
      <c r="AG24" s="24"/>
      <c r="AH24" s="24"/>
      <c r="AI24" s="24"/>
      <c r="AJ24" s="24"/>
      <c r="AK24" s="24"/>
      <c r="AL24" s="24" t="str">
        <f aca="false">B24</f>
        <v>AKBAR RAMADAN</v>
      </c>
      <c r="AM24" s="24"/>
      <c r="AN24" s="24"/>
      <c r="AO24" s="24"/>
      <c r="AP24" s="24"/>
      <c r="AQ24" s="24"/>
      <c r="AR24" s="24"/>
      <c r="AS24" s="24" t="n">
        <f aca="false">COUNTIF(E24:AQ24,"H")</f>
        <v>2</v>
      </c>
      <c r="AT24" s="24" t="n">
        <f aca="false">COUNTIF(E24:AQ24,"I")</f>
        <v>0</v>
      </c>
      <c r="AU24" s="24" t="n">
        <f aca="false">COUNTIF(E24:AQ24,"TD")</f>
        <v>0</v>
      </c>
      <c r="AV24" s="24" t="n">
        <f aca="false">COUNTIF(E24:AQ24,"S")</f>
        <v>0</v>
      </c>
      <c r="AW24" s="24" t="n">
        <f aca="false">COUNTIF(E24:AQ24,"A")</f>
        <v>0</v>
      </c>
      <c r="AX24" s="24" t="str">
        <f aca="false">B24</f>
        <v>AKBAR RAMADAN</v>
      </c>
    </row>
    <row r="25" customFormat="false" ht="15.75" hidden="false" customHeight="false" outlineLevel="0" collapsed="false">
      <c r="A25" s="24" t="n">
        <v>19</v>
      </c>
      <c r="B25" s="31" t="e">
        <f aca="false">#REF!</f>
        <v>#REF!</v>
      </c>
      <c r="C25" s="24" t="e">
        <f aca="false">#REF!</f>
        <v>#REF!</v>
      </c>
      <c r="D25" s="24"/>
      <c r="E25" s="24"/>
      <c r="F25" s="24"/>
      <c r="G25" s="24"/>
      <c r="H25" s="24"/>
      <c r="I25" s="24"/>
      <c r="J25" s="31" t="e">
        <f aca="false">B25</f>
        <v>#REF!</v>
      </c>
      <c r="K25" s="24"/>
      <c r="L25" s="24" t="s">
        <v>78</v>
      </c>
      <c r="M25" s="24" t="s">
        <v>76</v>
      </c>
      <c r="N25" s="24"/>
      <c r="O25" s="24"/>
      <c r="P25" s="24"/>
      <c r="Q25" s="31" t="e">
        <f aca="false">B25</f>
        <v>#REF!</v>
      </c>
      <c r="R25" s="24"/>
      <c r="S25" s="24" t="s">
        <v>78</v>
      </c>
      <c r="T25" s="24" t="s">
        <v>76</v>
      </c>
      <c r="U25" s="24"/>
      <c r="V25" s="24"/>
      <c r="W25" s="24"/>
      <c r="X25" s="31" t="e">
        <f aca="false">B25</f>
        <v>#REF!</v>
      </c>
      <c r="Y25" s="24"/>
      <c r="Z25" s="24" t="s">
        <v>78</v>
      </c>
      <c r="AA25" s="24"/>
      <c r="AB25" s="24"/>
      <c r="AC25" s="24"/>
      <c r="AD25" s="24"/>
      <c r="AE25" s="31" t="e">
        <f aca="false">B25</f>
        <v>#REF!</v>
      </c>
      <c r="AF25" s="24"/>
      <c r="AG25" s="24"/>
      <c r="AH25" s="24"/>
      <c r="AI25" s="24"/>
      <c r="AJ25" s="24"/>
      <c r="AK25" s="24"/>
      <c r="AL25" s="24" t="e">
        <f aca="false">B25</f>
        <v>#REF!</v>
      </c>
      <c r="AM25" s="24"/>
      <c r="AN25" s="24"/>
      <c r="AO25" s="24"/>
      <c r="AP25" s="24"/>
      <c r="AQ25" s="24"/>
      <c r="AR25" s="24"/>
      <c r="AS25" s="24" t="n">
        <f aca="false">COUNTIF(E25:AQ25,"H")</f>
        <v>3</v>
      </c>
      <c r="AT25" s="24" t="n">
        <f aca="false">COUNTIF(E25:AQ25,"I")</f>
        <v>0</v>
      </c>
      <c r="AU25" s="24" t="n">
        <f aca="false">COUNTIF(E25:AQ25,"TD")</f>
        <v>0</v>
      </c>
      <c r="AV25" s="24" t="n">
        <f aca="false">COUNTIF(E25:AQ25,"S")</f>
        <v>0</v>
      </c>
      <c r="AW25" s="24" t="n">
        <f aca="false">COUNTIF(E25:AQ25,"A")</f>
        <v>0</v>
      </c>
      <c r="AX25" s="24" t="e">
        <f aca="false">B25</f>
        <v>#REF!</v>
      </c>
    </row>
    <row r="26" customFormat="false" ht="15.75" hidden="false" customHeight="false" outlineLevel="0" collapsed="false">
      <c r="A26" s="24" t="n">
        <v>20</v>
      </c>
      <c r="B26" s="31" t="str">
        <f aca="false">'DATA HAFALAN'!B22</f>
        <v>ABIDZAR ALGHIFARI</v>
      </c>
      <c r="C26" s="24" t="n">
        <f aca="false">'DATA HAFALAN'!C22</f>
        <v>8</v>
      </c>
      <c r="D26" s="38"/>
      <c r="E26" s="24"/>
      <c r="F26" s="24"/>
      <c r="G26" s="24"/>
      <c r="H26" s="24"/>
      <c r="I26" s="24"/>
      <c r="J26" s="31" t="str">
        <f aca="false">B26</f>
        <v>ABIDZAR ALGHIFARI</v>
      </c>
      <c r="K26" s="24"/>
      <c r="L26" s="24" t="s">
        <v>78</v>
      </c>
      <c r="M26" s="24" t="s">
        <v>76</v>
      </c>
      <c r="N26" s="24"/>
      <c r="O26" s="24"/>
      <c r="P26" s="24"/>
      <c r="Q26" s="31" t="str">
        <f aca="false">B26</f>
        <v>ABIDZAR ALGHIFARI</v>
      </c>
      <c r="R26" s="24"/>
      <c r="S26" s="24" t="s">
        <v>78</v>
      </c>
      <c r="T26" s="24" t="s">
        <v>76</v>
      </c>
      <c r="U26" s="24"/>
      <c r="V26" s="24"/>
      <c r="W26" s="24"/>
      <c r="X26" s="31" t="str">
        <f aca="false">B26</f>
        <v>ABIDZAR ALGHIFARI</v>
      </c>
      <c r="Y26" s="24"/>
      <c r="Z26" s="24" t="s">
        <v>79</v>
      </c>
      <c r="AA26" s="24"/>
      <c r="AB26" s="24"/>
      <c r="AC26" s="24"/>
      <c r="AD26" s="24"/>
      <c r="AE26" s="31" t="str">
        <f aca="false">B26</f>
        <v>ABIDZAR ALGHIFARI</v>
      </c>
      <c r="AF26" s="24"/>
      <c r="AG26" s="24"/>
      <c r="AH26" s="24"/>
      <c r="AI26" s="24"/>
      <c r="AJ26" s="24"/>
      <c r="AK26" s="24"/>
      <c r="AL26" s="24" t="str">
        <f aca="false">B26</f>
        <v>ABIDZAR ALGHIFARI</v>
      </c>
      <c r="AM26" s="24"/>
      <c r="AN26" s="24"/>
      <c r="AO26" s="24"/>
      <c r="AP26" s="24"/>
      <c r="AQ26" s="24"/>
      <c r="AR26" s="24"/>
      <c r="AS26" s="24" t="n">
        <f aca="false">COUNTIF(E26:AQ26,"H")</f>
        <v>2</v>
      </c>
      <c r="AT26" s="24" t="n">
        <f aca="false">COUNTIF(E26:AQ26,"I")</f>
        <v>0</v>
      </c>
      <c r="AU26" s="24" t="n">
        <f aca="false">COUNTIF(E26:AQ26,"TD")</f>
        <v>0</v>
      </c>
      <c r="AV26" s="24" t="n">
        <f aca="false">COUNTIF(E26:AQ26,"S")</f>
        <v>0</v>
      </c>
      <c r="AW26" s="24" t="n">
        <f aca="false">COUNTIF(E26:AQ26,"A")</f>
        <v>0</v>
      </c>
      <c r="AX26" s="24" t="str">
        <f aca="false">B26</f>
        <v>ABIDZAR ALGHIFARI</v>
      </c>
    </row>
    <row r="27" customFormat="false" ht="15.75" hidden="false" customHeight="false" outlineLevel="0" collapsed="false">
      <c r="A27" s="24" t="n">
        <v>21</v>
      </c>
      <c r="B27" s="31" t="str">
        <f aca="false">'DATA HAFALAN'!B23</f>
        <v>KAFY MUHAMMAD AZIZY</v>
      </c>
      <c r="C27" s="24" t="n">
        <f aca="false">'DATA HAFALAN'!C23</f>
        <v>7</v>
      </c>
      <c r="D27" s="24"/>
      <c r="E27" s="24"/>
      <c r="F27" s="24"/>
      <c r="G27" s="24"/>
      <c r="H27" s="24"/>
      <c r="I27" s="24"/>
      <c r="J27" s="31" t="str">
        <f aca="false">B27</f>
        <v>KAFY MUHAMMAD AZIZY</v>
      </c>
      <c r="K27" s="24"/>
      <c r="L27" s="24" t="s">
        <v>78</v>
      </c>
      <c r="M27" s="24" t="s">
        <v>76</v>
      </c>
      <c r="N27" s="24"/>
      <c r="O27" s="24"/>
      <c r="P27" s="24"/>
      <c r="Q27" s="31" t="str">
        <f aca="false">B27</f>
        <v>KAFY MUHAMMAD AZIZY</v>
      </c>
      <c r="R27" s="24"/>
      <c r="S27" s="24" t="s">
        <v>78</v>
      </c>
      <c r="T27" s="24" t="s">
        <v>76</v>
      </c>
      <c r="U27" s="24"/>
      <c r="V27" s="24"/>
      <c r="W27" s="24"/>
      <c r="X27" s="31" t="str">
        <f aca="false">B27</f>
        <v>KAFY MUHAMMAD AZIZY</v>
      </c>
      <c r="Y27" s="24"/>
      <c r="Z27" s="24" t="s">
        <v>78</v>
      </c>
      <c r="AA27" s="24"/>
      <c r="AB27" s="24"/>
      <c r="AC27" s="24"/>
      <c r="AD27" s="24"/>
      <c r="AE27" s="31" t="str">
        <f aca="false">B27</f>
        <v>KAFY MUHAMMAD AZIZY</v>
      </c>
      <c r="AF27" s="24"/>
      <c r="AG27" s="24"/>
      <c r="AH27" s="24"/>
      <c r="AI27" s="24"/>
      <c r="AJ27" s="24"/>
      <c r="AK27" s="24"/>
      <c r="AL27" s="24" t="str">
        <f aca="false">B27</f>
        <v>KAFY MUHAMMAD AZIZY</v>
      </c>
      <c r="AM27" s="24"/>
      <c r="AN27" s="24"/>
      <c r="AO27" s="24"/>
      <c r="AP27" s="24"/>
      <c r="AQ27" s="24"/>
      <c r="AR27" s="24"/>
      <c r="AS27" s="24" t="n">
        <f aca="false">COUNTIF(E27:AQ27,"H")</f>
        <v>3</v>
      </c>
      <c r="AT27" s="24" t="n">
        <f aca="false">COUNTIF(E27:AQ27,"I")</f>
        <v>0</v>
      </c>
      <c r="AU27" s="24" t="n">
        <f aca="false">COUNTIF(E27:AQ27,"TD")</f>
        <v>0</v>
      </c>
      <c r="AV27" s="24" t="n">
        <f aca="false">COUNTIF(E27:AQ27,"S")</f>
        <v>0</v>
      </c>
      <c r="AW27" s="24" t="n">
        <f aca="false">COUNTIF(E27:AQ27,"A")</f>
        <v>0</v>
      </c>
      <c r="AX27" s="24" t="str">
        <f aca="false">B27</f>
        <v>KAFY MUHAMMAD AZIZY</v>
      </c>
    </row>
    <row r="28" customFormat="false" ht="15.75" hidden="false" customHeight="false" outlineLevel="0" collapsed="false">
      <c r="A28" s="24" t="n">
        <v>22</v>
      </c>
      <c r="B28" s="31" t="e">
        <f aca="false">#REF!</f>
        <v>#REF!</v>
      </c>
      <c r="C28" s="24" t="e">
        <f aca="false">#REF!</f>
        <v>#REF!</v>
      </c>
      <c r="D28" s="24"/>
      <c r="E28" s="24"/>
      <c r="F28" s="24"/>
      <c r="G28" s="24"/>
      <c r="H28" s="24"/>
      <c r="I28" s="24"/>
      <c r="J28" s="31" t="e">
        <f aca="false">B28</f>
        <v>#REF!</v>
      </c>
      <c r="K28" s="24"/>
      <c r="L28" s="24" t="s">
        <v>78</v>
      </c>
      <c r="M28" s="24" t="s">
        <v>76</v>
      </c>
      <c r="N28" s="24"/>
      <c r="O28" s="24"/>
      <c r="P28" s="24"/>
      <c r="Q28" s="31" t="e">
        <f aca="false">B28</f>
        <v>#REF!</v>
      </c>
      <c r="R28" s="24"/>
      <c r="S28" s="24" t="s">
        <v>79</v>
      </c>
      <c r="T28" s="24" t="s">
        <v>76</v>
      </c>
      <c r="U28" s="24"/>
      <c r="V28" s="24"/>
      <c r="W28" s="24"/>
      <c r="X28" s="31" t="e">
        <f aca="false">B28</f>
        <v>#REF!</v>
      </c>
      <c r="Y28" s="24"/>
      <c r="Z28" s="24" t="s">
        <v>79</v>
      </c>
      <c r="AA28" s="24"/>
      <c r="AB28" s="24"/>
      <c r="AC28" s="24"/>
      <c r="AD28" s="24"/>
      <c r="AE28" s="31" t="e">
        <f aca="false">B28</f>
        <v>#REF!</v>
      </c>
      <c r="AF28" s="24"/>
      <c r="AG28" s="24"/>
      <c r="AH28" s="24"/>
      <c r="AI28" s="24"/>
      <c r="AJ28" s="24"/>
      <c r="AK28" s="24"/>
      <c r="AL28" s="24" t="e">
        <f aca="false">B28</f>
        <v>#REF!</v>
      </c>
      <c r="AM28" s="24"/>
      <c r="AN28" s="24"/>
      <c r="AO28" s="24"/>
      <c r="AP28" s="24"/>
      <c r="AQ28" s="24"/>
      <c r="AR28" s="24"/>
      <c r="AS28" s="24" t="n">
        <f aca="false">COUNTIF(E28:AQ28,"H")</f>
        <v>1</v>
      </c>
      <c r="AT28" s="24" t="n">
        <f aca="false">COUNTIF(E28:AQ28,"I")</f>
        <v>0</v>
      </c>
      <c r="AU28" s="24" t="n">
        <f aca="false">COUNTIF(E28:AQ28,"TD")</f>
        <v>0</v>
      </c>
      <c r="AV28" s="24" t="n">
        <f aca="false">COUNTIF(E28:AQ28,"S")</f>
        <v>0</v>
      </c>
      <c r="AW28" s="24" t="n">
        <f aca="false">COUNTIF(E28:AQ28,"A")</f>
        <v>0</v>
      </c>
      <c r="AX28" s="24" t="e">
        <f aca="false">B28</f>
        <v>#REF!</v>
      </c>
    </row>
    <row r="29" customFormat="false" ht="15.75" hidden="false" customHeight="false" outlineLevel="0" collapsed="false">
      <c r="A29" s="24" t="n">
        <v>23</v>
      </c>
      <c r="B29" s="31" t="str">
        <f aca="false">'DATA HAFALAN'!B24</f>
        <v>MUHAMMAD MUNAWWAR KHOLIL</v>
      </c>
      <c r="C29" s="24" t="n">
        <f aca="false">'DATA HAFALAN'!C24</f>
        <v>4</v>
      </c>
      <c r="D29" s="24"/>
      <c r="E29" s="24"/>
      <c r="F29" s="24"/>
      <c r="G29" s="24"/>
      <c r="H29" s="24"/>
      <c r="I29" s="24"/>
      <c r="J29" s="31" t="str">
        <f aca="false">B29</f>
        <v>MUHAMMAD MUNAWWAR KHOLIL</v>
      </c>
      <c r="K29" s="24"/>
      <c r="L29" s="24" t="s">
        <v>78</v>
      </c>
      <c r="M29" s="24" t="s">
        <v>76</v>
      </c>
      <c r="N29" s="24"/>
      <c r="O29" s="24"/>
      <c r="P29" s="24"/>
      <c r="Q29" s="31" t="str">
        <f aca="false">B29</f>
        <v>MUHAMMAD MUNAWWAR KHOLIL</v>
      </c>
      <c r="R29" s="24"/>
      <c r="S29" s="24" t="s">
        <v>78</v>
      </c>
      <c r="T29" s="24" t="s">
        <v>76</v>
      </c>
      <c r="U29" s="24"/>
      <c r="V29" s="24"/>
      <c r="W29" s="24"/>
      <c r="X29" s="31" t="str">
        <f aca="false">B29</f>
        <v>MUHAMMAD MUNAWWAR KHOLIL</v>
      </c>
      <c r="Y29" s="24"/>
      <c r="Z29" s="24" t="s">
        <v>78</v>
      </c>
      <c r="AA29" s="24"/>
      <c r="AB29" s="24"/>
      <c r="AC29" s="24"/>
      <c r="AD29" s="24"/>
      <c r="AE29" s="31" t="str">
        <f aca="false">B29</f>
        <v>MUHAMMAD MUNAWWAR KHOLIL</v>
      </c>
      <c r="AF29" s="24"/>
      <c r="AG29" s="24"/>
      <c r="AH29" s="24"/>
      <c r="AI29" s="24"/>
      <c r="AJ29" s="24"/>
      <c r="AK29" s="24"/>
      <c r="AL29" s="24" t="str">
        <f aca="false">B29</f>
        <v>MUHAMMAD MUNAWWAR KHOLIL</v>
      </c>
      <c r="AM29" s="24"/>
      <c r="AN29" s="24"/>
      <c r="AO29" s="24"/>
      <c r="AP29" s="24"/>
      <c r="AQ29" s="24"/>
      <c r="AR29" s="24"/>
      <c r="AS29" s="24" t="n">
        <f aca="false">COUNTIF(E29:AQ29,"H")</f>
        <v>3</v>
      </c>
      <c r="AT29" s="24" t="n">
        <f aca="false">COUNTIF(E29:AQ29,"I")</f>
        <v>0</v>
      </c>
      <c r="AU29" s="24" t="n">
        <f aca="false">COUNTIF(E29:AQ29,"TD")</f>
        <v>0</v>
      </c>
      <c r="AV29" s="24" t="n">
        <f aca="false">COUNTIF(E29:AQ29,"S")</f>
        <v>0</v>
      </c>
      <c r="AW29" s="24" t="n">
        <f aca="false">COUNTIF(E29:AQ29,"A")</f>
        <v>0</v>
      </c>
      <c r="AX29" s="24" t="str">
        <f aca="false">B29</f>
        <v>MUHAMMAD MUNAWWAR KHOLIL</v>
      </c>
    </row>
    <row r="30" customFormat="false" ht="15.75" hidden="false" customHeight="false" outlineLevel="0" collapsed="false">
      <c r="A30" s="24" t="n">
        <v>24</v>
      </c>
      <c r="B30" s="31" t="str">
        <f aca="false">'DATA HAFALAN'!B25</f>
        <v>ALWI</v>
      </c>
      <c r="C30" s="24" t="n">
        <f aca="false">'DATA HAFALAN'!C25</f>
        <v>3</v>
      </c>
      <c r="D30" s="24"/>
      <c r="E30" s="24"/>
      <c r="F30" s="24"/>
      <c r="G30" s="24"/>
      <c r="H30" s="24"/>
      <c r="I30" s="24"/>
      <c r="J30" s="31" t="str">
        <f aca="false">B30</f>
        <v>ALWI</v>
      </c>
      <c r="K30" s="24"/>
      <c r="L30" s="24"/>
      <c r="M30" s="24"/>
      <c r="N30" s="24"/>
      <c r="O30" s="24"/>
      <c r="P30" s="24"/>
      <c r="Q30" s="31" t="str">
        <f aca="false">B30</f>
        <v>ALWI</v>
      </c>
      <c r="R30" s="24"/>
      <c r="S30" s="24"/>
      <c r="T30" s="24"/>
      <c r="U30" s="24"/>
      <c r="V30" s="24"/>
      <c r="W30" s="24"/>
      <c r="X30" s="31" t="str">
        <f aca="false">B30</f>
        <v>ALWI</v>
      </c>
      <c r="Y30" s="24"/>
      <c r="Z30" s="24"/>
      <c r="AA30" s="24"/>
      <c r="AB30" s="24"/>
      <c r="AC30" s="24"/>
      <c r="AD30" s="24"/>
      <c r="AE30" s="31" t="str">
        <f aca="false">B30</f>
        <v>ALWI</v>
      </c>
      <c r="AF30" s="24"/>
      <c r="AG30" s="24"/>
      <c r="AH30" s="24"/>
      <c r="AI30" s="24"/>
      <c r="AJ30" s="24"/>
      <c r="AK30" s="24"/>
      <c r="AL30" s="24" t="str">
        <f aca="false">B30</f>
        <v>ALWI</v>
      </c>
      <c r="AM30" s="24"/>
      <c r="AN30" s="24"/>
      <c r="AO30" s="24"/>
      <c r="AP30" s="24"/>
      <c r="AQ30" s="24"/>
      <c r="AR30" s="24"/>
      <c r="AS30" s="24" t="n">
        <f aca="false">COUNTIF(E30:AQ30,"H")</f>
        <v>0</v>
      </c>
      <c r="AT30" s="24" t="n">
        <f aca="false">COUNTIF(E30:AQ30,"I")</f>
        <v>0</v>
      </c>
      <c r="AU30" s="24" t="n">
        <f aca="false">COUNTIF(E30:AQ30,"TD")</f>
        <v>0</v>
      </c>
      <c r="AV30" s="24" t="n">
        <f aca="false">COUNTIF(E30:AQ30,"S")</f>
        <v>0</v>
      </c>
      <c r="AW30" s="24" t="n">
        <f aca="false">COUNTIF(E30:AQ30,"A")</f>
        <v>0</v>
      </c>
      <c r="AX30" s="24" t="str">
        <f aca="false">B30</f>
        <v>ALWI</v>
      </c>
    </row>
    <row r="31" customFormat="false" ht="14.25" hidden="false" customHeight="true" outlineLevel="0" collapsed="false">
      <c r="A31" s="24" t="n">
        <v>25</v>
      </c>
      <c r="B31" s="31" t="str">
        <f aca="false">'DATA HAFALAN'!B26</f>
        <v>PIRMAN</v>
      </c>
      <c r="C31" s="24" t="n">
        <f aca="false">'DATA HAFALAN'!C26</f>
        <v>1</v>
      </c>
      <c r="D31" s="24"/>
      <c r="E31" s="24"/>
      <c r="F31" s="24"/>
      <c r="G31" s="24"/>
      <c r="H31" s="24"/>
      <c r="I31" s="24"/>
      <c r="J31" s="31" t="str">
        <f aca="false">B31</f>
        <v>PIRMAN</v>
      </c>
      <c r="K31" s="24"/>
      <c r="L31" s="24"/>
      <c r="M31" s="24"/>
      <c r="N31" s="24"/>
      <c r="O31" s="24"/>
      <c r="P31" s="24"/>
      <c r="Q31" s="31" t="str">
        <f aca="false">B31</f>
        <v>PIRMAN</v>
      </c>
      <c r="R31" s="24"/>
      <c r="S31" s="24"/>
      <c r="T31" s="24"/>
      <c r="U31" s="24"/>
      <c r="V31" s="24"/>
      <c r="W31" s="24"/>
      <c r="X31" s="31" t="str">
        <f aca="false">B31</f>
        <v>PIRMAN</v>
      </c>
      <c r="Y31" s="24"/>
      <c r="Z31" s="24"/>
      <c r="AA31" s="24"/>
      <c r="AB31" s="24"/>
      <c r="AC31" s="24"/>
      <c r="AD31" s="24"/>
      <c r="AE31" s="31" t="str">
        <f aca="false">B31</f>
        <v>PIRMAN</v>
      </c>
      <c r="AF31" s="24"/>
      <c r="AG31" s="24"/>
      <c r="AH31" s="24"/>
      <c r="AI31" s="24"/>
      <c r="AJ31" s="24"/>
      <c r="AK31" s="24"/>
      <c r="AL31" s="24" t="str">
        <f aca="false">B31</f>
        <v>PIRMAN</v>
      </c>
      <c r="AM31" s="24"/>
      <c r="AN31" s="24"/>
      <c r="AO31" s="24"/>
      <c r="AP31" s="24"/>
      <c r="AQ31" s="24"/>
      <c r="AR31" s="24"/>
      <c r="AS31" s="24" t="n">
        <f aca="false">COUNTIF(E31:AQ31,"H")</f>
        <v>0</v>
      </c>
      <c r="AT31" s="24" t="n">
        <f aca="false">COUNTIF(E31:AQ31,"I")</f>
        <v>0</v>
      </c>
      <c r="AU31" s="24" t="n">
        <f aca="false">COUNTIF(E31:AQ31,"TD")</f>
        <v>0</v>
      </c>
      <c r="AV31" s="24" t="n">
        <f aca="false">COUNTIF(E31:AQ31,"S")</f>
        <v>0</v>
      </c>
      <c r="AW31" s="24" t="n">
        <f aca="false">COUNTIF(E31:AQ31,"A")</f>
        <v>0</v>
      </c>
      <c r="AX31" s="24" t="str">
        <f aca="false">B31</f>
        <v>PIRMAN</v>
      </c>
    </row>
    <row r="32" customFormat="false" ht="15.75" hidden="false" customHeight="false" outlineLevel="0" collapsed="false">
      <c r="A32" s="24" t="n">
        <v>26</v>
      </c>
      <c r="B32" s="31" t="str">
        <f aca="false">'DATA HAFALAN'!B27</f>
        <v>MUHAMMAD DENMAR NABAWI</v>
      </c>
      <c r="C32" s="24" t="n">
        <f aca="false">'DATA HAFALAN'!C27</f>
        <v>1</v>
      </c>
      <c r="D32" s="24"/>
      <c r="E32" s="24"/>
      <c r="F32" s="24"/>
      <c r="G32" s="24"/>
      <c r="H32" s="24"/>
      <c r="I32" s="24"/>
      <c r="J32" s="31" t="str">
        <f aca="false">B32</f>
        <v>MUHAMMAD DENMAR NABAWI</v>
      </c>
      <c r="K32" s="24"/>
      <c r="L32" s="24"/>
      <c r="M32" s="24"/>
      <c r="N32" s="24"/>
      <c r="O32" s="24"/>
      <c r="P32" s="24"/>
      <c r="Q32" s="31" t="str">
        <f aca="false">B32</f>
        <v>MUHAMMAD DENMAR NABAWI</v>
      </c>
      <c r="R32" s="24"/>
      <c r="S32" s="24"/>
      <c r="T32" s="24"/>
      <c r="U32" s="24"/>
      <c r="V32" s="24"/>
      <c r="W32" s="24"/>
      <c r="X32" s="31" t="str">
        <f aca="false">B32</f>
        <v>MUHAMMAD DENMAR NABAWI</v>
      </c>
      <c r="Y32" s="24"/>
      <c r="Z32" s="24"/>
      <c r="AA32" s="24"/>
      <c r="AB32" s="24"/>
      <c r="AC32" s="24"/>
      <c r="AD32" s="24"/>
      <c r="AE32" s="31" t="str">
        <f aca="false">B32</f>
        <v>MUHAMMAD DENMAR NABAWI</v>
      </c>
      <c r="AF32" s="24"/>
      <c r="AG32" s="24"/>
      <c r="AH32" s="24"/>
      <c r="AI32" s="24"/>
      <c r="AJ32" s="24"/>
      <c r="AK32" s="24"/>
      <c r="AL32" s="24" t="str">
        <f aca="false">B32</f>
        <v>MUHAMMAD DENMAR NABAWI</v>
      </c>
      <c r="AM32" s="24"/>
      <c r="AN32" s="24"/>
      <c r="AO32" s="24"/>
      <c r="AP32" s="24"/>
      <c r="AQ32" s="24"/>
      <c r="AR32" s="24"/>
      <c r="AS32" s="24" t="n">
        <f aca="false">COUNTIF(E32:AQ32,"H")</f>
        <v>0</v>
      </c>
      <c r="AT32" s="24" t="n">
        <f aca="false">COUNTIF(E32:AQ32,"I")</f>
        <v>0</v>
      </c>
      <c r="AU32" s="24" t="n">
        <f aca="false">COUNTIF(E32:AQ32,"TD")</f>
        <v>0</v>
      </c>
      <c r="AV32" s="24" t="n">
        <f aca="false">COUNTIF(E32:AQ32,"S")</f>
        <v>0</v>
      </c>
      <c r="AW32" s="24" t="n">
        <f aca="false">COUNTIF(E32:AQ32,"A")</f>
        <v>0</v>
      </c>
      <c r="AX32" s="24" t="str">
        <f aca="false">B32</f>
        <v>MUHAMMAD DENMAR NABAWI</v>
      </c>
    </row>
    <row r="33" customFormat="false" ht="15.75" hidden="false" customHeight="false" outlineLevel="0" collapsed="false">
      <c r="A33" s="24" t="n">
        <v>27</v>
      </c>
      <c r="B33" s="31" t="e">
        <f aca="false">#REF!</f>
        <v>#REF!</v>
      </c>
      <c r="C33" s="24" t="e">
        <f aca="false">#REF!</f>
        <v>#REF!</v>
      </c>
      <c r="D33" s="24"/>
      <c r="E33" s="24"/>
      <c r="F33" s="24"/>
      <c r="G33" s="24"/>
      <c r="H33" s="24"/>
      <c r="I33" s="24"/>
      <c r="J33" s="31" t="e">
        <f aca="false">B33</f>
        <v>#REF!</v>
      </c>
      <c r="K33" s="24"/>
      <c r="L33" s="24"/>
      <c r="M33" s="24"/>
      <c r="N33" s="24"/>
      <c r="O33" s="24"/>
      <c r="P33" s="24"/>
      <c r="Q33" s="31" t="e">
        <f aca="false">B33</f>
        <v>#REF!</v>
      </c>
      <c r="R33" s="24"/>
      <c r="S33" s="24"/>
      <c r="T33" s="24"/>
      <c r="U33" s="24"/>
      <c r="V33" s="24"/>
      <c r="W33" s="24"/>
      <c r="X33" s="31" t="e">
        <f aca="false">B33</f>
        <v>#REF!</v>
      </c>
      <c r="Y33" s="24"/>
      <c r="Z33" s="24"/>
      <c r="AA33" s="24"/>
      <c r="AB33" s="24"/>
      <c r="AC33" s="24"/>
      <c r="AD33" s="24"/>
      <c r="AE33" s="31" t="e">
        <f aca="false">B33</f>
        <v>#REF!</v>
      </c>
      <c r="AF33" s="24"/>
      <c r="AG33" s="24"/>
      <c r="AH33" s="24"/>
      <c r="AI33" s="24"/>
      <c r="AJ33" s="24"/>
      <c r="AK33" s="24"/>
      <c r="AL33" s="24" t="e">
        <f aca="false">B33</f>
        <v>#REF!</v>
      </c>
      <c r="AM33" s="24"/>
      <c r="AN33" s="24"/>
      <c r="AO33" s="24"/>
      <c r="AP33" s="24"/>
      <c r="AQ33" s="24"/>
      <c r="AR33" s="24"/>
      <c r="AS33" s="24" t="n">
        <f aca="false">COUNTIF(E33:AQ33,"H")</f>
        <v>0</v>
      </c>
      <c r="AT33" s="24" t="n">
        <f aca="false">COUNTIF(E33:AQ33,"I")</f>
        <v>0</v>
      </c>
      <c r="AU33" s="24" t="n">
        <f aca="false">COUNTIF(E33:AQ33,"TD")</f>
        <v>0</v>
      </c>
      <c r="AV33" s="24" t="n">
        <f aca="false">COUNTIF(E33:AQ33,"S")</f>
        <v>0</v>
      </c>
      <c r="AW33" s="24" t="n">
        <f aca="false">COUNTIF(E33:AQ33,"A")</f>
        <v>0</v>
      </c>
      <c r="AX33" s="24" t="e">
        <f aca="false">B33</f>
        <v>#REF!</v>
      </c>
    </row>
    <row r="34" customFormat="false" ht="15.75" hidden="false" customHeight="false" outlineLevel="0" collapsed="false">
      <c r="A34" s="24" t="n">
        <v>28</v>
      </c>
      <c r="B34" s="31" t="e">
        <f aca="false">#REF!</f>
        <v>#REF!</v>
      </c>
      <c r="C34" s="24" t="e">
        <f aca="false">#REF!</f>
        <v>#REF!</v>
      </c>
      <c r="D34" s="24"/>
      <c r="E34" s="24"/>
      <c r="F34" s="24"/>
      <c r="G34" s="24"/>
      <c r="H34" s="24"/>
      <c r="I34" s="24"/>
      <c r="J34" s="31" t="e">
        <f aca="false">B34</f>
        <v>#REF!</v>
      </c>
      <c r="K34" s="24"/>
      <c r="L34" s="24"/>
      <c r="M34" s="24"/>
      <c r="N34" s="24"/>
      <c r="O34" s="24"/>
      <c r="P34" s="24"/>
      <c r="Q34" s="31" t="e">
        <f aca="false">B34</f>
        <v>#REF!</v>
      </c>
      <c r="R34" s="24"/>
      <c r="S34" s="24"/>
      <c r="T34" s="24"/>
      <c r="U34" s="24"/>
      <c r="V34" s="24"/>
      <c r="W34" s="24"/>
      <c r="X34" s="31" t="e">
        <f aca="false">B34</f>
        <v>#REF!</v>
      </c>
      <c r="Y34" s="24"/>
      <c r="Z34" s="24"/>
      <c r="AA34" s="24"/>
      <c r="AB34" s="24"/>
      <c r="AC34" s="24"/>
      <c r="AD34" s="24"/>
      <c r="AE34" s="31" t="e">
        <f aca="false">B34</f>
        <v>#REF!</v>
      </c>
      <c r="AF34" s="24"/>
      <c r="AG34" s="24"/>
      <c r="AH34" s="24"/>
      <c r="AI34" s="24"/>
      <c r="AJ34" s="24"/>
      <c r="AK34" s="24"/>
      <c r="AL34" s="24" t="e">
        <f aca="false">B34</f>
        <v>#REF!</v>
      </c>
      <c r="AM34" s="24"/>
      <c r="AN34" s="24"/>
      <c r="AO34" s="24"/>
      <c r="AP34" s="24"/>
      <c r="AQ34" s="24"/>
      <c r="AR34" s="24"/>
      <c r="AS34" s="24" t="n">
        <f aca="false">COUNTIF(E34:AQ34,"H")</f>
        <v>0</v>
      </c>
      <c r="AT34" s="24" t="n">
        <f aca="false">COUNTIF(E34:AQ34,"I")</f>
        <v>0</v>
      </c>
      <c r="AU34" s="24" t="n">
        <f aca="false">COUNTIF(E34:AQ34,"TD")</f>
        <v>0</v>
      </c>
      <c r="AV34" s="24" t="n">
        <f aca="false">COUNTIF(E34:AQ34,"S")</f>
        <v>0</v>
      </c>
      <c r="AW34" s="24" t="n">
        <f aca="false">COUNTIF(E34:AQ34,"A")</f>
        <v>0</v>
      </c>
      <c r="AX34" s="24" t="e">
        <f aca="false">B34</f>
        <v>#REF!</v>
      </c>
    </row>
    <row r="35" customFormat="false" ht="15.75" hidden="false" customHeight="false" outlineLevel="0" collapsed="false">
      <c r="A35" s="19" t="s">
        <v>56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24"/>
      <c r="AS35" s="24"/>
      <c r="AT35" s="24"/>
      <c r="AU35" s="24"/>
      <c r="AV35" s="24"/>
      <c r="AW35" s="24"/>
      <c r="AX35" s="24"/>
    </row>
    <row r="36" customFormat="false" ht="15.75" hidden="false" customHeight="fals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24"/>
      <c r="AS36" s="24"/>
      <c r="AT36" s="24"/>
      <c r="AU36" s="24"/>
      <c r="AV36" s="24"/>
      <c r="AW36" s="24"/>
      <c r="AX36" s="24"/>
    </row>
    <row r="37" customFormat="false" ht="15.75" hidden="false" customHeight="fals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24"/>
      <c r="AS37" s="24"/>
      <c r="AT37" s="24"/>
      <c r="AU37" s="24"/>
      <c r="AV37" s="24"/>
      <c r="AW37" s="24"/>
      <c r="AX37" s="24"/>
    </row>
    <row r="38" customFormat="false" ht="15.75" hidden="false" customHeight="false" outlineLevel="0" collapsed="false">
      <c r="A38" s="32" t="s">
        <v>82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</row>
    <row r="39" customFormat="false" ht="15.75" hidden="false" customHeight="false" outlineLevel="0" collapsed="false">
      <c r="A39" s="21" t="s">
        <v>1</v>
      </c>
      <c r="B39" s="21" t="s">
        <v>2</v>
      </c>
      <c r="C39" s="22"/>
      <c r="D39" s="33" t="s">
        <v>83</v>
      </c>
      <c r="E39" s="33"/>
      <c r="F39" s="33"/>
      <c r="G39" s="33"/>
      <c r="H39" s="33"/>
      <c r="I39" s="33"/>
      <c r="J39" s="34"/>
      <c r="K39" s="33" t="s">
        <v>84</v>
      </c>
      <c r="L39" s="33"/>
      <c r="M39" s="33"/>
      <c r="N39" s="33"/>
      <c r="O39" s="33"/>
      <c r="P39" s="33"/>
      <c r="Q39" s="34"/>
      <c r="R39" s="33" t="s">
        <v>85</v>
      </c>
      <c r="S39" s="33"/>
      <c r="T39" s="33"/>
      <c r="U39" s="33"/>
      <c r="V39" s="33"/>
      <c r="W39" s="33"/>
      <c r="X39" s="34"/>
      <c r="Y39" s="33" t="s">
        <v>86</v>
      </c>
      <c r="Z39" s="33"/>
      <c r="AA39" s="33"/>
      <c r="AB39" s="33"/>
      <c r="AC39" s="33"/>
      <c r="AD39" s="33"/>
      <c r="AE39" s="34"/>
      <c r="AF39" s="33" t="s">
        <v>87</v>
      </c>
      <c r="AG39" s="33"/>
      <c r="AH39" s="33"/>
      <c r="AI39" s="33"/>
      <c r="AJ39" s="33"/>
      <c r="AK39" s="33"/>
      <c r="AL39" s="34"/>
      <c r="AM39" s="33" t="s">
        <v>88</v>
      </c>
      <c r="AN39" s="33"/>
      <c r="AO39" s="33"/>
      <c r="AP39" s="33"/>
      <c r="AQ39" s="33"/>
      <c r="AR39" s="33"/>
      <c r="AS39" s="33" t="s">
        <v>65</v>
      </c>
      <c r="AT39" s="33"/>
      <c r="AU39" s="33"/>
      <c r="AV39" s="33"/>
      <c r="AW39" s="33"/>
      <c r="AX39" s="34"/>
    </row>
    <row r="40" customFormat="false" ht="15.75" hidden="false" customHeight="false" outlineLevel="0" collapsed="false">
      <c r="A40" s="21"/>
      <c r="B40" s="21"/>
      <c r="C40" s="22" t="s">
        <v>66</v>
      </c>
      <c r="D40" s="35" t="s">
        <v>89</v>
      </c>
      <c r="E40" s="35"/>
      <c r="F40" s="36" t="s">
        <v>68</v>
      </c>
      <c r="G40" s="35" t="s">
        <v>67</v>
      </c>
      <c r="H40" s="35"/>
      <c r="I40" s="36" t="s">
        <v>68</v>
      </c>
      <c r="J40" s="37"/>
      <c r="K40" s="35" t="s">
        <v>89</v>
      </c>
      <c r="L40" s="35"/>
      <c r="M40" s="36" t="s">
        <v>68</v>
      </c>
      <c r="N40" s="35" t="s">
        <v>67</v>
      </c>
      <c r="O40" s="35"/>
      <c r="P40" s="36" t="s">
        <v>68</v>
      </c>
      <c r="Q40" s="37"/>
      <c r="R40" s="35" t="s">
        <v>89</v>
      </c>
      <c r="S40" s="35"/>
      <c r="T40" s="36" t="s">
        <v>68</v>
      </c>
      <c r="U40" s="35" t="s">
        <v>69</v>
      </c>
      <c r="V40" s="35"/>
      <c r="W40" s="36" t="s">
        <v>68</v>
      </c>
      <c r="X40" s="37"/>
      <c r="Y40" s="35" t="s">
        <v>67</v>
      </c>
      <c r="Z40" s="35"/>
      <c r="AA40" s="36" t="s">
        <v>68</v>
      </c>
      <c r="AB40" s="35" t="s">
        <v>69</v>
      </c>
      <c r="AC40" s="35"/>
      <c r="AD40" s="36" t="s">
        <v>68</v>
      </c>
      <c r="AE40" s="37"/>
      <c r="AF40" s="35" t="s">
        <v>89</v>
      </c>
      <c r="AG40" s="35"/>
      <c r="AH40" s="36" t="s">
        <v>68</v>
      </c>
      <c r="AI40" s="35" t="s">
        <v>67</v>
      </c>
      <c r="AJ40" s="35"/>
      <c r="AK40" s="36" t="s">
        <v>68</v>
      </c>
      <c r="AL40" s="37"/>
      <c r="AM40" s="35" t="s">
        <v>89</v>
      </c>
      <c r="AN40" s="35"/>
      <c r="AO40" s="36" t="s">
        <v>68</v>
      </c>
      <c r="AP40" s="35" t="s">
        <v>67</v>
      </c>
      <c r="AQ40" s="35"/>
      <c r="AR40" s="36" t="s">
        <v>68</v>
      </c>
      <c r="AS40" s="36" t="s">
        <v>70</v>
      </c>
      <c r="AT40" s="36" t="s">
        <v>71</v>
      </c>
      <c r="AU40" s="36" t="s">
        <v>72</v>
      </c>
      <c r="AV40" s="36" t="s">
        <v>73</v>
      </c>
      <c r="AW40" s="36" t="s">
        <v>74</v>
      </c>
      <c r="AX40" s="37"/>
    </row>
    <row r="41" customFormat="false" ht="15.75" hidden="false" customHeight="false" outlineLevel="0" collapsed="false">
      <c r="A41" s="24" t="n">
        <v>1</v>
      </c>
      <c r="B41" s="31" t="str">
        <f aca="false">B7</f>
        <v>AYI KOSIM HATIMI</v>
      </c>
      <c r="C41" s="24" t="n">
        <f aca="false">C7</f>
        <v>30</v>
      </c>
      <c r="D41" s="24"/>
      <c r="E41" s="24" t="s">
        <v>78</v>
      </c>
      <c r="F41" s="24" t="s">
        <v>76</v>
      </c>
      <c r="G41" s="24"/>
      <c r="H41" s="24" t="s">
        <v>78</v>
      </c>
      <c r="I41" s="24"/>
      <c r="J41" s="31" t="str">
        <f aca="false">B41</f>
        <v>AYI KOSIM HATIMI</v>
      </c>
      <c r="K41" s="24"/>
      <c r="L41" s="24"/>
      <c r="M41" s="24"/>
      <c r="N41" s="24"/>
      <c r="O41" s="24"/>
      <c r="P41" s="24"/>
      <c r="Q41" s="31" t="str">
        <f aca="false">B41</f>
        <v>AYI KOSIM HATIMI</v>
      </c>
      <c r="R41" s="24" t="s">
        <v>90</v>
      </c>
      <c r="S41" s="24" t="s">
        <v>78</v>
      </c>
      <c r="T41" s="24" t="s">
        <v>76</v>
      </c>
      <c r="U41" s="24"/>
      <c r="V41" s="24"/>
      <c r="W41" s="24"/>
      <c r="X41" s="31" t="str">
        <f aca="false">B41</f>
        <v>AYI KOSIM HATIMI</v>
      </c>
      <c r="Y41" s="24"/>
      <c r="Z41" s="24"/>
      <c r="AA41" s="24"/>
      <c r="AB41" s="24"/>
      <c r="AC41" s="24"/>
      <c r="AD41" s="24"/>
      <c r="AE41" s="31" t="str">
        <f aca="false">B41</f>
        <v>AYI KOSIM HATIMI</v>
      </c>
      <c r="AF41" s="24"/>
      <c r="AG41" s="24" t="s">
        <v>81</v>
      </c>
      <c r="AH41" s="24"/>
      <c r="AI41" s="24" t="s">
        <v>91</v>
      </c>
      <c r="AJ41" s="24" t="s">
        <v>78</v>
      </c>
      <c r="AK41" s="24" t="s">
        <v>76</v>
      </c>
      <c r="AL41" s="24" t="str">
        <f aca="false">B41</f>
        <v>AYI KOSIM HATIMI</v>
      </c>
      <c r="AM41" s="24"/>
      <c r="AN41" s="24" t="s">
        <v>79</v>
      </c>
      <c r="AO41" s="24"/>
      <c r="AP41" s="24"/>
      <c r="AQ41" s="24" t="s">
        <v>81</v>
      </c>
      <c r="AR41" s="24"/>
      <c r="AS41" s="24" t="n">
        <f aca="false">COUNTIF(E41:AQ41,"H")</f>
        <v>4</v>
      </c>
      <c r="AT41" s="24" t="n">
        <f aca="false">COUNTIF(E41:AQ41,"I")</f>
        <v>0</v>
      </c>
      <c r="AU41" s="24" t="n">
        <f aca="false">COUNTIF(E41:AQ41,"TD")</f>
        <v>2</v>
      </c>
      <c r="AV41" s="24" t="n">
        <f aca="false">COUNTIF(E41:AQ41,"S")</f>
        <v>0</v>
      </c>
      <c r="AW41" s="24" t="n">
        <f aca="false">COUNTIF(E41:AQ41,"A")</f>
        <v>0</v>
      </c>
      <c r="AX41" s="24" t="str">
        <f aca="false">B41</f>
        <v>AYI KOSIM HATIMI</v>
      </c>
    </row>
    <row r="42" customFormat="false" ht="15.75" hidden="false" customHeight="false" outlineLevel="0" collapsed="false">
      <c r="A42" s="24" t="n">
        <v>2</v>
      </c>
      <c r="B42" s="31" t="str">
        <f aca="false">B8</f>
        <v>ABRURRAHMAN AFANDI</v>
      </c>
      <c r="C42" s="24" t="n">
        <f aca="false">C8</f>
        <v>30</v>
      </c>
      <c r="D42" s="24"/>
      <c r="E42" s="24" t="s">
        <v>77</v>
      </c>
      <c r="F42" s="24"/>
      <c r="G42" s="24"/>
      <c r="H42" s="24" t="s">
        <v>77</v>
      </c>
      <c r="I42" s="24"/>
      <c r="J42" s="31" t="str">
        <f aca="false">B42</f>
        <v>ABRURRAHMAN AFANDI</v>
      </c>
      <c r="K42" s="24"/>
      <c r="L42" s="24"/>
      <c r="M42" s="24"/>
      <c r="N42" s="24"/>
      <c r="O42" s="24"/>
      <c r="P42" s="24"/>
      <c r="Q42" s="31" t="str">
        <f aca="false">B42</f>
        <v>ABRURRAHMAN AFANDI</v>
      </c>
      <c r="R42" s="24"/>
      <c r="S42" s="24" t="s">
        <v>77</v>
      </c>
      <c r="T42" s="24"/>
      <c r="U42" s="24"/>
      <c r="V42" s="24"/>
      <c r="W42" s="24"/>
      <c r="X42" s="31" t="str">
        <f aca="false">B42</f>
        <v>ABRURRAHMAN AFANDI</v>
      </c>
      <c r="Y42" s="24"/>
      <c r="Z42" s="24"/>
      <c r="AA42" s="24"/>
      <c r="AB42" s="24"/>
      <c r="AC42" s="24"/>
      <c r="AD42" s="24"/>
      <c r="AE42" s="31" t="str">
        <f aca="false">B42</f>
        <v>ABRURRAHMAN AFANDI</v>
      </c>
      <c r="AF42" s="24"/>
      <c r="AG42" s="24" t="s">
        <v>77</v>
      </c>
      <c r="AH42" s="24"/>
      <c r="AI42" s="24"/>
      <c r="AJ42" s="24" t="s">
        <v>77</v>
      </c>
      <c r="AK42" s="24"/>
      <c r="AL42" s="24" t="str">
        <f aca="false">B42</f>
        <v>ABRURRAHMAN AFANDI</v>
      </c>
      <c r="AM42" s="24"/>
      <c r="AN42" s="24" t="s">
        <v>77</v>
      </c>
      <c r="AO42" s="24"/>
      <c r="AP42" s="24"/>
      <c r="AQ42" s="24" t="s">
        <v>77</v>
      </c>
      <c r="AR42" s="24"/>
      <c r="AS42" s="24" t="n">
        <f aca="false">COUNTIF(E42:AQ42,"H")</f>
        <v>0</v>
      </c>
      <c r="AT42" s="24" t="n">
        <f aca="false">COUNTIF(E42:AQ42,"I")</f>
        <v>0</v>
      </c>
      <c r="AU42" s="24" t="n">
        <f aca="false">COUNTIF(E42:AQ42,"TD")</f>
        <v>0</v>
      </c>
      <c r="AV42" s="24" t="n">
        <f aca="false">COUNTIF(E42:AQ42,"S")</f>
        <v>0</v>
      </c>
      <c r="AW42" s="24" t="n">
        <f aca="false">COUNTIF(E42:AQ42,"A")</f>
        <v>0</v>
      </c>
      <c r="AX42" s="24" t="str">
        <f aca="false">B42</f>
        <v>ABRURRAHMAN AFANDI</v>
      </c>
    </row>
    <row r="43" customFormat="false" ht="15.75" hidden="false" customHeight="false" outlineLevel="0" collapsed="false">
      <c r="A43" s="24" t="n">
        <v>3</v>
      </c>
      <c r="B43" s="31" t="str">
        <f aca="false">B9</f>
        <v>CECEP ABDULATIF</v>
      </c>
      <c r="C43" s="24" t="n">
        <f aca="false">C9</f>
        <v>30</v>
      </c>
      <c r="D43" s="24"/>
      <c r="E43" s="24" t="s">
        <v>78</v>
      </c>
      <c r="F43" s="24" t="s">
        <v>76</v>
      </c>
      <c r="G43" s="24"/>
      <c r="H43" s="24" t="s">
        <v>78</v>
      </c>
      <c r="I43" s="24"/>
      <c r="J43" s="31" t="str">
        <f aca="false">B43</f>
        <v>CECEP ABDULATIF</v>
      </c>
      <c r="K43" s="24"/>
      <c r="L43" s="24"/>
      <c r="M43" s="24"/>
      <c r="N43" s="24"/>
      <c r="O43" s="24"/>
      <c r="P43" s="24"/>
      <c r="Q43" s="31" t="str">
        <f aca="false">B43</f>
        <v>CECEP ABDULATIF</v>
      </c>
      <c r="R43" s="24" t="s">
        <v>92</v>
      </c>
      <c r="S43" s="24" t="s">
        <v>78</v>
      </c>
      <c r="T43" s="24" t="s">
        <v>76</v>
      </c>
      <c r="U43" s="24"/>
      <c r="V43" s="24"/>
      <c r="W43" s="24"/>
      <c r="X43" s="31" t="str">
        <f aca="false">B43</f>
        <v>CECEP ABDULATIF</v>
      </c>
      <c r="Y43" s="24"/>
      <c r="Z43" s="24"/>
      <c r="AA43" s="24"/>
      <c r="AB43" s="24"/>
      <c r="AC43" s="24"/>
      <c r="AD43" s="24"/>
      <c r="AE43" s="31" t="str">
        <f aca="false">B43</f>
        <v>CECEP ABDULATIF</v>
      </c>
      <c r="AF43" s="24"/>
      <c r="AG43" s="24" t="s">
        <v>81</v>
      </c>
      <c r="AH43" s="24"/>
      <c r="AI43" s="24"/>
      <c r="AJ43" s="24" t="s">
        <v>81</v>
      </c>
      <c r="AK43" s="24"/>
      <c r="AL43" s="24" t="str">
        <f aca="false">B43</f>
        <v>CECEP ABDULATIF</v>
      </c>
      <c r="AM43" s="24"/>
      <c r="AN43" s="24" t="s">
        <v>81</v>
      </c>
      <c r="AO43" s="24"/>
      <c r="AP43" s="24"/>
      <c r="AQ43" s="24" t="s">
        <v>81</v>
      </c>
      <c r="AR43" s="24"/>
      <c r="AS43" s="24" t="n">
        <f aca="false">COUNTIF(E43:AQ43,"H")</f>
        <v>3</v>
      </c>
      <c r="AT43" s="24" t="n">
        <f aca="false">COUNTIF(E43:AQ43,"I")</f>
        <v>0</v>
      </c>
      <c r="AU43" s="24" t="n">
        <f aca="false">COUNTIF(E43:AQ43,"TD")</f>
        <v>4</v>
      </c>
      <c r="AV43" s="24" t="n">
        <f aca="false">COUNTIF(E43:AQ43,"S")</f>
        <v>0</v>
      </c>
      <c r="AW43" s="24" t="n">
        <f aca="false">COUNTIF(E43:AQ43,"A")</f>
        <v>0</v>
      </c>
      <c r="AX43" s="24" t="str">
        <f aca="false">B43</f>
        <v>CECEP ABDULATIF</v>
      </c>
    </row>
    <row r="44" customFormat="false" ht="15.75" hidden="false" customHeight="false" outlineLevel="0" collapsed="false">
      <c r="A44" s="24" t="n">
        <v>4</v>
      </c>
      <c r="B44" s="31" t="str">
        <f aca="false">B10</f>
        <v>DONI SUPRIATNA</v>
      </c>
      <c r="C44" s="24" t="n">
        <f aca="false">C10</f>
        <v>30</v>
      </c>
      <c r="D44" s="24"/>
      <c r="E44" s="24" t="s">
        <v>78</v>
      </c>
      <c r="F44" s="24" t="s">
        <v>76</v>
      </c>
      <c r="G44" s="24"/>
      <c r="H44" s="24" t="s">
        <v>78</v>
      </c>
      <c r="I44" s="24"/>
      <c r="J44" s="31" t="str">
        <f aca="false">B44</f>
        <v>DONI SUPRIATNA</v>
      </c>
      <c r="K44" s="24"/>
      <c r="L44" s="24"/>
      <c r="M44" s="24"/>
      <c r="N44" s="24"/>
      <c r="O44" s="24"/>
      <c r="P44" s="24"/>
      <c r="Q44" s="31" t="str">
        <f aca="false">B44</f>
        <v>DONI SUPRIATNA</v>
      </c>
      <c r="R44" s="24"/>
      <c r="S44" s="24" t="s">
        <v>79</v>
      </c>
      <c r="T44" s="24"/>
      <c r="U44" s="24"/>
      <c r="V44" s="24"/>
      <c r="W44" s="24"/>
      <c r="X44" s="31" t="str">
        <f aca="false">B44</f>
        <v>DONI SUPRIATNA</v>
      </c>
      <c r="Y44" s="24"/>
      <c r="Z44" s="24"/>
      <c r="AA44" s="24"/>
      <c r="AB44" s="24"/>
      <c r="AC44" s="24"/>
      <c r="AD44" s="24"/>
      <c r="AE44" s="31" t="str">
        <f aca="false">B44</f>
        <v>DONI SUPRIATNA</v>
      </c>
      <c r="AF44" s="24"/>
      <c r="AG44" s="24" t="s">
        <v>81</v>
      </c>
      <c r="AH44" s="24"/>
      <c r="AI44" s="24"/>
      <c r="AJ44" s="24" t="s">
        <v>78</v>
      </c>
      <c r="AK44" s="24"/>
      <c r="AL44" s="24" t="str">
        <f aca="false">B44</f>
        <v>DONI SUPRIATNA</v>
      </c>
      <c r="AM44" s="24"/>
      <c r="AN44" s="24" t="s">
        <v>79</v>
      </c>
      <c r="AO44" s="24"/>
      <c r="AP44" s="24"/>
      <c r="AQ44" s="24" t="s">
        <v>81</v>
      </c>
      <c r="AR44" s="24"/>
      <c r="AS44" s="24" t="n">
        <f aca="false">COUNTIF(E44:AQ44,"H")</f>
        <v>3</v>
      </c>
      <c r="AT44" s="24" t="n">
        <f aca="false">COUNTIF(E44:AQ44,"I")</f>
        <v>0</v>
      </c>
      <c r="AU44" s="24" t="n">
        <f aca="false">COUNTIF(E44:AQ44,"TD")</f>
        <v>2</v>
      </c>
      <c r="AV44" s="24" t="n">
        <f aca="false">COUNTIF(E44:AQ44,"S")</f>
        <v>0</v>
      </c>
      <c r="AW44" s="24" t="n">
        <f aca="false">COUNTIF(E44:AQ44,"A")</f>
        <v>0</v>
      </c>
      <c r="AX44" s="24" t="str">
        <f aca="false">B44</f>
        <v>DONI SUPRIATNA</v>
      </c>
    </row>
    <row r="45" customFormat="false" ht="15.75" hidden="false" customHeight="false" outlineLevel="0" collapsed="false">
      <c r="A45" s="24" t="n">
        <v>5</v>
      </c>
      <c r="B45" s="31" t="e">
        <f aca="false">B11</f>
        <v>#REF!</v>
      </c>
      <c r="C45" s="24" t="e">
        <f aca="false">C11</f>
        <v>#REF!</v>
      </c>
      <c r="D45" s="24"/>
      <c r="E45" s="24" t="s">
        <v>78</v>
      </c>
      <c r="F45" s="24" t="s">
        <v>76</v>
      </c>
      <c r="G45" s="24" t="s">
        <v>93</v>
      </c>
      <c r="H45" s="24" t="s">
        <v>78</v>
      </c>
      <c r="I45" s="24"/>
      <c r="J45" s="31" t="e">
        <f aca="false">B45</f>
        <v>#REF!</v>
      </c>
      <c r="K45" s="38"/>
      <c r="L45" s="24"/>
      <c r="M45" s="24"/>
      <c r="N45" s="24" t="s">
        <v>94</v>
      </c>
      <c r="O45" s="24" t="s">
        <v>78</v>
      </c>
      <c r="P45" s="24" t="s">
        <v>76</v>
      </c>
      <c r="Q45" s="31" t="e">
        <f aca="false">B45</f>
        <v>#REF!</v>
      </c>
      <c r="R45" s="24"/>
      <c r="S45" s="24" t="s">
        <v>79</v>
      </c>
      <c r="T45" s="24"/>
      <c r="U45" s="24"/>
      <c r="V45" s="24"/>
      <c r="W45" s="24"/>
      <c r="X45" s="31" t="e">
        <f aca="false">B45</f>
        <v>#REF!</v>
      </c>
      <c r="Y45" s="24"/>
      <c r="Z45" s="24"/>
      <c r="AA45" s="24"/>
      <c r="AB45" s="24"/>
      <c r="AC45" s="24"/>
      <c r="AD45" s="24"/>
      <c r="AE45" s="31" t="e">
        <f aca="false">B45</f>
        <v>#REF!</v>
      </c>
      <c r="AF45" s="24"/>
      <c r="AG45" s="24" t="s">
        <v>79</v>
      </c>
      <c r="AH45" s="24"/>
      <c r="AI45" s="24" t="s">
        <v>95</v>
      </c>
      <c r="AJ45" s="24" t="s">
        <v>78</v>
      </c>
      <c r="AK45" s="24" t="s">
        <v>76</v>
      </c>
      <c r="AL45" s="24" t="e">
        <f aca="false">B45</f>
        <v>#REF!</v>
      </c>
      <c r="AM45" s="24"/>
      <c r="AN45" s="24" t="s">
        <v>79</v>
      </c>
      <c r="AO45" s="24"/>
      <c r="AP45" s="24"/>
      <c r="AQ45" s="24" t="s">
        <v>75</v>
      </c>
      <c r="AR45" s="24"/>
      <c r="AS45" s="24" t="n">
        <f aca="false">COUNTIF(E45:AQ45,"H")</f>
        <v>4</v>
      </c>
      <c r="AT45" s="24" t="n">
        <f aca="false">COUNTIF(E45:AQ45,"I")</f>
        <v>0</v>
      </c>
      <c r="AU45" s="24" t="n">
        <f aca="false">COUNTIF(E45:AQ45,"TD")</f>
        <v>0</v>
      </c>
      <c r="AV45" s="24" t="n">
        <f aca="false">COUNTIF(E45:AQ45,"S")</f>
        <v>0</v>
      </c>
      <c r="AW45" s="24" t="n">
        <f aca="false">COUNTIF(E45:AQ45,"A")</f>
        <v>1</v>
      </c>
      <c r="AX45" s="24" t="e">
        <f aca="false">B45</f>
        <v>#REF!</v>
      </c>
    </row>
    <row r="46" customFormat="false" ht="15.75" hidden="false" customHeight="false" outlineLevel="0" collapsed="false">
      <c r="A46" s="24" t="n">
        <v>6</v>
      </c>
      <c r="B46" s="31" t="str">
        <f aca="false">B12</f>
        <v>ZAKY AZHARI</v>
      </c>
      <c r="C46" s="24" t="n">
        <f aca="false">C12</f>
        <v>30</v>
      </c>
      <c r="D46" s="24"/>
      <c r="E46" s="24" t="s">
        <v>78</v>
      </c>
      <c r="F46" s="24" t="s">
        <v>76</v>
      </c>
      <c r="G46" s="24" t="s">
        <v>96</v>
      </c>
      <c r="H46" s="24" t="s">
        <v>78</v>
      </c>
      <c r="I46" s="24"/>
      <c r="J46" s="31" t="str">
        <f aca="false">B46</f>
        <v>ZAKY AZHARI</v>
      </c>
      <c r="K46" s="24"/>
      <c r="L46" s="24"/>
      <c r="M46" s="24"/>
      <c r="N46" s="24"/>
      <c r="O46" s="24"/>
      <c r="P46" s="24"/>
      <c r="Q46" s="31" t="str">
        <f aca="false">B46</f>
        <v>ZAKY AZHARI</v>
      </c>
      <c r="R46" s="24"/>
      <c r="S46" s="24" t="s">
        <v>75</v>
      </c>
      <c r="T46" s="24"/>
      <c r="U46" s="24"/>
      <c r="V46" s="24"/>
      <c r="W46" s="24"/>
      <c r="X46" s="31" t="str">
        <f aca="false">B46</f>
        <v>ZAKY AZHARI</v>
      </c>
      <c r="Y46" s="24"/>
      <c r="Z46" s="24"/>
      <c r="AA46" s="24"/>
      <c r="AB46" s="24"/>
      <c r="AC46" s="24"/>
      <c r="AD46" s="24"/>
      <c r="AE46" s="31" t="str">
        <f aca="false">B46</f>
        <v>ZAKY AZHARI</v>
      </c>
      <c r="AF46" s="24"/>
      <c r="AG46" s="24" t="s">
        <v>81</v>
      </c>
      <c r="AH46" s="24"/>
      <c r="AI46" s="24"/>
      <c r="AJ46" s="24"/>
      <c r="AK46" s="24"/>
      <c r="AL46" s="24" t="str">
        <f aca="false">B46</f>
        <v>ZAKY AZHARI</v>
      </c>
      <c r="AM46" s="24"/>
      <c r="AN46" s="24" t="s">
        <v>97</v>
      </c>
      <c r="AO46" s="24"/>
      <c r="AP46" s="24"/>
      <c r="AQ46" s="24" t="s">
        <v>97</v>
      </c>
      <c r="AR46" s="24"/>
      <c r="AS46" s="24" t="n">
        <f aca="false">COUNTIF(E46:AQ46,"H")</f>
        <v>2</v>
      </c>
      <c r="AT46" s="24" t="n">
        <f aca="false">COUNTIF(E46:AQ46,"I")</f>
        <v>2</v>
      </c>
      <c r="AU46" s="24" t="n">
        <f aca="false">COUNTIF(E46:AQ46,"TD")</f>
        <v>1</v>
      </c>
      <c r="AV46" s="24" t="n">
        <f aca="false">COUNTIF(E46:AQ46,"S")</f>
        <v>0</v>
      </c>
      <c r="AW46" s="24" t="n">
        <f aca="false">COUNTIF(E46:AQ46,"A")</f>
        <v>1</v>
      </c>
      <c r="AX46" s="24" t="str">
        <f aca="false">B46</f>
        <v>ZAKY AZHARI</v>
      </c>
    </row>
    <row r="47" customFormat="false" ht="15.75" hidden="false" customHeight="false" outlineLevel="0" collapsed="false">
      <c r="A47" s="24" t="n">
        <v>7</v>
      </c>
      <c r="B47" s="31" t="str">
        <f aca="false">B13</f>
        <v>MUHAMMAD FAUZIL ADZIM</v>
      </c>
      <c r="C47" s="24" t="n">
        <f aca="false">C13</f>
        <v>30</v>
      </c>
      <c r="D47" s="24"/>
      <c r="E47" s="24"/>
      <c r="F47" s="24"/>
      <c r="G47" s="24"/>
      <c r="H47" s="24" t="s">
        <v>78</v>
      </c>
      <c r="I47" s="24"/>
      <c r="J47" s="31" t="str">
        <f aca="false">B47</f>
        <v>MUHAMMAD FAUZIL ADZIM</v>
      </c>
      <c r="K47" s="24"/>
      <c r="L47" s="24"/>
      <c r="M47" s="24"/>
      <c r="N47" s="24"/>
      <c r="O47" s="24"/>
      <c r="P47" s="24"/>
      <c r="Q47" s="31" t="str">
        <f aca="false">B47</f>
        <v>MUHAMMAD FAUZIL ADZIM</v>
      </c>
      <c r="R47" s="24"/>
      <c r="S47" s="24" t="s">
        <v>79</v>
      </c>
      <c r="T47" s="24"/>
      <c r="U47" s="24"/>
      <c r="V47" s="24"/>
      <c r="W47" s="24"/>
      <c r="X47" s="31" t="str">
        <f aca="false">B47</f>
        <v>MUHAMMAD FAUZIL ADZIM</v>
      </c>
      <c r="Y47" s="24"/>
      <c r="Z47" s="24"/>
      <c r="AA47" s="24"/>
      <c r="AB47" s="24"/>
      <c r="AC47" s="24"/>
      <c r="AD47" s="24"/>
      <c r="AE47" s="31" t="str">
        <f aca="false">B47</f>
        <v>MUHAMMAD FAUZIL ADZIM</v>
      </c>
      <c r="AF47" s="24"/>
      <c r="AG47" s="24"/>
      <c r="AH47" s="24"/>
      <c r="AI47" s="24"/>
      <c r="AJ47" s="24" t="s">
        <v>78</v>
      </c>
      <c r="AK47" s="24"/>
      <c r="AL47" s="24" t="str">
        <f aca="false">B47</f>
        <v>MUHAMMAD FAUZIL ADZIM</v>
      </c>
      <c r="AM47" s="24" t="s">
        <v>98</v>
      </c>
      <c r="AN47" s="24" t="s">
        <v>78</v>
      </c>
      <c r="AO47" s="24" t="s">
        <v>76</v>
      </c>
      <c r="AP47" s="24" t="s">
        <v>98</v>
      </c>
      <c r="AQ47" s="24" t="s">
        <v>78</v>
      </c>
      <c r="AR47" s="24" t="s">
        <v>76</v>
      </c>
      <c r="AS47" s="24" t="n">
        <f aca="false">COUNTIF(E47:AQ47,"H")</f>
        <v>4</v>
      </c>
      <c r="AT47" s="24" t="n">
        <f aca="false">COUNTIF(E47:AQ47,"I")</f>
        <v>0</v>
      </c>
      <c r="AU47" s="24" t="n">
        <f aca="false">COUNTIF(E47:AQ47,"TD")</f>
        <v>0</v>
      </c>
      <c r="AV47" s="24" t="n">
        <f aca="false">COUNTIF(E47:AQ47,"S")</f>
        <v>0</v>
      </c>
      <c r="AW47" s="24" t="n">
        <f aca="false">COUNTIF(E47:AQ47,"A")</f>
        <v>0</v>
      </c>
      <c r="AX47" s="24" t="str">
        <f aca="false">B47</f>
        <v>MUHAMMAD FAUZIL ADZIM</v>
      </c>
    </row>
    <row r="48" customFormat="false" ht="15.75" hidden="false" customHeight="false" outlineLevel="0" collapsed="false">
      <c r="A48" s="24" t="n">
        <v>8</v>
      </c>
      <c r="B48" s="31" t="str">
        <f aca="false">B14</f>
        <v>MUHAMMAD DZIKRI HUSAENI</v>
      </c>
      <c r="C48" s="24" t="n">
        <f aca="false">C14</f>
        <v>18</v>
      </c>
      <c r="D48" s="24"/>
      <c r="E48" s="24" t="s">
        <v>78</v>
      </c>
      <c r="F48" s="24" t="s">
        <v>76</v>
      </c>
      <c r="G48" s="24" t="s">
        <v>99</v>
      </c>
      <c r="H48" s="24" t="s">
        <v>78</v>
      </c>
      <c r="I48" s="24" t="s">
        <v>76</v>
      </c>
      <c r="J48" s="31" t="str">
        <f aca="false">B48</f>
        <v>MUHAMMAD DZIKRI HUSAENI</v>
      </c>
      <c r="K48" s="24"/>
      <c r="L48" s="24"/>
      <c r="M48" s="24"/>
      <c r="N48" s="24"/>
      <c r="O48" s="24" t="s">
        <v>78</v>
      </c>
      <c r="P48" s="24"/>
      <c r="Q48" s="31" t="str">
        <f aca="false">B48</f>
        <v>MUHAMMAD DZIKRI HUSAENI</v>
      </c>
      <c r="R48" s="24" t="s">
        <v>100</v>
      </c>
      <c r="S48" s="24" t="s">
        <v>79</v>
      </c>
      <c r="T48" s="24" t="s">
        <v>76</v>
      </c>
      <c r="U48" s="24"/>
      <c r="V48" s="24"/>
      <c r="W48" s="24"/>
      <c r="X48" s="31" t="str">
        <f aca="false">B48</f>
        <v>MUHAMMAD DZIKRI HUSAENI</v>
      </c>
      <c r="Y48" s="24"/>
      <c r="Z48" s="24"/>
      <c r="AA48" s="24"/>
      <c r="AB48" s="24"/>
      <c r="AC48" s="24"/>
      <c r="AD48" s="24"/>
      <c r="AE48" s="31" t="str">
        <f aca="false">B48</f>
        <v>MUHAMMAD DZIKRI HUSAENI</v>
      </c>
      <c r="AF48" s="24" t="s">
        <v>101</v>
      </c>
      <c r="AG48" s="24" t="s">
        <v>78</v>
      </c>
      <c r="AH48" s="24" t="s">
        <v>76</v>
      </c>
      <c r="AI48" s="24"/>
      <c r="AJ48" s="24"/>
      <c r="AK48" s="24"/>
      <c r="AL48" s="24" t="str">
        <f aca="false">B48</f>
        <v>MUHAMMAD DZIKRI HUSAENI</v>
      </c>
      <c r="AM48" s="24"/>
      <c r="AN48" s="24" t="s">
        <v>81</v>
      </c>
      <c r="AO48" s="24"/>
      <c r="AP48" s="24" t="s">
        <v>102</v>
      </c>
      <c r="AQ48" s="24" t="s">
        <v>78</v>
      </c>
      <c r="AR48" s="24" t="s">
        <v>76</v>
      </c>
      <c r="AS48" s="24" t="n">
        <f aca="false">COUNTIF(E48:AQ48,"H")</f>
        <v>5</v>
      </c>
      <c r="AT48" s="24" t="n">
        <f aca="false">COUNTIF(E48:AQ48,"I")</f>
        <v>0</v>
      </c>
      <c r="AU48" s="24" t="n">
        <f aca="false">COUNTIF(E48:AQ48,"TD")</f>
        <v>1</v>
      </c>
      <c r="AV48" s="24" t="n">
        <f aca="false">COUNTIF(E48:AQ48,"S")</f>
        <v>0</v>
      </c>
      <c r="AW48" s="24" t="n">
        <f aca="false">COUNTIF(E48:AQ48,"A")</f>
        <v>0</v>
      </c>
      <c r="AX48" s="24" t="str">
        <f aca="false">B48</f>
        <v>MUHAMMAD DZIKRI HUSAENI</v>
      </c>
    </row>
    <row r="49" customFormat="false" ht="15.75" hidden="false" customHeight="false" outlineLevel="0" collapsed="false">
      <c r="A49" s="24" t="n">
        <v>9</v>
      </c>
      <c r="B49" s="31" t="e">
        <f aca="false">B15</f>
        <v>#REF!</v>
      </c>
      <c r="C49" s="24" t="e">
        <f aca="false">C15</f>
        <v>#REF!</v>
      </c>
      <c r="D49" s="24"/>
      <c r="E49" s="24" t="s">
        <v>77</v>
      </c>
      <c r="F49" s="24"/>
      <c r="G49" s="24"/>
      <c r="H49" s="24" t="s">
        <v>77</v>
      </c>
      <c r="I49" s="24"/>
      <c r="J49" s="31" t="e">
        <f aca="false">B49</f>
        <v>#REF!</v>
      </c>
      <c r="K49" s="24"/>
      <c r="L49" s="24"/>
      <c r="M49" s="24"/>
      <c r="N49" s="24"/>
      <c r="O49" s="24" t="s">
        <v>75</v>
      </c>
      <c r="P49" s="24"/>
      <c r="Q49" s="31" t="e">
        <f aca="false">B49</f>
        <v>#REF!</v>
      </c>
      <c r="R49" s="24" t="s">
        <v>103</v>
      </c>
      <c r="S49" s="24" t="s">
        <v>78</v>
      </c>
      <c r="T49" s="24" t="s">
        <v>76</v>
      </c>
      <c r="U49" s="24"/>
      <c r="V49" s="24"/>
      <c r="W49" s="24"/>
      <c r="X49" s="31" t="e">
        <f aca="false">B49</f>
        <v>#REF!</v>
      </c>
      <c r="Y49" s="24"/>
      <c r="Z49" s="24"/>
      <c r="AA49" s="24"/>
      <c r="AB49" s="24"/>
      <c r="AC49" s="24"/>
      <c r="AD49" s="24"/>
      <c r="AE49" s="31" t="e">
        <f aca="false">B49</f>
        <v>#REF!</v>
      </c>
      <c r="AF49" s="24"/>
      <c r="AG49" s="24" t="s">
        <v>81</v>
      </c>
      <c r="AH49" s="24"/>
      <c r="AI49" s="24" t="s">
        <v>104</v>
      </c>
      <c r="AJ49" s="24" t="s">
        <v>78</v>
      </c>
      <c r="AK49" s="24" t="s">
        <v>76</v>
      </c>
      <c r="AL49" s="24" t="e">
        <f aca="false">B49</f>
        <v>#REF!</v>
      </c>
      <c r="AM49" s="24"/>
      <c r="AN49" s="24" t="s">
        <v>81</v>
      </c>
      <c r="AO49" s="24"/>
      <c r="AP49" s="24" t="s">
        <v>105</v>
      </c>
      <c r="AQ49" s="24" t="s">
        <v>78</v>
      </c>
      <c r="AR49" s="24" t="s">
        <v>76</v>
      </c>
      <c r="AS49" s="24" t="n">
        <f aca="false">COUNTIF(E49:AQ49,"H")</f>
        <v>3</v>
      </c>
      <c r="AT49" s="24" t="n">
        <f aca="false">COUNTIF(E49:AQ49,"I")</f>
        <v>0</v>
      </c>
      <c r="AU49" s="24" t="n">
        <f aca="false">COUNTIF(E49:AQ49,"TD")</f>
        <v>2</v>
      </c>
      <c r="AV49" s="24" t="n">
        <f aca="false">COUNTIF(E49:AQ49,"S")</f>
        <v>0</v>
      </c>
      <c r="AW49" s="24" t="n">
        <f aca="false">COUNTIF(E49:AQ49,"A")</f>
        <v>1</v>
      </c>
      <c r="AX49" s="24" t="e">
        <f aca="false">B49</f>
        <v>#REF!</v>
      </c>
    </row>
    <row r="50" customFormat="false" ht="15.75" hidden="false" customHeight="false" outlineLevel="0" collapsed="false">
      <c r="A50" s="24" t="n">
        <v>10</v>
      </c>
      <c r="B50" s="31" t="str">
        <f aca="false">B16</f>
        <v>ABDUL KHOLIQ</v>
      </c>
      <c r="C50" s="24" t="n">
        <f aca="false">C16</f>
        <v>14</v>
      </c>
      <c r="D50" s="24" t="s">
        <v>106</v>
      </c>
      <c r="E50" s="24" t="s">
        <v>78</v>
      </c>
      <c r="F50" s="24" t="s">
        <v>76</v>
      </c>
      <c r="G50" s="24"/>
      <c r="H50" s="24" t="s">
        <v>78</v>
      </c>
      <c r="I50" s="24"/>
      <c r="J50" s="31" t="str">
        <f aca="false">B50</f>
        <v>ABDUL KHOLIQ</v>
      </c>
      <c r="K50" s="24"/>
      <c r="L50" s="24"/>
      <c r="M50" s="24"/>
      <c r="N50" s="24"/>
      <c r="O50" s="24" t="s">
        <v>78</v>
      </c>
      <c r="P50" s="24"/>
      <c r="Q50" s="31" t="str">
        <f aca="false">B50</f>
        <v>ABDUL KHOLIQ</v>
      </c>
      <c r="R50" s="24" t="s">
        <v>107</v>
      </c>
      <c r="S50" s="24" t="s">
        <v>78</v>
      </c>
      <c r="T50" s="24" t="s">
        <v>76</v>
      </c>
      <c r="U50" s="24"/>
      <c r="V50" s="24"/>
      <c r="W50" s="24"/>
      <c r="X50" s="31" t="str">
        <f aca="false">B50</f>
        <v>ABDUL KHOLIQ</v>
      </c>
      <c r="Y50" s="24"/>
      <c r="Z50" s="24"/>
      <c r="AA50" s="24"/>
      <c r="AB50" s="24"/>
      <c r="AC50" s="24"/>
      <c r="AD50" s="24"/>
      <c r="AE50" s="31" t="str">
        <f aca="false">B50</f>
        <v>ABDUL KHOLIQ</v>
      </c>
      <c r="AF50" s="24" t="s">
        <v>108</v>
      </c>
      <c r="AG50" s="24" t="s">
        <v>78</v>
      </c>
      <c r="AH50" s="24" t="s">
        <v>76</v>
      </c>
      <c r="AI50" s="24"/>
      <c r="AJ50" s="24" t="s">
        <v>78</v>
      </c>
      <c r="AK50" s="24"/>
      <c r="AL50" s="24" t="str">
        <f aca="false">B50</f>
        <v>ABDUL KHOLIQ</v>
      </c>
      <c r="AM50" s="24"/>
      <c r="AN50" s="24" t="s">
        <v>81</v>
      </c>
      <c r="AO50" s="24"/>
      <c r="AP50" s="24" t="s">
        <v>109</v>
      </c>
      <c r="AQ50" s="24" t="s">
        <v>78</v>
      </c>
      <c r="AR50" s="24" t="s">
        <v>76</v>
      </c>
      <c r="AS50" s="24" t="n">
        <f aca="false">COUNTIF(E50:AQ50,"H")</f>
        <v>7</v>
      </c>
      <c r="AT50" s="24" t="n">
        <f aca="false">COUNTIF(E50:AQ50,"I")</f>
        <v>0</v>
      </c>
      <c r="AU50" s="24" t="n">
        <f aca="false">COUNTIF(E50:AQ50,"TD")</f>
        <v>1</v>
      </c>
      <c r="AV50" s="24" t="n">
        <f aca="false">COUNTIF(E50:AQ50,"S")</f>
        <v>0</v>
      </c>
      <c r="AW50" s="24" t="n">
        <f aca="false">COUNTIF(E50:AQ50,"A")</f>
        <v>0</v>
      </c>
      <c r="AX50" s="24" t="str">
        <f aca="false">B50</f>
        <v>ABDUL KHOLIQ</v>
      </c>
    </row>
    <row r="51" customFormat="false" ht="15.75" hidden="false" customHeight="false" outlineLevel="0" collapsed="false">
      <c r="A51" s="24" t="n">
        <v>11</v>
      </c>
      <c r="B51" s="31" t="str">
        <f aca="false">B17</f>
        <v>IYAN FARID</v>
      </c>
      <c r="C51" s="24" t="n">
        <f aca="false">C17</f>
        <v>13</v>
      </c>
      <c r="D51" s="24"/>
      <c r="E51" s="24" t="s">
        <v>79</v>
      </c>
      <c r="F51" s="24"/>
      <c r="G51" s="24"/>
      <c r="H51" s="24" t="s">
        <v>78</v>
      </c>
      <c r="I51" s="24"/>
      <c r="J51" s="31" t="str">
        <f aca="false">B51</f>
        <v>IYAN FARID</v>
      </c>
      <c r="K51" s="24"/>
      <c r="L51" s="24"/>
      <c r="M51" s="24"/>
      <c r="N51" s="24"/>
      <c r="O51" s="24" t="s">
        <v>78</v>
      </c>
      <c r="P51" s="24"/>
      <c r="Q51" s="31" t="str">
        <f aca="false">B51</f>
        <v>IYAN FARID</v>
      </c>
      <c r="R51" s="24"/>
      <c r="S51" s="24" t="s">
        <v>79</v>
      </c>
      <c r="T51" s="24"/>
      <c r="U51" s="24"/>
      <c r="V51" s="24"/>
      <c r="W51" s="24"/>
      <c r="X51" s="31" t="str">
        <f aca="false">B51</f>
        <v>IYAN FARID</v>
      </c>
      <c r="Y51" s="24"/>
      <c r="Z51" s="24"/>
      <c r="AA51" s="24"/>
      <c r="AB51" s="24"/>
      <c r="AC51" s="24"/>
      <c r="AD51" s="24"/>
      <c r="AE51" s="31" t="str">
        <f aca="false">B51</f>
        <v>IYAN FARID</v>
      </c>
      <c r="AF51" s="24" t="s">
        <v>110</v>
      </c>
      <c r="AG51" s="24" t="s">
        <v>78</v>
      </c>
      <c r="AH51" s="24" t="s">
        <v>76</v>
      </c>
      <c r="AI51" s="24"/>
      <c r="AJ51" s="24" t="s">
        <v>97</v>
      </c>
      <c r="AK51" s="24"/>
      <c r="AL51" s="24" t="str">
        <f aca="false">B51</f>
        <v>IYAN FARID</v>
      </c>
      <c r="AM51" s="24"/>
      <c r="AN51" s="24" t="s">
        <v>77</v>
      </c>
      <c r="AO51" s="24"/>
      <c r="AP51" s="24"/>
      <c r="AQ51" s="24" t="s">
        <v>77</v>
      </c>
      <c r="AR51" s="24"/>
      <c r="AS51" s="24" t="n">
        <f aca="false">COUNTIF(E51:AQ51,"H")</f>
        <v>3</v>
      </c>
      <c r="AT51" s="24" t="n">
        <f aca="false">COUNTIF(E51:AQ51,"I")</f>
        <v>1</v>
      </c>
      <c r="AU51" s="24" t="n">
        <f aca="false">COUNTIF(E51:AQ51,"TD")</f>
        <v>0</v>
      </c>
      <c r="AV51" s="24" t="n">
        <f aca="false">COUNTIF(E51:AQ51,"S")</f>
        <v>0</v>
      </c>
      <c r="AW51" s="24" t="n">
        <f aca="false">COUNTIF(E51:AQ51,"A")</f>
        <v>0</v>
      </c>
      <c r="AX51" s="24" t="str">
        <f aca="false">B51</f>
        <v>IYAN FARID</v>
      </c>
    </row>
    <row r="52" customFormat="false" ht="15.75" hidden="false" customHeight="false" outlineLevel="0" collapsed="false">
      <c r="A52" s="24" t="n">
        <v>12</v>
      </c>
      <c r="B52" s="31" t="str">
        <f aca="false">B18</f>
        <v>ZAENI NURIL HIKAM</v>
      </c>
      <c r="C52" s="24" t="n">
        <f aca="false">C18</f>
        <v>12</v>
      </c>
      <c r="D52" s="24" t="s">
        <v>111</v>
      </c>
      <c r="E52" s="24" t="s">
        <v>78</v>
      </c>
      <c r="F52" s="24" t="s">
        <v>76</v>
      </c>
      <c r="G52" s="24"/>
      <c r="H52" s="24" t="s">
        <v>78</v>
      </c>
      <c r="I52" s="24"/>
      <c r="J52" s="31" t="str">
        <f aca="false">B52</f>
        <v>ZAENI NURIL HIKAM</v>
      </c>
      <c r="K52" s="24"/>
      <c r="L52" s="24"/>
      <c r="M52" s="24"/>
      <c r="N52" s="24"/>
      <c r="O52" s="24"/>
      <c r="P52" s="24"/>
      <c r="Q52" s="31" t="str">
        <f aca="false">B52</f>
        <v>ZAENI NURIL HIKAM</v>
      </c>
      <c r="R52" s="24"/>
      <c r="S52" s="24" t="s">
        <v>79</v>
      </c>
      <c r="T52" s="24"/>
      <c r="U52" s="24"/>
      <c r="V52" s="24"/>
      <c r="W52" s="24"/>
      <c r="X52" s="31" t="str">
        <f aca="false">B52</f>
        <v>ZAENI NURIL HIKAM</v>
      </c>
      <c r="Y52" s="24"/>
      <c r="Z52" s="24"/>
      <c r="AA52" s="24"/>
      <c r="AB52" s="24"/>
      <c r="AC52" s="24"/>
      <c r="AD52" s="24"/>
      <c r="AE52" s="31" t="str">
        <f aca="false">B52</f>
        <v>ZAENI NURIL HIKAM</v>
      </c>
      <c r="AF52" s="24"/>
      <c r="AG52" s="24" t="s">
        <v>81</v>
      </c>
      <c r="AH52" s="24"/>
      <c r="AI52" s="24"/>
      <c r="AJ52" s="24" t="s">
        <v>78</v>
      </c>
      <c r="AK52" s="24"/>
      <c r="AL52" s="24" t="str">
        <f aca="false">B52</f>
        <v>ZAENI NURIL HIKAM</v>
      </c>
      <c r="AM52" s="24"/>
      <c r="AN52" s="24" t="s">
        <v>81</v>
      </c>
      <c r="AO52" s="24"/>
      <c r="AP52" s="24" t="s">
        <v>112</v>
      </c>
      <c r="AQ52" s="24" t="s">
        <v>78</v>
      </c>
      <c r="AR52" s="24" t="s">
        <v>76</v>
      </c>
      <c r="AS52" s="24" t="n">
        <f aca="false">COUNTIF(E52:AQ52,"H")</f>
        <v>4</v>
      </c>
      <c r="AT52" s="24" t="n">
        <f aca="false">COUNTIF(E52:AQ52,"I")</f>
        <v>0</v>
      </c>
      <c r="AU52" s="24" t="n">
        <f aca="false">COUNTIF(E52:AQ52,"TD")</f>
        <v>2</v>
      </c>
      <c r="AV52" s="24" t="n">
        <f aca="false">COUNTIF(E52:AQ52,"S")</f>
        <v>0</v>
      </c>
      <c r="AW52" s="24" t="n">
        <f aca="false">COUNTIF(E52:AQ52,"A")</f>
        <v>0</v>
      </c>
      <c r="AX52" s="24" t="str">
        <f aca="false">B52</f>
        <v>ZAENI NURIL HIKAM</v>
      </c>
    </row>
    <row r="53" customFormat="false" ht="15.75" hidden="false" customHeight="false" outlineLevel="0" collapsed="false">
      <c r="A53" s="24" t="n">
        <v>13</v>
      </c>
      <c r="B53" s="31" t="str">
        <f aca="false">B19</f>
        <v>LUCKY KURNIAWAN</v>
      </c>
      <c r="C53" s="24" t="n">
        <f aca="false">C19</f>
        <v>12</v>
      </c>
      <c r="D53" s="24"/>
      <c r="E53" s="24" t="s">
        <v>81</v>
      </c>
      <c r="F53" s="24"/>
      <c r="G53" s="24" t="s">
        <v>113</v>
      </c>
      <c r="H53" s="24" t="s">
        <v>78</v>
      </c>
      <c r="I53" s="24"/>
      <c r="J53" s="31" t="str">
        <f aca="false">B53</f>
        <v>LUCKY KURNIAWAN</v>
      </c>
      <c r="K53" s="24"/>
      <c r="L53" s="24"/>
      <c r="M53" s="24"/>
      <c r="N53" s="24" t="s">
        <v>114</v>
      </c>
      <c r="O53" s="24" t="s">
        <v>78</v>
      </c>
      <c r="P53" s="24" t="s">
        <v>76</v>
      </c>
      <c r="Q53" s="31" t="str">
        <f aca="false">B53</f>
        <v>LUCKY KURNIAWAN</v>
      </c>
      <c r="R53" s="24"/>
      <c r="S53" s="24" t="s">
        <v>81</v>
      </c>
      <c r="T53" s="24"/>
      <c r="U53" s="24"/>
      <c r="V53" s="24"/>
      <c r="W53" s="24"/>
      <c r="X53" s="31" t="str">
        <f aca="false">B53</f>
        <v>LUCKY KURNIAWAN</v>
      </c>
      <c r="Y53" s="24"/>
      <c r="Z53" s="24"/>
      <c r="AA53" s="24"/>
      <c r="AB53" s="24"/>
      <c r="AC53" s="24"/>
      <c r="AD53" s="24"/>
      <c r="AE53" s="31" t="str">
        <f aca="false">B53</f>
        <v>LUCKY KURNIAWAN</v>
      </c>
      <c r="AF53" s="24"/>
      <c r="AG53" s="24" t="s">
        <v>81</v>
      </c>
      <c r="AH53" s="24"/>
      <c r="AI53" s="24"/>
      <c r="AJ53" s="24" t="s">
        <v>81</v>
      </c>
      <c r="AK53" s="24"/>
      <c r="AL53" s="24" t="str">
        <f aca="false">B53</f>
        <v>LUCKY KURNIAWAN</v>
      </c>
      <c r="AM53" s="24"/>
      <c r="AN53" s="24" t="s">
        <v>81</v>
      </c>
      <c r="AO53" s="24"/>
      <c r="AP53" s="24"/>
      <c r="AQ53" s="24" t="s">
        <v>81</v>
      </c>
      <c r="AR53" s="24"/>
      <c r="AS53" s="24" t="n">
        <f aca="false">COUNTIF(E53:AQ53,"H")</f>
        <v>2</v>
      </c>
      <c r="AT53" s="24" t="n">
        <f aca="false">COUNTIF(E53:AQ53,"I")</f>
        <v>0</v>
      </c>
      <c r="AU53" s="24" t="n">
        <f aca="false">COUNTIF(E53:AQ53,"TD")</f>
        <v>6</v>
      </c>
      <c r="AV53" s="24" t="n">
        <f aca="false">COUNTIF(E53:AQ53,"S")</f>
        <v>0</v>
      </c>
      <c r="AW53" s="24" t="n">
        <f aca="false">COUNTIF(E53:AQ53,"A")</f>
        <v>0</v>
      </c>
      <c r="AX53" s="24" t="str">
        <f aca="false">B53</f>
        <v>LUCKY KURNIAWAN</v>
      </c>
    </row>
    <row r="54" customFormat="false" ht="15.75" hidden="false" customHeight="false" outlineLevel="0" collapsed="false">
      <c r="A54" s="24" t="n">
        <v>14</v>
      </c>
      <c r="B54" s="31" t="str">
        <f aca="false">B20</f>
        <v>MUHAMMAD RAFIK MUHARAM</v>
      </c>
      <c r="C54" s="24" t="n">
        <f aca="false">C20</f>
        <v>12</v>
      </c>
      <c r="D54" s="24"/>
      <c r="E54" s="24" t="s">
        <v>81</v>
      </c>
      <c r="F54" s="24"/>
      <c r="G54" s="24"/>
      <c r="H54" s="24"/>
      <c r="I54" s="24"/>
      <c r="J54" s="31" t="str">
        <f aca="false">B54</f>
        <v>MUHAMMAD RAFIK MUHARAM</v>
      </c>
      <c r="K54" s="24"/>
      <c r="L54" s="24"/>
      <c r="M54" s="24"/>
      <c r="N54" s="24"/>
      <c r="O54" s="24" t="s">
        <v>81</v>
      </c>
      <c r="P54" s="24"/>
      <c r="Q54" s="31" t="str">
        <f aca="false">B54</f>
        <v>MUHAMMAD RAFIK MUHARAM</v>
      </c>
      <c r="R54" s="24" t="s">
        <v>106</v>
      </c>
      <c r="S54" s="24" t="s">
        <v>78</v>
      </c>
      <c r="T54" s="24" t="s">
        <v>76</v>
      </c>
      <c r="U54" s="24"/>
      <c r="V54" s="24"/>
      <c r="W54" s="24"/>
      <c r="X54" s="31" t="str">
        <f aca="false">B54</f>
        <v>MUHAMMAD RAFIK MUHARAM</v>
      </c>
      <c r="Y54" s="24"/>
      <c r="Z54" s="24"/>
      <c r="AA54" s="24"/>
      <c r="AB54" s="24"/>
      <c r="AC54" s="24"/>
      <c r="AD54" s="24"/>
      <c r="AE54" s="31" t="str">
        <f aca="false">B54</f>
        <v>MUHAMMAD RAFIK MUHARAM</v>
      </c>
      <c r="AF54" s="24"/>
      <c r="AG54" s="24" t="s">
        <v>81</v>
      </c>
      <c r="AH54" s="24"/>
      <c r="AI54" s="24"/>
      <c r="AJ54" s="24" t="s">
        <v>78</v>
      </c>
      <c r="AK54" s="24"/>
      <c r="AL54" s="24" t="str">
        <f aca="false">B54</f>
        <v>MUHAMMAD RAFIK MUHARAM</v>
      </c>
      <c r="AM54" s="24"/>
      <c r="AN54" s="24" t="s">
        <v>81</v>
      </c>
      <c r="AO54" s="24"/>
      <c r="AP54" s="24"/>
      <c r="AQ54" s="24" t="s">
        <v>81</v>
      </c>
      <c r="AR54" s="24"/>
      <c r="AS54" s="24" t="n">
        <f aca="false">COUNTIF(E54:AQ54,"H")</f>
        <v>2</v>
      </c>
      <c r="AT54" s="24" t="n">
        <f aca="false">COUNTIF(E54:AQ54,"I")</f>
        <v>0</v>
      </c>
      <c r="AU54" s="24" t="n">
        <f aca="false">COUNTIF(E54:AQ54,"TD")</f>
        <v>5</v>
      </c>
      <c r="AV54" s="24" t="n">
        <f aca="false">COUNTIF(E54:AQ54,"S")</f>
        <v>0</v>
      </c>
      <c r="AW54" s="24" t="n">
        <f aca="false">COUNTIF(E54:AQ54,"A")</f>
        <v>0</v>
      </c>
      <c r="AX54" s="24" t="str">
        <f aca="false">B54</f>
        <v>MUHAMMAD RAFIK MUHARAM</v>
      </c>
    </row>
    <row r="55" customFormat="false" ht="15.75" hidden="false" customHeight="false" outlineLevel="0" collapsed="false">
      <c r="A55" s="24" t="n">
        <v>15</v>
      </c>
      <c r="B55" s="31" t="str">
        <f aca="false">B21</f>
        <v>UMAR ABDUL MALIK</v>
      </c>
      <c r="C55" s="24" t="n">
        <f aca="false">C21</f>
        <v>11</v>
      </c>
      <c r="D55" s="24"/>
      <c r="E55" s="24" t="s">
        <v>78</v>
      </c>
      <c r="F55" s="24" t="s">
        <v>76</v>
      </c>
      <c r="G55" s="24"/>
      <c r="H55" s="24"/>
      <c r="I55" s="24"/>
      <c r="J55" s="31" t="str">
        <f aca="false">B55</f>
        <v>UMAR ABDUL MALIK</v>
      </c>
      <c r="K55" s="24"/>
      <c r="L55" s="24"/>
      <c r="M55" s="24"/>
      <c r="N55" s="24"/>
      <c r="O55" s="24" t="s">
        <v>75</v>
      </c>
      <c r="P55" s="24"/>
      <c r="Q55" s="31" t="str">
        <f aca="false">B55</f>
        <v>UMAR ABDUL MALIK</v>
      </c>
      <c r="R55" s="24" t="s">
        <v>115</v>
      </c>
      <c r="S55" s="24" t="s">
        <v>78</v>
      </c>
      <c r="T55" s="24" t="s">
        <v>76</v>
      </c>
      <c r="U55" s="24"/>
      <c r="V55" s="24"/>
      <c r="W55" s="24"/>
      <c r="X55" s="31" t="str">
        <f aca="false">B55</f>
        <v>UMAR ABDUL MALIK</v>
      </c>
      <c r="Y55" s="24"/>
      <c r="Z55" s="24"/>
      <c r="AA55" s="24"/>
      <c r="AB55" s="24"/>
      <c r="AC55" s="24"/>
      <c r="AD55" s="24"/>
      <c r="AE55" s="31" t="str">
        <f aca="false">B55</f>
        <v>UMAR ABDUL MALIK</v>
      </c>
      <c r="AF55" s="24"/>
      <c r="AG55" s="24" t="s">
        <v>81</v>
      </c>
      <c r="AH55" s="24"/>
      <c r="AI55" s="24"/>
      <c r="AJ55" s="24" t="s">
        <v>78</v>
      </c>
      <c r="AK55" s="24"/>
      <c r="AL55" s="24" t="str">
        <f aca="false">B55</f>
        <v>UMAR ABDUL MALIK</v>
      </c>
      <c r="AM55" s="24"/>
      <c r="AN55" s="24" t="s">
        <v>81</v>
      </c>
      <c r="AO55" s="24"/>
      <c r="AP55" s="24"/>
      <c r="AQ55" s="24" t="s">
        <v>75</v>
      </c>
      <c r="AR55" s="24"/>
      <c r="AS55" s="24" t="n">
        <f aca="false">COUNTIF(E55:AQ55,"H")</f>
        <v>3</v>
      </c>
      <c r="AT55" s="24" t="n">
        <f aca="false">COUNTIF(E55:AQ55,"I")</f>
        <v>0</v>
      </c>
      <c r="AU55" s="24" t="n">
        <f aca="false">COUNTIF(E55:AQ55,"TD")</f>
        <v>2</v>
      </c>
      <c r="AV55" s="24" t="n">
        <f aca="false">COUNTIF(E55:AQ55,"S")</f>
        <v>0</v>
      </c>
      <c r="AW55" s="24" t="n">
        <f aca="false">COUNTIF(E55:AQ55,"A")</f>
        <v>2</v>
      </c>
      <c r="AX55" s="24" t="str">
        <f aca="false">B55</f>
        <v>UMAR ABDUL MALIK</v>
      </c>
    </row>
    <row r="56" customFormat="false" ht="15.75" hidden="false" customHeight="false" outlineLevel="0" collapsed="false">
      <c r="A56" s="24" t="n">
        <v>16</v>
      </c>
      <c r="B56" s="31" t="str">
        <f aca="false">B22</f>
        <v>AHMAD HAFIDZ ALHAWARI</v>
      </c>
      <c r="C56" s="24" t="n">
        <f aca="false">C22</f>
        <v>10</v>
      </c>
      <c r="D56" s="24"/>
      <c r="E56" s="24" t="s">
        <v>78</v>
      </c>
      <c r="F56" s="24" t="s">
        <v>76</v>
      </c>
      <c r="G56" s="24"/>
      <c r="H56" s="24" t="s">
        <v>78</v>
      </c>
      <c r="I56" s="24"/>
      <c r="J56" s="31" t="str">
        <f aca="false">B56</f>
        <v>AHMAD HAFIDZ ALHAWARI</v>
      </c>
      <c r="K56" s="24"/>
      <c r="L56" s="24"/>
      <c r="M56" s="24"/>
      <c r="N56" s="24" t="s">
        <v>116</v>
      </c>
      <c r="O56" s="24" t="s">
        <v>78</v>
      </c>
      <c r="P56" s="24" t="s">
        <v>76</v>
      </c>
      <c r="Q56" s="31" t="str">
        <f aca="false">B56</f>
        <v>AHMAD HAFIDZ ALHAWARI</v>
      </c>
      <c r="R56" s="24" t="s">
        <v>117</v>
      </c>
      <c r="S56" s="24" t="s">
        <v>78</v>
      </c>
      <c r="T56" s="24" t="s">
        <v>76</v>
      </c>
      <c r="U56" s="24"/>
      <c r="V56" s="24"/>
      <c r="W56" s="24"/>
      <c r="X56" s="31" t="str">
        <f aca="false">B56</f>
        <v>AHMAD HAFIDZ ALHAWARI</v>
      </c>
      <c r="Y56" s="24"/>
      <c r="Z56" s="24"/>
      <c r="AA56" s="24"/>
      <c r="AB56" s="24"/>
      <c r="AC56" s="24"/>
      <c r="AD56" s="24"/>
      <c r="AE56" s="31" t="str">
        <f aca="false">B56</f>
        <v>AHMAD HAFIDZ ALHAWARI</v>
      </c>
      <c r="AF56" s="24" t="s">
        <v>118</v>
      </c>
      <c r="AG56" s="24" t="s">
        <v>78</v>
      </c>
      <c r="AH56" s="38" t="s">
        <v>76</v>
      </c>
      <c r="AI56" s="24"/>
      <c r="AJ56" s="24" t="s">
        <v>78</v>
      </c>
      <c r="AK56" s="24"/>
      <c r="AL56" s="24" t="str">
        <f aca="false">B56</f>
        <v>AHMAD HAFIDZ ALHAWARI</v>
      </c>
      <c r="AM56" s="24" t="s">
        <v>119</v>
      </c>
      <c r="AN56" s="24" t="s">
        <v>78</v>
      </c>
      <c r="AO56" s="24" t="s">
        <v>76</v>
      </c>
      <c r="AP56" s="24"/>
      <c r="AQ56" s="24" t="s">
        <v>78</v>
      </c>
      <c r="AR56" s="24"/>
      <c r="AS56" s="24" t="n">
        <f aca="false">COUNTIF(E56:AQ56,"H")</f>
        <v>8</v>
      </c>
      <c r="AT56" s="24" t="n">
        <f aca="false">COUNTIF(E56:AQ56,"I")</f>
        <v>0</v>
      </c>
      <c r="AU56" s="24" t="n">
        <f aca="false">COUNTIF(E56:AQ56,"TD")</f>
        <v>0</v>
      </c>
      <c r="AV56" s="24" t="n">
        <f aca="false">COUNTIF(E56:AQ56,"S")</f>
        <v>0</v>
      </c>
      <c r="AW56" s="24" t="n">
        <f aca="false">COUNTIF(E56:AQ56,"A")</f>
        <v>0</v>
      </c>
      <c r="AX56" s="24" t="str">
        <f aca="false">B56</f>
        <v>AHMAD HAFIDZ ALHAWARI</v>
      </c>
    </row>
    <row r="57" customFormat="false" ht="15.75" hidden="false" customHeight="false" outlineLevel="0" collapsed="false">
      <c r="A57" s="24" t="n">
        <v>17</v>
      </c>
      <c r="B57" s="31" t="str">
        <f aca="false">B23</f>
        <v>MUHAMMAD FAUZAN</v>
      </c>
      <c r="C57" s="24" t="n">
        <f aca="false">C23</f>
        <v>10</v>
      </c>
      <c r="D57" s="24"/>
      <c r="E57" s="24"/>
      <c r="F57" s="24"/>
      <c r="G57" s="24" t="s">
        <v>120</v>
      </c>
      <c r="H57" s="24" t="s">
        <v>78</v>
      </c>
      <c r="I57" s="24" t="s">
        <v>76</v>
      </c>
      <c r="J57" s="31" t="str">
        <f aca="false">B57</f>
        <v>MUHAMMAD FAUZAN</v>
      </c>
      <c r="K57" s="24"/>
      <c r="L57" s="24"/>
      <c r="M57" s="24"/>
      <c r="N57" s="24" t="s">
        <v>121</v>
      </c>
      <c r="O57" s="24" t="s">
        <v>78</v>
      </c>
      <c r="P57" s="24" t="s">
        <v>76</v>
      </c>
      <c r="Q57" s="31" t="str">
        <f aca="false">B57</f>
        <v>MUHAMMAD FAUZAN</v>
      </c>
      <c r="R57" s="24"/>
      <c r="S57" s="24" t="s">
        <v>79</v>
      </c>
      <c r="T57" s="24"/>
      <c r="U57" s="24"/>
      <c r="V57" s="24"/>
      <c r="W57" s="24"/>
      <c r="X57" s="31" t="str">
        <f aca="false">B57</f>
        <v>MUHAMMAD FAUZAN</v>
      </c>
      <c r="Y57" s="24"/>
      <c r="Z57" s="24"/>
      <c r="AA57" s="24"/>
      <c r="AB57" s="24"/>
      <c r="AC57" s="24"/>
      <c r="AD57" s="24"/>
      <c r="AE57" s="31" t="str">
        <f aca="false">B57</f>
        <v>MUHAMMAD FAUZAN</v>
      </c>
      <c r="AF57" s="24"/>
      <c r="AG57" s="24" t="s">
        <v>79</v>
      </c>
      <c r="AH57" s="24"/>
      <c r="AI57" s="24"/>
      <c r="AJ57" s="24" t="s">
        <v>78</v>
      </c>
      <c r="AK57" s="24"/>
      <c r="AL57" s="24" t="str">
        <f aca="false">B57</f>
        <v>MUHAMMAD FAUZAN</v>
      </c>
      <c r="AM57" s="24"/>
      <c r="AN57" s="24" t="s">
        <v>79</v>
      </c>
      <c r="AO57" s="24"/>
      <c r="AP57" s="24" t="s">
        <v>122</v>
      </c>
      <c r="AQ57" s="24" t="s">
        <v>78</v>
      </c>
      <c r="AR57" s="24" t="s">
        <v>76</v>
      </c>
      <c r="AS57" s="24" t="n">
        <f aca="false">COUNTIF(E57:AQ57,"H")</f>
        <v>4</v>
      </c>
      <c r="AT57" s="24" t="n">
        <f aca="false">COUNTIF(E57:AQ57,"I")</f>
        <v>0</v>
      </c>
      <c r="AU57" s="24" t="n">
        <f aca="false">COUNTIF(E57:AQ57,"TD")</f>
        <v>0</v>
      </c>
      <c r="AV57" s="24" t="n">
        <f aca="false">COUNTIF(E57:AQ57,"S")</f>
        <v>0</v>
      </c>
      <c r="AW57" s="24" t="n">
        <f aca="false">COUNTIF(E57:AQ57,"A")</f>
        <v>0</v>
      </c>
      <c r="AX57" s="24" t="str">
        <f aca="false">B57</f>
        <v>MUHAMMAD FAUZAN</v>
      </c>
    </row>
    <row r="58" customFormat="false" ht="15.75" hidden="false" customHeight="false" outlineLevel="0" collapsed="false">
      <c r="A58" s="24" t="n">
        <v>18</v>
      </c>
      <c r="B58" s="31" t="str">
        <f aca="false">B24</f>
        <v>AKBAR RAMADAN</v>
      </c>
      <c r="C58" s="24" t="n">
        <f aca="false">C24</f>
        <v>9</v>
      </c>
      <c r="D58" s="24"/>
      <c r="E58" s="24" t="s">
        <v>78</v>
      </c>
      <c r="F58" s="24" t="s">
        <v>76</v>
      </c>
      <c r="G58" s="24"/>
      <c r="H58" s="24" t="s">
        <v>78</v>
      </c>
      <c r="I58" s="24"/>
      <c r="J58" s="31" t="str">
        <f aca="false">B58</f>
        <v>AKBAR RAMADAN</v>
      </c>
      <c r="K58" s="24"/>
      <c r="L58" s="24"/>
      <c r="M58" s="24"/>
      <c r="N58" s="24"/>
      <c r="O58" s="24" t="s">
        <v>78</v>
      </c>
      <c r="P58" s="24"/>
      <c r="Q58" s="31" t="str">
        <f aca="false">B58</f>
        <v>AKBAR RAMADAN</v>
      </c>
      <c r="R58" s="24" t="s">
        <v>123</v>
      </c>
      <c r="S58" s="24" t="s">
        <v>78</v>
      </c>
      <c r="T58" s="24" t="s">
        <v>76</v>
      </c>
      <c r="U58" s="24"/>
      <c r="V58" s="24"/>
      <c r="W58" s="24"/>
      <c r="X58" s="31" t="str">
        <f aca="false">B58</f>
        <v>AKBAR RAMADAN</v>
      </c>
      <c r="Y58" s="24"/>
      <c r="Z58" s="24"/>
      <c r="AA58" s="24"/>
      <c r="AB58" s="24"/>
      <c r="AC58" s="24"/>
      <c r="AD58" s="24"/>
      <c r="AE58" s="31" t="str">
        <f aca="false">B58</f>
        <v>AKBAR RAMADAN</v>
      </c>
      <c r="AF58" s="24" t="s">
        <v>124</v>
      </c>
      <c r="AG58" s="24" t="s">
        <v>78</v>
      </c>
      <c r="AH58" s="24" t="s">
        <v>76</v>
      </c>
      <c r="AI58" s="24"/>
      <c r="AJ58" s="24" t="s">
        <v>78</v>
      </c>
      <c r="AK58" s="24"/>
      <c r="AL58" s="24" t="str">
        <f aca="false">B58</f>
        <v>AKBAR RAMADAN</v>
      </c>
      <c r="AM58" s="24"/>
      <c r="AN58" s="24" t="s">
        <v>80</v>
      </c>
      <c r="AO58" s="24"/>
      <c r="AP58" s="24"/>
      <c r="AQ58" s="24" t="s">
        <v>80</v>
      </c>
      <c r="AR58" s="24"/>
      <c r="AS58" s="24" t="n">
        <f aca="false">COUNTIF(E58:AQ58,"H")</f>
        <v>6</v>
      </c>
      <c r="AT58" s="24" t="n">
        <f aca="false">COUNTIF(E58:AQ58,"I")</f>
        <v>0</v>
      </c>
      <c r="AU58" s="24" t="n">
        <f aca="false">COUNTIF(E58:AQ58,"TD")</f>
        <v>0</v>
      </c>
      <c r="AV58" s="24" t="n">
        <f aca="false">COUNTIF(E58:AQ58,"S")</f>
        <v>2</v>
      </c>
      <c r="AW58" s="24" t="n">
        <f aca="false">COUNTIF(E58:AQ58,"A")</f>
        <v>0</v>
      </c>
      <c r="AX58" s="24" t="str">
        <f aca="false">B58</f>
        <v>AKBAR RAMADAN</v>
      </c>
    </row>
    <row r="59" customFormat="false" ht="15.75" hidden="false" customHeight="false" outlineLevel="0" collapsed="false">
      <c r="A59" s="24" t="n">
        <v>19</v>
      </c>
      <c r="B59" s="31" t="e">
        <f aca="false">B25</f>
        <v>#REF!</v>
      </c>
      <c r="C59" s="24" t="e">
        <f aca="false">C25</f>
        <v>#REF!</v>
      </c>
      <c r="D59" s="24" t="s">
        <v>111</v>
      </c>
      <c r="E59" s="24" t="s">
        <v>78</v>
      </c>
      <c r="F59" s="24" t="s">
        <v>76</v>
      </c>
      <c r="G59" s="24"/>
      <c r="H59" s="24" t="s">
        <v>78</v>
      </c>
      <c r="I59" s="24"/>
      <c r="J59" s="31" t="e">
        <f aca="false">B59</f>
        <v>#REF!</v>
      </c>
      <c r="K59" s="24"/>
      <c r="L59" s="24"/>
      <c r="M59" s="24"/>
      <c r="N59" s="24"/>
      <c r="O59" s="24" t="s">
        <v>78</v>
      </c>
      <c r="P59" s="24"/>
      <c r="Q59" s="31" t="e">
        <f aca="false">B59</f>
        <v>#REF!</v>
      </c>
      <c r="R59" s="24" t="s">
        <v>125</v>
      </c>
      <c r="S59" s="24" t="s">
        <v>78</v>
      </c>
      <c r="T59" s="24" t="s">
        <v>76</v>
      </c>
      <c r="U59" s="24"/>
      <c r="V59" s="24"/>
      <c r="W59" s="24"/>
      <c r="X59" s="31" t="e">
        <f aca="false">B59</f>
        <v>#REF!</v>
      </c>
      <c r="Y59" s="24"/>
      <c r="Z59" s="24"/>
      <c r="AA59" s="24"/>
      <c r="AB59" s="24"/>
      <c r="AC59" s="24"/>
      <c r="AD59" s="24"/>
      <c r="AE59" s="31" t="e">
        <f aca="false">B59</f>
        <v>#REF!</v>
      </c>
      <c r="AF59" s="24" t="s">
        <v>126</v>
      </c>
      <c r="AG59" s="24" t="s">
        <v>78</v>
      </c>
      <c r="AH59" s="24" t="s">
        <v>76</v>
      </c>
      <c r="AI59" s="24"/>
      <c r="AJ59" s="24" t="s">
        <v>78</v>
      </c>
      <c r="AK59" s="24"/>
      <c r="AL59" s="24" t="e">
        <f aca="false">B59</f>
        <v>#REF!</v>
      </c>
      <c r="AM59" s="24"/>
      <c r="AN59" s="24" t="s">
        <v>81</v>
      </c>
      <c r="AO59" s="24"/>
      <c r="AP59" s="24"/>
      <c r="AQ59" s="24" t="s">
        <v>81</v>
      </c>
      <c r="AR59" s="24"/>
      <c r="AS59" s="24" t="n">
        <f aca="false">COUNTIF(E59:AQ59,"H")</f>
        <v>6</v>
      </c>
      <c r="AT59" s="24" t="n">
        <f aca="false">COUNTIF(E59:AQ59,"I")</f>
        <v>0</v>
      </c>
      <c r="AU59" s="24" t="n">
        <f aca="false">COUNTIF(E59:AQ59,"TD")</f>
        <v>2</v>
      </c>
      <c r="AV59" s="24" t="n">
        <f aca="false">COUNTIF(E59:AQ59,"S")</f>
        <v>0</v>
      </c>
      <c r="AW59" s="24" t="n">
        <f aca="false">COUNTIF(E59:AQ59,"A")</f>
        <v>0</v>
      </c>
      <c r="AX59" s="24" t="e">
        <f aca="false">B59</f>
        <v>#REF!</v>
      </c>
    </row>
    <row r="60" customFormat="false" ht="15.75" hidden="false" customHeight="false" outlineLevel="0" collapsed="false">
      <c r="A60" s="24" t="n">
        <v>20</v>
      </c>
      <c r="B60" s="31" t="str">
        <f aca="false">B26</f>
        <v>ABIDZAR ALGHIFARI</v>
      </c>
      <c r="C60" s="24" t="n">
        <f aca="false">C26</f>
        <v>8</v>
      </c>
      <c r="D60" s="38"/>
      <c r="E60" s="24" t="s">
        <v>78</v>
      </c>
      <c r="F60" s="24" t="s">
        <v>76</v>
      </c>
      <c r="G60" s="24"/>
      <c r="H60" s="24" t="s">
        <v>78</v>
      </c>
      <c r="I60" s="24"/>
      <c r="J60" s="31" t="str">
        <f aca="false">B60</f>
        <v>ABIDZAR ALGHIFARI</v>
      </c>
      <c r="K60" s="24"/>
      <c r="L60" s="24"/>
      <c r="M60" s="24"/>
      <c r="N60" s="24"/>
      <c r="O60" s="24" t="s">
        <v>78</v>
      </c>
      <c r="P60" s="24"/>
      <c r="Q60" s="31" t="str">
        <f aca="false">B60</f>
        <v>ABIDZAR ALGHIFARI</v>
      </c>
      <c r="R60" s="24" t="s">
        <v>127</v>
      </c>
      <c r="S60" s="24" t="s">
        <v>78</v>
      </c>
      <c r="T60" s="24" t="s">
        <v>76</v>
      </c>
      <c r="U60" s="24"/>
      <c r="V60" s="24"/>
      <c r="W60" s="24"/>
      <c r="X60" s="31" t="str">
        <f aca="false">B60</f>
        <v>ABIDZAR ALGHIFARI</v>
      </c>
      <c r="Y60" s="24"/>
      <c r="Z60" s="24"/>
      <c r="AA60" s="24"/>
      <c r="AB60" s="24"/>
      <c r="AC60" s="24"/>
      <c r="AD60" s="24"/>
      <c r="AE60" s="31" t="str">
        <f aca="false">B60</f>
        <v>ABIDZAR ALGHIFARI</v>
      </c>
      <c r="AF60" s="24" t="s">
        <v>128</v>
      </c>
      <c r="AG60" s="24" t="s">
        <v>78</v>
      </c>
      <c r="AH60" s="24" t="s">
        <v>76</v>
      </c>
      <c r="AI60" s="24"/>
      <c r="AJ60" s="24" t="s">
        <v>78</v>
      </c>
      <c r="AK60" s="24"/>
      <c r="AL60" s="24" t="str">
        <f aca="false">B60</f>
        <v>ABIDZAR ALGHIFARI</v>
      </c>
      <c r="AM60" s="24" t="s">
        <v>129</v>
      </c>
      <c r="AN60" s="24" t="s">
        <v>78</v>
      </c>
      <c r="AO60" s="24" t="s">
        <v>76</v>
      </c>
      <c r="AP60" s="24"/>
      <c r="AQ60" s="24" t="s">
        <v>78</v>
      </c>
      <c r="AR60" s="24"/>
      <c r="AS60" s="24" t="n">
        <f aca="false">COUNTIF(E60:AQ60,"H")</f>
        <v>8</v>
      </c>
      <c r="AT60" s="24" t="n">
        <f aca="false">COUNTIF(E60:AQ60,"I")</f>
        <v>0</v>
      </c>
      <c r="AU60" s="24" t="n">
        <f aca="false">COUNTIF(E60:AQ60,"TD")</f>
        <v>0</v>
      </c>
      <c r="AV60" s="24" t="n">
        <f aca="false">COUNTIF(E60:AQ60,"S")</f>
        <v>0</v>
      </c>
      <c r="AW60" s="24" t="n">
        <f aca="false">COUNTIF(E60:AQ60,"A")</f>
        <v>0</v>
      </c>
      <c r="AX60" s="24" t="str">
        <f aca="false">B60</f>
        <v>ABIDZAR ALGHIFARI</v>
      </c>
    </row>
    <row r="61" customFormat="false" ht="15.75" hidden="false" customHeight="false" outlineLevel="0" collapsed="false">
      <c r="A61" s="24" t="n">
        <v>21</v>
      </c>
      <c r="B61" s="31" t="str">
        <f aca="false">B27</f>
        <v>KAFY MUHAMMAD AZIZY</v>
      </c>
      <c r="C61" s="24" t="n">
        <f aca="false">C27</f>
        <v>7</v>
      </c>
      <c r="D61" s="24"/>
      <c r="E61" s="24" t="s">
        <v>78</v>
      </c>
      <c r="F61" s="24" t="s">
        <v>76</v>
      </c>
      <c r="G61" s="24"/>
      <c r="H61" s="24" t="s">
        <v>78</v>
      </c>
      <c r="I61" s="24"/>
      <c r="J61" s="31" t="str">
        <f aca="false">B61</f>
        <v>KAFY MUHAMMAD AZIZY</v>
      </c>
      <c r="K61" s="24"/>
      <c r="L61" s="24"/>
      <c r="M61" s="24"/>
      <c r="N61" s="24"/>
      <c r="O61" s="24" t="s">
        <v>78</v>
      </c>
      <c r="P61" s="24"/>
      <c r="Q61" s="31" t="str">
        <f aca="false">B61</f>
        <v>KAFY MUHAMMAD AZIZY</v>
      </c>
      <c r="R61" s="24" t="s">
        <v>130</v>
      </c>
      <c r="S61" s="24" t="s">
        <v>78</v>
      </c>
      <c r="T61" s="24" t="s">
        <v>76</v>
      </c>
      <c r="U61" s="24"/>
      <c r="V61" s="24"/>
      <c r="W61" s="24"/>
      <c r="X61" s="31" t="str">
        <f aca="false">B61</f>
        <v>KAFY MUHAMMAD AZIZY</v>
      </c>
      <c r="Y61" s="24"/>
      <c r="Z61" s="24"/>
      <c r="AA61" s="24"/>
      <c r="AB61" s="24"/>
      <c r="AC61" s="24"/>
      <c r="AD61" s="24"/>
      <c r="AE61" s="31" t="str">
        <f aca="false">B61</f>
        <v>KAFY MUHAMMAD AZIZY</v>
      </c>
      <c r="AF61" s="24"/>
      <c r="AG61" s="24" t="s">
        <v>79</v>
      </c>
      <c r="AH61" s="24"/>
      <c r="AI61" s="24"/>
      <c r="AJ61" s="24" t="s">
        <v>78</v>
      </c>
      <c r="AK61" s="24"/>
      <c r="AL61" s="24" t="str">
        <f aca="false">B61</f>
        <v>KAFY MUHAMMAD AZIZY</v>
      </c>
      <c r="AM61" s="24"/>
      <c r="AN61" s="24" t="s">
        <v>79</v>
      </c>
      <c r="AO61" s="24"/>
      <c r="AP61" s="24"/>
      <c r="AQ61" s="24" t="s">
        <v>81</v>
      </c>
      <c r="AR61" s="24"/>
      <c r="AS61" s="24" t="n">
        <f aca="false">COUNTIF(E61:AQ61,"H")</f>
        <v>5</v>
      </c>
      <c r="AT61" s="24" t="n">
        <f aca="false">COUNTIF(E61:AQ61,"I")</f>
        <v>0</v>
      </c>
      <c r="AU61" s="24" t="n">
        <f aca="false">COUNTIF(E61:AQ61,"TD")</f>
        <v>1</v>
      </c>
      <c r="AV61" s="24" t="n">
        <f aca="false">COUNTIF(E61:AQ61,"S")</f>
        <v>0</v>
      </c>
      <c r="AW61" s="24" t="n">
        <f aca="false">COUNTIF(E61:AQ61,"A")</f>
        <v>0</v>
      </c>
      <c r="AX61" s="24" t="str">
        <f aca="false">B61</f>
        <v>KAFY MUHAMMAD AZIZY</v>
      </c>
    </row>
    <row r="62" customFormat="false" ht="15.75" hidden="false" customHeight="false" outlineLevel="0" collapsed="false">
      <c r="A62" s="24" t="n">
        <v>22</v>
      </c>
      <c r="B62" s="31" t="e">
        <f aca="false">B28</f>
        <v>#REF!</v>
      </c>
      <c r="C62" s="24" t="e">
        <f aca="false">C28</f>
        <v>#REF!</v>
      </c>
      <c r="D62" s="24" t="s">
        <v>111</v>
      </c>
      <c r="E62" s="24" t="s">
        <v>78</v>
      </c>
      <c r="F62" s="24" t="s">
        <v>76</v>
      </c>
      <c r="G62" s="24"/>
      <c r="H62" s="24" t="s">
        <v>78</v>
      </c>
      <c r="I62" s="24"/>
      <c r="J62" s="31" t="e">
        <f aca="false">B62</f>
        <v>#REF!</v>
      </c>
      <c r="K62" s="24"/>
      <c r="L62" s="24"/>
      <c r="M62" s="24"/>
      <c r="N62" s="24"/>
      <c r="O62" s="24" t="s">
        <v>78</v>
      </c>
      <c r="P62" s="24"/>
      <c r="Q62" s="31" t="e">
        <f aca="false">B62</f>
        <v>#REF!</v>
      </c>
      <c r="R62" s="24"/>
      <c r="S62" s="24" t="s">
        <v>78</v>
      </c>
      <c r="T62" s="24"/>
      <c r="U62" s="24"/>
      <c r="V62" s="24"/>
      <c r="W62" s="24"/>
      <c r="X62" s="31" t="e">
        <f aca="false">B62</f>
        <v>#REF!</v>
      </c>
      <c r="Y62" s="24"/>
      <c r="Z62" s="24"/>
      <c r="AA62" s="24"/>
      <c r="AB62" s="24"/>
      <c r="AC62" s="24"/>
      <c r="AD62" s="24"/>
      <c r="AE62" s="31" t="e">
        <f aca="false">B62</f>
        <v>#REF!</v>
      </c>
      <c r="AF62" s="24" t="s">
        <v>131</v>
      </c>
      <c r="AG62" s="24" t="s">
        <v>78</v>
      </c>
      <c r="AH62" s="24" t="s">
        <v>76</v>
      </c>
      <c r="AI62" s="24"/>
      <c r="AJ62" s="24" t="s">
        <v>78</v>
      </c>
      <c r="AK62" s="24"/>
      <c r="AL62" s="24" t="e">
        <f aca="false">B62</f>
        <v>#REF!</v>
      </c>
      <c r="AM62" s="24"/>
      <c r="AN62" s="24" t="s">
        <v>81</v>
      </c>
      <c r="AO62" s="24"/>
      <c r="AP62" s="24"/>
      <c r="AQ62" s="24" t="s">
        <v>78</v>
      </c>
      <c r="AR62" s="24"/>
      <c r="AS62" s="24" t="n">
        <f aca="false">COUNTIF(E62:AQ62,"H")</f>
        <v>7</v>
      </c>
      <c r="AT62" s="24" t="n">
        <f aca="false">COUNTIF(E62:AQ62,"I")</f>
        <v>0</v>
      </c>
      <c r="AU62" s="24" t="n">
        <f aca="false">COUNTIF(E62:AQ62,"TD")</f>
        <v>1</v>
      </c>
      <c r="AV62" s="24" t="n">
        <f aca="false">COUNTIF(E62:AQ62,"S")</f>
        <v>0</v>
      </c>
      <c r="AW62" s="24" t="n">
        <f aca="false">COUNTIF(E62:AQ62,"A")</f>
        <v>0</v>
      </c>
      <c r="AX62" s="24" t="e">
        <f aca="false">B62</f>
        <v>#REF!</v>
      </c>
    </row>
    <row r="63" customFormat="false" ht="15.75" hidden="false" customHeight="false" outlineLevel="0" collapsed="false">
      <c r="A63" s="24" t="n">
        <v>23</v>
      </c>
      <c r="B63" s="31" t="str">
        <f aca="false">B29</f>
        <v>MUHAMMAD MUNAWWAR KHOLIL</v>
      </c>
      <c r="C63" s="24" t="n">
        <f aca="false">C29</f>
        <v>4</v>
      </c>
      <c r="D63" s="24"/>
      <c r="E63" s="24" t="s">
        <v>78</v>
      </c>
      <c r="F63" s="24" t="s">
        <v>76</v>
      </c>
      <c r="G63" s="24"/>
      <c r="H63" s="24" t="s">
        <v>78</v>
      </c>
      <c r="I63" s="24"/>
      <c r="J63" s="31" t="str">
        <f aca="false">B63</f>
        <v>MUHAMMAD MUNAWWAR KHOLIL</v>
      </c>
      <c r="K63" s="24"/>
      <c r="L63" s="24"/>
      <c r="M63" s="24"/>
      <c r="N63" s="24"/>
      <c r="O63" s="24" t="s">
        <v>78</v>
      </c>
      <c r="P63" s="24"/>
      <c r="Q63" s="31" t="str">
        <f aca="false">B63</f>
        <v>MUHAMMAD MUNAWWAR KHOLIL</v>
      </c>
      <c r="R63" s="24" t="s">
        <v>132</v>
      </c>
      <c r="S63" s="24" t="s">
        <v>78</v>
      </c>
      <c r="T63" s="24"/>
      <c r="U63" s="24"/>
      <c r="V63" s="24"/>
      <c r="W63" s="24"/>
      <c r="X63" s="31" t="str">
        <f aca="false">B63</f>
        <v>MUHAMMAD MUNAWWAR KHOLIL</v>
      </c>
      <c r="Y63" s="24"/>
      <c r="Z63" s="24"/>
      <c r="AA63" s="24"/>
      <c r="AB63" s="24"/>
      <c r="AC63" s="24"/>
      <c r="AD63" s="24"/>
      <c r="AE63" s="31" t="str">
        <f aca="false">B63</f>
        <v>MUHAMMAD MUNAWWAR KHOLIL</v>
      </c>
      <c r="AF63" s="24"/>
      <c r="AG63" s="24" t="s">
        <v>78</v>
      </c>
      <c r="AH63" s="24"/>
      <c r="AI63" s="24"/>
      <c r="AJ63" s="24" t="s">
        <v>78</v>
      </c>
      <c r="AK63" s="24"/>
      <c r="AL63" s="24" t="str">
        <f aca="false">B63</f>
        <v>MUHAMMAD MUNAWWAR KHOLIL</v>
      </c>
      <c r="AM63" s="24" t="s">
        <v>133</v>
      </c>
      <c r="AN63" s="24" t="s">
        <v>78</v>
      </c>
      <c r="AO63" s="24" t="s">
        <v>76</v>
      </c>
      <c r="AP63" s="24"/>
      <c r="AQ63" s="24" t="s">
        <v>78</v>
      </c>
      <c r="AR63" s="24"/>
      <c r="AS63" s="24" t="n">
        <f aca="false">COUNTIF(E63:AQ63,"H")</f>
        <v>8</v>
      </c>
      <c r="AT63" s="24" t="n">
        <f aca="false">COUNTIF(E63:AQ63,"I")</f>
        <v>0</v>
      </c>
      <c r="AU63" s="24" t="n">
        <f aca="false">COUNTIF(E63:AQ63,"TD")</f>
        <v>0</v>
      </c>
      <c r="AV63" s="24" t="n">
        <f aca="false">COUNTIF(E63:AQ63,"S")</f>
        <v>0</v>
      </c>
      <c r="AW63" s="24" t="n">
        <f aca="false">COUNTIF(E63:AQ63,"A")</f>
        <v>0</v>
      </c>
      <c r="AX63" s="24" t="str">
        <f aca="false">B63</f>
        <v>MUHAMMAD MUNAWWAR KHOLIL</v>
      </c>
    </row>
    <row r="64" customFormat="false" ht="15.75" hidden="false" customHeight="false" outlineLevel="0" collapsed="false">
      <c r="A64" s="24" t="n">
        <v>24</v>
      </c>
      <c r="B64" s="31" t="str">
        <f aca="false">B30</f>
        <v>ALWI</v>
      </c>
      <c r="C64" s="24" t="n">
        <f aca="false">C30</f>
        <v>3</v>
      </c>
      <c r="D64" s="24"/>
      <c r="E64" s="24"/>
      <c r="F64" s="24"/>
      <c r="G64" s="24"/>
      <c r="H64" s="24"/>
      <c r="I64" s="24"/>
      <c r="J64" s="31" t="str">
        <f aca="false">B64</f>
        <v>ALWI</v>
      </c>
      <c r="K64" s="24"/>
      <c r="L64" s="24"/>
      <c r="M64" s="24"/>
      <c r="N64" s="24"/>
      <c r="O64" s="24"/>
      <c r="P64" s="24"/>
      <c r="Q64" s="31" t="str">
        <f aca="false">B64</f>
        <v>ALWI</v>
      </c>
      <c r="R64" s="24"/>
      <c r="S64" s="24"/>
      <c r="T64" s="24"/>
      <c r="U64" s="24"/>
      <c r="V64" s="24"/>
      <c r="W64" s="24"/>
      <c r="X64" s="31" t="str">
        <f aca="false">B64</f>
        <v>ALWI</v>
      </c>
      <c r="Y64" s="24"/>
      <c r="Z64" s="24"/>
      <c r="AA64" s="24"/>
      <c r="AB64" s="24"/>
      <c r="AC64" s="24"/>
      <c r="AD64" s="24"/>
      <c r="AE64" s="31" t="str">
        <f aca="false">B64</f>
        <v>ALWI</v>
      </c>
      <c r="AF64" s="24"/>
      <c r="AG64" s="24"/>
      <c r="AH64" s="24"/>
      <c r="AI64" s="24"/>
      <c r="AJ64" s="24"/>
      <c r="AK64" s="24"/>
      <c r="AL64" s="24" t="str">
        <f aca="false">B64</f>
        <v>ALWI</v>
      </c>
      <c r="AM64" s="24"/>
      <c r="AN64" s="24"/>
      <c r="AO64" s="24"/>
      <c r="AP64" s="24"/>
      <c r="AQ64" s="24"/>
      <c r="AR64" s="24"/>
      <c r="AS64" s="24" t="n">
        <f aca="false">COUNTIF(E64:AQ64,"H")</f>
        <v>0</v>
      </c>
      <c r="AT64" s="24" t="n">
        <f aca="false">COUNTIF(E64:AQ64,"I")</f>
        <v>0</v>
      </c>
      <c r="AU64" s="24" t="n">
        <f aca="false">COUNTIF(E64:AQ64,"TD")</f>
        <v>0</v>
      </c>
      <c r="AV64" s="24" t="n">
        <f aca="false">COUNTIF(E64:AQ64,"S")</f>
        <v>0</v>
      </c>
      <c r="AW64" s="24" t="n">
        <f aca="false">COUNTIF(E64:AQ64,"A")</f>
        <v>0</v>
      </c>
      <c r="AX64" s="24" t="str">
        <f aca="false">B64</f>
        <v>ALWI</v>
      </c>
    </row>
    <row r="65" customFormat="false" ht="15.75" hidden="false" customHeight="false" outlineLevel="0" collapsed="false">
      <c r="A65" s="24" t="n">
        <v>25</v>
      </c>
      <c r="B65" s="31" t="str">
        <f aca="false">B31</f>
        <v>PIRMAN</v>
      </c>
      <c r="C65" s="24" t="n">
        <f aca="false">C31</f>
        <v>1</v>
      </c>
      <c r="D65" s="24"/>
      <c r="E65" s="24"/>
      <c r="F65" s="24"/>
      <c r="G65" s="24"/>
      <c r="H65" s="24"/>
      <c r="I65" s="24"/>
      <c r="J65" s="31" t="str">
        <f aca="false">B65</f>
        <v>PIRMAN</v>
      </c>
      <c r="K65" s="24"/>
      <c r="L65" s="24"/>
      <c r="M65" s="24"/>
      <c r="N65" s="24"/>
      <c r="O65" s="24"/>
      <c r="P65" s="24"/>
      <c r="Q65" s="31" t="str">
        <f aca="false">B65</f>
        <v>PIRMAN</v>
      </c>
      <c r="R65" s="24"/>
      <c r="S65" s="24"/>
      <c r="T65" s="24"/>
      <c r="U65" s="24"/>
      <c r="V65" s="24"/>
      <c r="W65" s="24"/>
      <c r="X65" s="31" t="str">
        <f aca="false">B65</f>
        <v>PIRMAN</v>
      </c>
      <c r="Y65" s="24"/>
      <c r="Z65" s="24"/>
      <c r="AA65" s="24"/>
      <c r="AB65" s="24"/>
      <c r="AC65" s="24"/>
      <c r="AD65" s="24"/>
      <c r="AE65" s="31" t="str">
        <f aca="false">B65</f>
        <v>PIRMAN</v>
      </c>
      <c r="AF65" s="24"/>
      <c r="AG65" s="24"/>
      <c r="AH65" s="24"/>
      <c r="AI65" s="24"/>
      <c r="AJ65" s="24"/>
      <c r="AK65" s="24"/>
      <c r="AL65" s="24" t="str">
        <f aca="false">B65</f>
        <v>PIRMAN</v>
      </c>
      <c r="AM65" s="24"/>
      <c r="AN65" s="24"/>
      <c r="AO65" s="24"/>
      <c r="AP65" s="24"/>
      <c r="AQ65" s="24"/>
      <c r="AR65" s="24"/>
      <c r="AS65" s="24" t="n">
        <f aca="false">COUNTIF(E65:AQ65,"H")</f>
        <v>0</v>
      </c>
      <c r="AT65" s="24" t="n">
        <f aca="false">COUNTIF(E65:AQ65,"I")</f>
        <v>0</v>
      </c>
      <c r="AU65" s="24" t="n">
        <f aca="false">COUNTIF(E65:AQ65,"TD")</f>
        <v>0</v>
      </c>
      <c r="AV65" s="24" t="n">
        <f aca="false">COUNTIF(E65:AQ65,"S")</f>
        <v>0</v>
      </c>
      <c r="AW65" s="24" t="n">
        <f aca="false">COUNTIF(E65:AQ65,"A")</f>
        <v>0</v>
      </c>
      <c r="AX65" s="24" t="str">
        <f aca="false">B65</f>
        <v>PIRMAN</v>
      </c>
    </row>
    <row r="66" customFormat="false" ht="15.75" hidden="false" customHeight="false" outlineLevel="0" collapsed="false">
      <c r="A66" s="24" t="n">
        <v>26</v>
      </c>
      <c r="B66" s="31" t="str">
        <f aca="false">B32</f>
        <v>MUHAMMAD DENMAR NABAWI</v>
      </c>
      <c r="C66" s="24" t="n">
        <f aca="false">C32</f>
        <v>1</v>
      </c>
      <c r="D66" s="24"/>
      <c r="E66" s="24"/>
      <c r="F66" s="24"/>
      <c r="G66" s="24"/>
      <c r="H66" s="24"/>
      <c r="I66" s="24"/>
      <c r="J66" s="31" t="str">
        <f aca="false">B66</f>
        <v>MUHAMMAD DENMAR NABAWI</v>
      </c>
      <c r="K66" s="24"/>
      <c r="L66" s="24"/>
      <c r="M66" s="24"/>
      <c r="N66" s="24"/>
      <c r="O66" s="24"/>
      <c r="P66" s="24"/>
      <c r="Q66" s="31" t="str">
        <f aca="false">B66</f>
        <v>MUHAMMAD DENMAR NABAWI</v>
      </c>
      <c r="R66" s="24"/>
      <c r="S66" s="24"/>
      <c r="T66" s="24"/>
      <c r="U66" s="24"/>
      <c r="V66" s="24"/>
      <c r="W66" s="24"/>
      <c r="X66" s="31" t="str">
        <f aca="false">B66</f>
        <v>MUHAMMAD DENMAR NABAWI</v>
      </c>
      <c r="Y66" s="24"/>
      <c r="Z66" s="24"/>
      <c r="AA66" s="24"/>
      <c r="AB66" s="24"/>
      <c r="AC66" s="24"/>
      <c r="AD66" s="24"/>
      <c r="AE66" s="31" t="str">
        <f aca="false">B66</f>
        <v>MUHAMMAD DENMAR NABAWI</v>
      </c>
      <c r="AF66" s="24"/>
      <c r="AG66" s="24"/>
      <c r="AH66" s="24"/>
      <c r="AI66" s="24"/>
      <c r="AJ66" s="24"/>
      <c r="AK66" s="24"/>
      <c r="AL66" s="24" t="str">
        <f aca="false">B66</f>
        <v>MUHAMMAD DENMAR NABAWI</v>
      </c>
      <c r="AM66" s="24"/>
      <c r="AN66" s="24"/>
      <c r="AO66" s="24"/>
      <c r="AP66" s="24"/>
      <c r="AQ66" s="24"/>
      <c r="AR66" s="24"/>
      <c r="AS66" s="24" t="n">
        <f aca="false">COUNTIF(E66:AQ66,"H")</f>
        <v>0</v>
      </c>
      <c r="AT66" s="24" t="n">
        <f aca="false">COUNTIF(E66:AQ66,"I")</f>
        <v>0</v>
      </c>
      <c r="AU66" s="24" t="n">
        <f aca="false">COUNTIF(E66:AQ66,"TD")</f>
        <v>0</v>
      </c>
      <c r="AV66" s="24" t="n">
        <f aca="false">COUNTIF(E66:AQ66,"S")</f>
        <v>0</v>
      </c>
      <c r="AW66" s="24" t="n">
        <f aca="false">COUNTIF(E66:AQ66,"A")</f>
        <v>0</v>
      </c>
      <c r="AX66" s="24" t="str">
        <f aca="false">B66</f>
        <v>MUHAMMAD DENMAR NABAWI</v>
      </c>
    </row>
    <row r="67" customFormat="false" ht="15.75" hidden="false" customHeight="false" outlineLevel="0" collapsed="false">
      <c r="A67" s="24" t="n">
        <v>27</v>
      </c>
      <c r="B67" s="31" t="e">
        <f aca="false">B33</f>
        <v>#REF!</v>
      </c>
      <c r="C67" s="24" t="e">
        <f aca="false">C33</f>
        <v>#REF!</v>
      </c>
      <c r="D67" s="24"/>
      <c r="E67" s="24"/>
      <c r="F67" s="24"/>
      <c r="G67" s="24"/>
      <c r="H67" s="24"/>
      <c r="I67" s="24"/>
      <c r="J67" s="31" t="e">
        <f aca="false">B67</f>
        <v>#REF!</v>
      </c>
      <c r="K67" s="24"/>
      <c r="L67" s="24"/>
      <c r="M67" s="24"/>
      <c r="N67" s="24"/>
      <c r="O67" s="24"/>
      <c r="P67" s="24"/>
      <c r="Q67" s="31" t="e">
        <f aca="false">B67</f>
        <v>#REF!</v>
      </c>
      <c r="R67" s="24"/>
      <c r="S67" s="24"/>
      <c r="T67" s="24"/>
      <c r="U67" s="24"/>
      <c r="V67" s="24"/>
      <c r="W67" s="24"/>
      <c r="X67" s="31" t="e">
        <f aca="false">B67</f>
        <v>#REF!</v>
      </c>
      <c r="Y67" s="24"/>
      <c r="Z67" s="24"/>
      <c r="AA67" s="24"/>
      <c r="AB67" s="24"/>
      <c r="AC67" s="24"/>
      <c r="AD67" s="24"/>
      <c r="AE67" s="31" t="e">
        <f aca="false">B67</f>
        <v>#REF!</v>
      </c>
      <c r="AF67" s="24"/>
      <c r="AG67" s="24"/>
      <c r="AH67" s="24"/>
      <c r="AI67" s="24"/>
      <c r="AJ67" s="24"/>
      <c r="AK67" s="24"/>
      <c r="AL67" s="24" t="e">
        <f aca="false">B67</f>
        <v>#REF!</v>
      </c>
      <c r="AM67" s="24"/>
      <c r="AN67" s="24"/>
      <c r="AO67" s="24"/>
      <c r="AP67" s="24"/>
      <c r="AQ67" s="24"/>
      <c r="AR67" s="24"/>
      <c r="AS67" s="24" t="n">
        <f aca="false">COUNTIF(E67:AQ67,"H")</f>
        <v>0</v>
      </c>
      <c r="AT67" s="24" t="n">
        <f aca="false">COUNTIF(E67:AQ67,"I")</f>
        <v>0</v>
      </c>
      <c r="AU67" s="24" t="n">
        <f aca="false">COUNTIF(E67:AQ67,"TD")</f>
        <v>0</v>
      </c>
      <c r="AV67" s="24" t="n">
        <f aca="false">COUNTIF(E67:AQ67,"S")</f>
        <v>0</v>
      </c>
      <c r="AW67" s="24" t="n">
        <f aca="false">COUNTIF(E67:AQ67,"A")</f>
        <v>0</v>
      </c>
      <c r="AX67" s="24" t="e">
        <f aca="false">B67</f>
        <v>#REF!</v>
      </c>
    </row>
    <row r="68" customFormat="false" ht="15.75" hidden="false" customHeight="false" outlineLevel="0" collapsed="false">
      <c r="A68" s="24" t="n">
        <v>28</v>
      </c>
      <c r="B68" s="31" t="e">
        <f aca="false">B34</f>
        <v>#REF!</v>
      </c>
      <c r="C68" s="24" t="e">
        <f aca="false">C34</f>
        <v>#REF!</v>
      </c>
      <c r="D68" s="24"/>
      <c r="E68" s="24"/>
      <c r="F68" s="24"/>
      <c r="G68" s="24"/>
      <c r="H68" s="24"/>
      <c r="I68" s="24"/>
      <c r="J68" s="31" t="e">
        <f aca="false">B68</f>
        <v>#REF!</v>
      </c>
      <c r="K68" s="24"/>
      <c r="L68" s="24"/>
      <c r="M68" s="24"/>
      <c r="N68" s="24"/>
      <c r="O68" s="24"/>
      <c r="P68" s="24"/>
      <c r="Q68" s="31" t="e">
        <f aca="false">B68</f>
        <v>#REF!</v>
      </c>
      <c r="R68" s="24"/>
      <c r="S68" s="24"/>
      <c r="T68" s="24"/>
      <c r="U68" s="24"/>
      <c r="V68" s="24"/>
      <c r="W68" s="24"/>
      <c r="X68" s="31" t="e">
        <f aca="false">B68</f>
        <v>#REF!</v>
      </c>
      <c r="Y68" s="24"/>
      <c r="Z68" s="24"/>
      <c r="AA68" s="24"/>
      <c r="AB68" s="24"/>
      <c r="AC68" s="24"/>
      <c r="AD68" s="24"/>
      <c r="AE68" s="31" t="e">
        <f aca="false">B68</f>
        <v>#REF!</v>
      </c>
      <c r="AF68" s="24"/>
      <c r="AG68" s="24"/>
      <c r="AH68" s="24"/>
      <c r="AI68" s="24"/>
      <c r="AJ68" s="24"/>
      <c r="AK68" s="24"/>
      <c r="AL68" s="24" t="e">
        <f aca="false">B68</f>
        <v>#REF!</v>
      </c>
      <c r="AM68" s="24"/>
      <c r="AN68" s="24"/>
      <c r="AO68" s="24"/>
      <c r="AP68" s="24"/>
      <c r="AQ68" s="24"/>
      <c r="AR68" s="24"/>
      <c r="AS68" s="24" t="n">
        <f aca="false">COUNTIF(E68:AQ68,"H")</f>
        <v>0</v>
      </c>
      <c r="AT68" s="24" t="n">
        <f aca="false">COUNTIF(E68:AQ68,"I")</f>
        <v>0</v>
      </c>
      <c r="AU68" s="24" t="n">
        <f aca="false">COUNTIF(E68:AQ68,"TD")</f>
        <v>0</v>
      </c>
      <c r="AV68" s="24" t="n">
        <f aca="false">COUNTIF(E68:AQ68,"S")</f>
        <v>0</v>
      </c>
      <c r="AW68" s="24" t="n">
        <f aca="false">COUNTIF(E68:AQ68,"A")</f>
        <v>0</v>
      </c>
      <c r="AX68" s="24" t="e">
        <f aca="false">B68</f>
        <v>#REF!</v>
      </c>
    </row>
    <row r="69" customFormat="false" ht="15.75" hidden="false" customHeight="false" outlineLevel="0" collapsed="false">
      <c r="A69" s="19" t="s">
        <v>56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24"/>
      <c r="AS69" s="24"/>
      <c r="AT69" s="24"/>
      <c r="AU69" s="24"/>
      <c r="AV69" s="24"/>
      <c r="AW69" s="24"/>
      <c r="AX69" s="24"/>
    </row>
    <row r="70" customFormat="false" ht="15.75" hidden="false" customHeight="fals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24"/>
      <c r="AS70" s="24"/>
      <c r="AT70" s="24"/>
      <c r="AU70" s="24"/>
      <c r="AV70" s="24"/>
      <c r="AW70" s="24"/>
      <c r="AX70" s="24"/>
    </row>
    <row r="71" customFormat="false" ht="15.7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24"/>
      <c r="AS71" s="24"/>
      <c r="AT71" s="24"/>
      <c r="AU71" s="24"/>
      <c r="AV71" s="24"/>
      <c r="AW71" s="24"/>
      <c r="AX71" s="24"/>
    </row>
    <row r="72" customFormat="false" ht="15.75" hidden="false" customHeight="false" outlineLevel="0" collapsed="false">
      <c r="A72" s="32" t="s">
        <v>134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</row>
    <row r="73" customFormat="false" ht="15.75" hidden="false" customHeight="false" outlineLevel="0" collapsed="false">
      <c r="A73" s="21" t="s">
        <v>1</v>
      </c>
      <c r="B73" s="21" t="s">
        <v>2</v>
      </c>
      <c r="C73" s="22"/>
      <c r="D73" s="33" t="s">
        <v>135</v>
      </c>
      <c r="E73" s="33"/>
      <c r="F73" s="33"/>
      <c r="G73" s="33"/>
      <c r="H73" s="33"/>
      <c r="I73" s="33"/>
      <c r="J73" s="34"/>
      <c r="K73" s="33" t="s">
        <v>136</v>
      </c>
      <c r="L73" s="33"/>
      <c r="M73" s="33"/>
      <c r="N73" s="33"/>
      <c r="O73" s="33"/>
      <c r="P73" s="33"/>
      <c r="Q73" s="34"/>
      <c r="R73" s="33" t="s">
        <v>137</v>
      </c>
      <c r="S73" s="33"/>
      <c r="T73" s="33"/>
      <c r="U73" s="33"/>
      <c r="V73" s="33"/>
      <c r="W73" s="33"/>
      <c r="X73" s="34"/>
      <c r="Y73" s="33" t="s">
        <v>138</v>
      </c>
      <c r="Z73" s="33"/>
      <c r="AA73" s="33"/>
      <c r="AB73" s="33"/>
      <c r="AC73" s="33"/>
      <c r="AD73" s="33"/>
      <c r="AE73" s="34"/>
      <c r="AF73" s="33" t="s">
        <v>139</v>
      </c>
      <c r="AG73" s="33"/>
      <c r="AH73" s="33"/>
      <c r="AI73" s="33"/>
      <c r="AJ73" s="33"/>
      <c r="AK73" s="33"/>
      <c r="AL73" s="34"/>
      <c r="AM73" s="33" t="s">
        <v>140</v>
      </c>
      <c r="AN73" s="33"/>
      <c r="AO73" s="33"/>
      <c r="AP73" s="33"/>
      <c r="AQ73" s="33"/>
      <c r="AR73" s="33"/>
      <c r="AS73" s="33" t="s">
        <v>65</v>
      </c>
      <c r="AT73" s="33"/>
      <c r="AU73" s="33"/>
      <c r="AV73" s="33"/>
      <c r="AW73" s="33"/>
      <c r="AX73" s="34"/>
    </row>
    <row r="74" customFormat="false" ht="15.75" hidden="false" customHeight="false" outlineLevel="0" collapsed="false">
      <c r="A74" s="21"/>
      <c r="B74" s="21"/>
      <c r="C74" s="22" t="s">
        <v>66</v>
      </c>
      <c r="D74" s="35" t="s">
        <v>89</v>
      </c>
      <c r="E74" s="35"/>
      <c r="F74" s="36" t="s">
        <v>68</v>
      </c>
      <c r="G74" s="35" t="s">
        <v>67</v>
      </c>
      <c r="H74" s="35"/>
      <c r="I74" s="36" t="s">
        <v>68</v>
      </c>
      <c r="J74" s="37"/>
      <c r="K74" s="35" t="s">
        <v>89</v>
      </c>
      <c r="L74" s="35"/>
      <c r="M74" s="36" t="s">
        <v>68</v>
      </c>
      <c r="N74" s="35" t="s">
        <v>69</v>
      </c>
      <c r="O74" s="35"/>
      <c r="P74" s="36" t="s">
        <v>68</v>
      </c>
      <c r="Q74" s="37"/>
      <c r="R74" s="35" t="s">
        <v>67</v>
      </c>
      <c r="S74" s="35"/>
      <c r="T74" s="36" t="s">
        <v>68</v>
      </c>
      <c r="U74" s="35" t="s">
        <v>67</v>
      </c>
      <c r="V74" s="35"/>
      <c r="W74" s="36" t="s">
        <v>68</v>
      </c>
      <c r="X74" s="37"/>
      <c r="Y74" s="35" t="s">
        <v>89</v>
      </c>
      <c r="Z74" s="35"/>
      <c r="AA74" s="36" t="s">
        <v>68</v>
      </c>
      <c r="AB74" s="35" t="s">
        <v>67</v>
      </c>
      <c r="AC74" s="35"/>
      <c r="AD74" s="36" t="s">
        <v>68</v>
      </c>
      <c r="AE74" s="37"/>
      <c r="AF74" s="35" t="s">
        <v>89</v>
      </c>
      <c r="AG74" s="35"/>
      <c r="AH74" s="36" t="s">
        <v>68</v>
      </c>
      <c r="AI74" s="35" t="s">
        <v>67</v>
      </c>
      <c r="AJ74" s="35"/>
      <c r="AK74" s="36" t="s">
        <v>68</v>
      </c>
      <c r="AL74" s="37"/>
      <c r="AM74" s="35" t="s">
        <v>67</v>
      </c>
      <c r="AN74" s="35"/>
      <c r="AO74" s="36" t="s">
        <v>68</v>
      </c>
      <c r="AP74" s="35" t="s">
        <v>69</v>
      </c>
      <c r="AQ74" s="35"/>
      <c r="AR74" s="36" t="s">
        <v>68</v>
      </c>
      <c r="AS74" s="36" t="s">
        <v>70</v>
      </c>
      <c r="AT74" s="36" t="s">
        <v>71</v>
      </c>
      <c r="AU74" s="36" t="s">
        <v>72</v>
      </c>
      <c r="AV74" s="36" t="s">
        <v>73</v>
      </c>
      <c r="AW74" s="36" t="s">
        <v>74</v>
      </c>
      <c r="AX74" s="37"/>
    </row>
    <row r="75" customFormat="false" ht="15.75" hidden="false" customHeight="false" outlineLevel="0" collapsed="false">
      <c r="A75" s="24" t="n">
        <v>1</v>
      </c>
      <c r="B75" s="31" t="str">
        <f aca="false">B7</f>
        <v>AYI KOSIM HATIMI</v>
      </c>
      <c r="C75" s="24" t="n">
        <f aca="false">C7</f>
        <v>30</v>
      </c>
      <c r="D75" s="24" t="s">
        <v>141</v>
      </c>
      <c r="E75" s="24" t="s">
        <v>78</v>
      </c>
      <c r="F75" s="24" t="s">
        <v>76</v>
      </c>
      <c r="G75" s="24"/>
      <c r="H75" s="24"/>
      <c r="I75" s="24"/>
      <c r="J75" s="31" t="str">
        <f aca="false">B75</f>
        <v>AYI KOSIM HATIMI</v>
      </c>
      <c r="K75" s="24"/>
      <c r="L75" s="24"/>
      <c r="M75" s="24"/>
      <c r="N75" s="24"/>
      <c r="O75" s="24"/>
      <c r="P75" s="24"/>
      <c r="Q75" s="31" t="str">
        <f aca="false">B75</f>
        <v>AYI KOSIM HATIMI</v>
      </c>
      <c r="R75" s="24"/>
      <c r="S75" s="24" t="s">
        <v>79</v>
      </c>
      <c r="T75" s="24"/>
      <c r="U75" s="24" t="s">
        <v>142</v>
      </c>
      <c r="V75" s="24" t="s">
        <v>78</v>
      </c>
      <c r="W75" s="24" t="s">
        <v>76</v>
      </c>
      <c r="X75" s="31" t="str">
        <f aca="false">B75</f>
        <v>AYI KOSIM HATIMI</v>
      </c>
      <c r="Y75" s="24"/>
      <c r="Z75" s="24" t="s">
        <v>79</v>
      </c>
      <c r="AA75" s="24"/>
      <c r="AB75" s="24" t="s">
        <v>143</v>
      </c>
      <c r="AC75" s="24" t="s">
        <v>78</v>
      </c>
      <c r="AD75" s="24" t="s">
        <v>76</v>
      </c>
      <c r="AE75" s="31" t="str">
        <f aca="false">B75</f>
        <v>AYI KOSIM HATIMI</v>
      </c>
      <c r="AF75" s="24"/>
      <c r="AG75" s="24" t="s">
        <v>79</v>
      </c>
      <c r="AH75" s="24"/>
      <c r="AI75" s="24"/>
      <c r="AJ75" s="24"/>
      <c r="AK75" s="24"/>
      <c r="AL75" s="24" t="str">
        <f aca="false">B75</f>
        <v>AYI KOSIM HATIMI</v>
      </c>
      <c r="AM75" s="24"/>
      <c r="AN75" s="24"/>
      <c r="AO75" s="24"/>
      <c r="AP75" s="24"/>
      <c r="AQ75" s="24"/>
      <c r="AR75" s="24"/>
      <c r="AS75" s="24" t="n">
        <f aca="false">COUNTIF(E75:AQ75,"H")</f>
        <v>3</v>
      </c>
      <c r="AT75" s="24" t="n">
        <f aca="false">COUNTIF(E75:AQ75,"I")</f>
        <v>0</v>
      </c>
      <c r="AU75" s="24" t="n">
        <f aca="false">COUNTIF(E75:AQ75,"TD")</f>
        <v>0</v>
      </c>
      <c r="AV75" s="24" t="n">
        <f aca="false">COUNTIF(E75:AQ75,"S")</f>
        <v>0</v>
      </c>
      <c r="AW75" s="24" t="n">
        <f aca="false">COUNTIF(E75:AQ75,"A")</f>
        <v>0</v>
      </c>
      <c r="AX75" s="24" t="str">
        <f aca="false">B75</f>
        <v>AYI KOSIM HATIMI</v>
      </c>
    </row>
    <row r="76" customFormat="false" ht="15.75" hidden="false" customHeight="false" outlineLevel="0" collapsed="false">
      <c r="A76" s="24" t="n">
        <v>2</v>
      </c>
      <c r="B76" s="31" t="str">
        <f aca="false">B8</f>
        <v>ABRURRAHMAN AFANDI</v>
      </c>
      <c r="C76" s="24" t="n">
        <f aca="false">C8</f>
        <v>30</v>
      </c>
      <c r="D76" s="24"/>
      <c r="E76" s="24" t="s">
        <v>77</v>
      </c>
      <c r="F76" s="24"/>
      <c r="G76" s="24"/>
      <c r="H76" s="24"/>
      <c r="I76" s="24"/>
      <c r="J76" s="31" t="str">
        <f aca="false">B76</f>
        <v>ABRURRAHMAN AFANDI</v>
      </c>
      <c r="K76" s="24"/>
      <c r="L76" s="24" t="s">
        <v>77</v>
      </c>
      <c r="M76" s="24"/>
      <c r="N76" s="24"/>
      <c r="O76" s="24"/>
      <c r="P76" s="24"/>
      <c r="Q76" s="31" t="str">
        <f aca="false">B76</f>
        <v>ABRURRAHMAN AFANDI</v>
      </c>
      <c r="R76" s="24"/>
      <c r="S76" s="24" t="s">
        <v>77</v>
      </c>
      <c r="T76" s="24"/>
      <c r="U76" s="24"/>
      <c r="V76" s="24" t="s">
        <v>77</v>
      </c>
      <c r="W76" s="24"/>
      <c r="X76" s="31" t="str">
        <f aca="false">B76</f>
        <v>ABRURRAHMAN AFANDI</v>
      </c>
      <c r="Y76" s="24"/>
      <c r="Z76" s="24" t="s">
        <v>81</v>
      </c>
      <c r="AA76" s="24"/>
      <c r="AB76" s="24"/>
      <c r="AC76" s="24" t="s">
        <v>81</v>
      </c>
      <c r="AD76" s="24"/>
      <c r="AE76" s="31" t="str">
        <f aca="false">B76</f>
        <v>ABRURRAHMAN AFANDI</v>
      </c>
      <c r="AF76" s="24"/>
      <c r="AG76" s="24" t="s">
        <v>81</v>
      </c>
      <c r="AH76" s="24"/>
      <c r="AI76" s="24"/>
      <c r="AJ76" s="24"/>
      <c r="AK76" s="24"/>
      <c r="AL76" s="24" t="str">
        <f aca="false">B76</f>
        <v>ABRURRAHMAN AFANDI</v>
      </c>
      <c r="AM76" s="24"/>
      <c r="AN76" s="24"/>
      <c r="AO76" s="24"/>
      <c r="AP76" s="24"/>
      <c r="AQ76" s="24"/>
      <c r="AR76" s="24"/>
      <c r="AS76" s="24" t="n">
        <f aca="false">COUNTIF(E76:AQ76,"H")</f>
        <v>0</v>
      </c>
      <c r="AT76" s="24" t="n">
        <f aca="false">COUNTIF(E76:AQ76,"I")</f>
        <v>0</v>
      </c>
      <c r="AU76" s="24" t="n">
        <f aca="false">COUNTIF(E76:AQ76,"TD")</f>
        <v>3</v>
      </c>
      <c r="AV76" s="24" t="n">
        <f aca="false">COUNTIF(E76:AQ76,"S")</f>
        <v>0</v>
      </c>
      <c r="AW76" s="24" t="n">
        <f aca="false">COUNTIF(E76:AQ76,"A")</f>
        <v>0</v>
      </c>
      <c r="AX76" s="24" t="str">
        <f aca="false">B76</f>
        <v>ABRURRAHMAN AFANDI</v>
      </c>
    </row>
    <row r="77" customFormat="false" ht="15.75" hidden="false" customHeight="false" outlineLevel="0" collapsed="false">
      <c r="A77" s="24" t="n">
        <v>3</v>
      </c>
      <c r="B77" s="31" t="str">
        <f aca="false">B9</f>
        <v>CECEP ABDULATIF</v>
      </c>
      <c r="C77" s="24" t="n">
        <f aca="false">C9</f>
        <v>30</v>
      </c>
      <c r="D77" s="24"/>
      <c r="E77" s="24" t="s">
        <v>79</v>
      </c>
      <c r="F77" s="24"/>
      <c r="G77" s="24"/>
      <c r="H77" s="24"/>
      <c r="I77" s="24"/>
      <c r="J77" s="31" t="str">
        <f aca="false">B77</f>
        <v>CECEP ABDULATIF</v>
      </c>
      <c r="K77" s="24"/>
      <c r="L77" s="24"/>
      <c r="M77" s="24"/>
      <c r="N77" s="24"/>
      <c r="O77" s="24"/>
      <c r="P77" s="24"/>
      <c r="Q77" s="31" t="str">
        <f aca="false">B77</f>
        <v>CECEP ABDULATIF</v>
      </c>
      <c r="R77" s="24"/>
      <c r="S77" s="24" t="s">
        <v>81</v>
      </c>
      <c r="T77" s="24"/>
      <c r="U77" s="24"/>
      <c r="V77" s="24"/>
      <c r="W77" s="24"/>
      <c r="X77" s="31" t="str">
        <f aca="false">B77</f>
        <v>CECEP ABDULATIF</v>
      </c>
      <c r="Y77" s="24"/>
      <c r="Z77" s="24" t="s">
        <v>79</v>
      </c>
      <c r="AA77" s="24"/>
      <c r="AB77" s="24"/>
      <c r="AC77" s="24"/>
      <c r="AD77" s="24"/>
      <c r="AE77" s="31" t="str">
        <f aca="false">B77</f>
        <v>CECEP ABDULATIF</v>
      </c>
      <c r="AF77" s="24" t="s">
        <v>144</v>
      </c>
      <c r="AG77" s="24" t="s">
        <v>78</v>
      </c>
      <c r="AH77" s="24" t="s">
        <v>76</v>
      </c>
      <c r="AI77" s="24"/>
      <c r="AJ77" s="24"/>
      <c r="AK77" s="24"/>
      <c r="AL77" s="24" t="str">
        <f aca="false">B77</f>
        <v>CECEP ABDULATIF</v>
      </c>
      <c r="AM77" s="24"/>
      <c r="AN77" s="24"/>
      <c r="AO77" s="24"/>
      <c r="AP77" s="24"/>
      <c r="AQ77" s="24"/>
      <c r="AR77" s="24"/>
      <c r="AS77" s="24" t="n">
        <f aca="false">COUNTIF(E77:AQ77,"H")</f>
        <v>1</v>
      </c>
      <c r="AT77" s="24" t="n">
        <f aca="false">COUNTIF(E77:AQ77,"I")</f>
        <v>0</v>
      </c>
      <c r="AU77" s="24" t="n">
        <f aca="false">COUNTIF(E77:AQ77,"TD")</f>
        <v>1</v>
      </c>
      <c r="AV77" s="24" t="n">
        <f aca="false">COUNTIF(E77:AQ77,"S")</f>
        <v>0</v>
      </c>
      <c r="AW77" s="24" t="n">
        <f aca="false">COUNTIF(E77:AQ77,"A")</f>
        <v>0</v>
      </c>
      <c r="AX77" s="24" t="str">
        <f aca="false">B77</f>
        <v>CECEP ABDULATIF</v>
      </c>
    </row>
    <row r="78" customFormat="false" ht="15.75" hidden="false" customHeight="false" outlineLevel="0" collapsed="false">
      <c r="A78" s="24" t="n">
        <v>4</v>
      </c>
      <c r="B78" s="31" t="str">
        <f aca="false">B10</f>
        <v>DONI SUPRIATNA</v>
      </c>
      <c r="C78" s="24" t="n">
        <f aca="false">C10</f>
        <v>30</v>
      </c>
      <c r="D78" s="24"/>
      <c r="E78" s="24" t="s">
        <v>77</v>
      </c>
      <c r="F78" s="24"/>
      <c r="G78" s="24"/>
      <c r="H78" s="24"/>
      <c r="I78" s="24"/>
      <c r="J78" s="31" t="str">
        <f aca="false">B78</f>
        <v>DONI SUPRIATNA</v>
      </c>
      <c r="K78" s="24"/>
      <c r="L78" s="24" t="s">
        <v>77</v>
      </c>
      <c r="M78" s="24"/>
      <c r="N78" s="24"/>
      <c r="O78" s="24"/>
      <c r="P78" s="24"/>
      <c r="Q78" s="31" t="str">
        <f aca="false">B78</f>
        <v>DONI SUPRIATNA</v>
      </c>
      <c r="R78" s="24"/>
      <c r="S78" s="24" t="s">
        <v>77</v>
      </c>
      <c r="T78" s="24"/>
      <c r="U78" s="24"/>
      <c r="V78" s="24" t="s">
        <v>77</v>
      </c>
      <c r="W78" s="24"/>
      <c r="X78" s="31" t="str">
        <f aca="false">B78</f>
        <v>DONI SUPRIATNA</v>
      </c>
      <c r="Y78" s="24"/>
      <c r="Z78" s="24" t="s">
        <v>77</v>
      </c>
      <c r="AA78" s="24"/>
      <c r="AB78" s="24"/>
      <c r="AC78" s="24" t="s">
        <v>77</v>
      </c>
      <c r="AD78" s="24"/>
      <c r="AE78" s="31" t="str">
        <f aca="false">B78</f>
        <v>DONI SUPRIATNA</v>
      </c>
      <c r="AF78" s="24"/>
      <c r="AG78" s="24" t="s">
        <v>77</v>
      </c>
      <c r="AH78" s="24"/>
      <c r="AI78" s="24"/>
      <c r="AJ78" s="24"/>
      <c r="AK78" s="24"/>
      <c r="AL78" s="24" t="str">
        <f aca="false">B78</f>
        <v>DONI SUPRIATNA</v>
      </c>
      <c r="AM78" s="24"/>
      <c r="AN78" s="24"/>
      <c r="AO78" s="24"/>
      <c r="AP78" s="24"/>
      <c r="AQ78" s="24"/>
      <c r="AR78" s="24"/>
      <c r="AS78" s="24" t="n">
        <f aca="false">COUNTIF(E78:AQ78,"H")</f>
        <v>0</v>
      </c>
      <c r="AT78" s="24" t="n">
        <f aca="false">COUNTIF(E78:AQ78,"I")</f>
        <v>0</v>
      </c>
      <c r="AU78" s="24" t="n">
        <f aca="false">COUNTIF(E78:AQ78,"TD")</f>
        <v>0</v>
      </c>
      <c r="AV78" s="24" t="n">
        <f aca="false">COUNTIF(E78:AQ78,"S")</f>
        <v>0</v>
      </c>
      <c r="AW78" s="24" t="n">
        <f aca="false">COUNTIF(E78:AQ78,"A")</f>
        <v>0</v>
      </c>
      <c r="AX78" s="24" t="str">
        <f aca="false">B78</f>
        <v>DONI SUPRIATNA</v>
      </c>
    </row>
    <row r="79" customFormat="false" ht="15.75" hidden="false" customHeight="false" outlineLevel="0" collapsed="false">
      <c r="A79" s="24" t="n">
        <v>5</v>
      </c>
      <c r="B79" s="31" t="e">
        <f aca="false">B11</f>
        <v>#REF!</v>
      </c>
      <c r="C79" s="24" t="e">
        <f aca="false">C11</f>
        <v>#REF!</v>
      </c>
      <c r="D79" s="24" t="s">
        <v>145</v>
      </c>
      <c r="E79" s="24" t="s">
        <v>78</v>
      </c>
      <c r="F79" s="24" t="s">
        <v>76</v>
      </c>
      <c r="G79" s="24"/>
      <c r="H79" s="24"/>
      <c r="I79" s="24"/>
      <c r="J79" s="31" t="e">
        <f aca="false">B79</f>
        <v>#REF!</v>
      </c>
      <c r="K79" s="38" t="s">
        <v>145</v>
      </c>
      <c r="L79" s="24" t="s">
        <v>78</v>
      </c>
      <c r="M79" s="24" t="s">
        <v>76</v>
      </c>
      <c r="N79" s="24"/>
      <c r="O79" s="24"/>
      <c r="P79" s="24"/>
      <c r="Q79" s="31" t="e">
        <f aca="false">B79</f>
        <v>#REF!</v>
      </c>
      <c r="R79" s="24"/>
      <c r="S79" s="24" t="s">
        <v>79</v>
      </c>
      <c r="T79" s="24"/>
      <c r="U79" s="24" t="s">
        <v>142</v>
      </c>
      <c r="V79" s="24" t="s">
        <v>78</v>
      </c>
      <c r="W79" s="24" t="s">
        <v>76</v>
      </c>
      <c r="X79" s="31" t="e">
        <f aca="false">B79</f>
        <v>#REF!</v>
      </c>
      <c r="Y79" s="24"/>
      <c r="Z79" s="24" t="s">
        <v>79</v>
      </c>
      <c r="AA79" s="24"/>
      <c r="AB79" s="24" t="s">
        <v>146</v>
      </c>
      <c r="AC79" s="24" t="s">
        <v>78</v>
      </c>
      <c r="AD79" s="24" t="s">
        <v>76</v>
      </c>
      <c r="AE79" s="31" t="e">
        <f aca="false">B79</f>
        <v>#REF!</v>
      </c>
      <c r="AF79" s="24"/>
      <c r="AG79" s="24"/>
      <c r="AH79" s="24"/>
      <c r="AI79" s="24"/>
      <c r="AJ79" s="24"/>
      <c r="AK79" s="24"/>
      <c r="AL79" s="24" t="e">
        <f aca="false">B79</f>
        <v>#REF!</v>
      </c>
      <c r="AM79" s="24"/>
      <c r="AN79" s="24"/>
      <c r="AO79" s="24"/>
      <c r="AP79" s="24"/>
      <c r="AQ79" s="24"/>
      <c r="AR79" s="24"/>
      <c r="AS79" s="24" t="n">
        <f aca="false">COUNTIF(E79:AQ79,"H")</f>
        <v>4</v>
      </c>
      <c r="AT79" s="24" t="n">
        <f aca="false">COUNTIF(E79:AQ79,"I")</f>
        <v>0</v>
      </c>
      <c r="AU79" s="24" t="n">
        <f aca="false">COUNTIF(E79:AQ79,"TD")</f>
        <v>0</v>
      </c>
      <c r="AV79" s="24" t="n">
        <f aca="false">COUNTIF(E79:AQ79,"S")</f>
        <v>0</v>
      </c>
      <c r="AW79" s="24" t="n">
        <f aca="false">COUNTIF(E79:AQ79,"A")</f>
        <v>0</v>
      </c>
      <c r="AX79" s="24" t="e">
        <f aca="false">B79</f>
        <v>#REF!</v>
      </c>
    </row>
    <row r="80" customFormat="false" ht="15.75" hidden="false" customHeight="false" outlineLevel="0" collapsed="false">
      <c r="A80" s="24" t="n">
        <v>6</v>
      </c>
      <c r="B80" s="31" t="str">
        <f aca="false">B12</f>
        <v>ZAKY AZHARI</v>
      </c>
      <c r="C80" s="24" t="n">
        <f aca="false">C12</f>
        <v>30</v>
      </c>
      <c r="D80" s="24"/>
      <c r="E80" s="24" t="s">
        <v>77</v>
      </c>
      <c r="F80" s="24"/>
      <c r="G80" s="24"/>
      <c r="H80" s="24"/>
      <c r="I80" s="24"/>
      <c r="J80" s="31" t="str">
        <f aca="false">B80</f>
        <v>ZAKY AZHARI</v>
      </c>
      <c r="K80" s="24"/>
      <c r="L80" s="24" t="s">
        <v>80</v>
      </c>
      <c r="M80" s="24"/>
      <c r="N80" s="24"/>
      <c r="O80" s="24"/>
      <c r="P80" s="24"/>
      <c r="Q80" s="31" t="str">
        <f aca="false">B80</f>
        <v>ZAKY AZHARI</v>
      </c>
      <c r="R80" s="24"/>
      <c r="S80" s="24" t="s">
        <v>80</v>
      </c>
      <c r="T80" s="24"/>
      <c r="U80" s="24"/>
      <c r="V80" s="24"/>
      <c r="W80" s="24"/>
      <c r="X80" s="31" t="str">
        <f aca="false">B80</f>
        <v>ZAKY AZHARI</v>
      </c>
      <c r="Y80" s="24"/>
      <c r="Z80" s="24" t="s">
        <v>79</v>
      </c>
      <c r="AA80" s="24"/>
      <c r="AB80" s="24"/>
      <c r="AC80" s="24"/>
      <c r="AD80" s="24"/>
      <c r="AE80" s="31" t="str">
        <f aca="false">B80</f>
        <v>ZAKY AZHARI</v>
      </c>
      <c r="AF80" s="24"/>
      <c r="AG80" s="24" t="s">
        <v>79</v>
      </c>
      <c r="AH80" s="24"/>
      <c r="AI80" s="24"/>
      <c r="AJ80" s="24"/>
      <c r="AK80" s="24"/>
      <c r="AL80" s="24" t="str">
        <f aca="false">B80</f>
        <v>ZAKY AZHARI</v>
      </c>
      <c r="AM80" s="24"/>
      <c r="AN80" s="24"/>
      <c r="AO80" s="24"/>
      <c r="AP80" s="24"/>
      <c r="AQ80" s="24"/>
      <c r="AR80" s="24"/>
      <c r="AS80" s="24" t="n">
        <f aca="false">COUNTIF(E80:AQ80,"H")</f>
        <v>0</v>
      </c>
      <c r="AT80" s="24" t="n">
        <f aca="false">COUNTIF(E80:AQ80,"I")</f>
        <v>0</v>
      </c>
      <c r="AU80" s="24" t="n">
        <f aca="false">COUNTIF(E80:AQ80,"TD")</f>
        <v>0</v>
      </c>
      <c r="AV80" s="24" t="n">
        <f aca="false">COUNTIF(E80:AQ80,"S")</f>
        <v>2</v>
      </c>
      <c r="AW80" s="24" t="n">
        <f aca="false">COUNTIF(E80:AQ80,"A")</f>
        <v>0</v>
      </c>
      <c r="AX80" s="24" t="str">
        <f aca="false">B80</f>
        <v>ZAKY AZHARI</v>
      </c>
    </row>
    <row r="81" customFormat="false" ht="15.75" hidden="false" customHeight="false" outlineLevel="0" collapsed="false">
      <c r="A81" s="24" t="n">
        <v>7</v>
      </c>
      <c r="B81" s="31" t="str">
        <f aca="false">B13</f>
        <v>MUHAMMAD FAUZIL ADZIM</v>
      </c>
      <c r="C81" s="24" t="n">
        <f aca="false">C13</f>
        <v>30</v>
      </c>
      <c r="D81" s="24" t="s">
        <v>147</v>
      </c>
      <c r="E81" s="24" t="s">
        <v>78</v>
      </c>
      <c r="F81" s="24" t="s">
        <v>76</v>
      </c>
      <c r="G81" s="24"/>
      <c r="H81" s="24"/>
      <c r="I81" s="24"/>
      <c r="J81" s="31" t="str">
        <f aca="false">B81</f>
        <v>MUHAMMAD FAUZIL ADZIM</v>
      </c>
      <c r="K81" s="24" t="s">
        <v>148</v>
      </c>
      <c r="L81" s="24" t="s">
        <v>78</v>
      </c>
      <c r="M81" s="24" t="s">
        <v>76</v>
      </c>
      <c r="N81" s="24"/>
      <c r="O81" s="24"/>
      <c r="P81" s="24"/>
      <c r="Q81" s="31" t="str">
        <f aca="false">B81</f>
        <v>MUHAMMAD FAUZIL ADZIM</v>
      </c>
      <c r="R81" s="24"/>
      <c r="S81" s="24" t="s">
        <v>79</v>
      </c>
      <c r="T81" s="24"/>
      <c r="U81" s="24" t="s">
        <v>149</v>
      </c>
      <c r="V81" s="24" t="s">
        <v>78</v>
      </c>
      <c r="W81" s="24" t="s">
        <v>76</v>
      </c>
      <c r="X81" s="31" t="str">
        <f aca="false">B81</f>
        <v>MUHAMMAD FAUZIL ADZIM</v>
      </c>
      <c r="Y81" s="24"/>
      <c r="Z81" s="24" t="s">
        <v>79</v>
      </c>
      <c r="AA81" s="24"/>
      <c r="AB81" s="24" t="s">
        <v>150</v>
      </c>
      <c r="AC81" s="24" t="s">
        <v>78</v>
      </c>
      <c r="AD81" s="24" t="s">
        <v>76</v>
      </c>
      <c r="AE81" s="31" t="str">
        <f aca="false">B81</f>
        <v>MUHAMMAD FAUZIL ADZIM</v>
      </c>
      <c r="AF81" s="24" t="s">
        <v>151</v>
      </c>
      <c r="AG81" s="24" t="s">
        <v>78</v>
      </c>
      <c r="AH81" s="24" t="s">
        <v>76</v>
      </c>
      <c r="AI81" s="24"/>
      <c r="AJ81" s="24"/>
      <c r="AK81" s="24"/>
      <c r="AL81" s="24" t="str">
        <f aca="false">B81</f>
        <v>MUHAMMAD FAUZIL ADZIM</v>
      </c>
      <c r="AM81" s="24"/>
      <c r="AN81" s="24"/>
      <c r="AO81" s="24"/>
      <c r="AP81" s="24"/>
      <c r="AQ81" s="24"/>
      <c r="AR81" s="24"/>
      <c r="AS81" s="24" t="n">
        <f aca="false">COUNTIF(E81:AQ81,"H")</f>
        <v>5</v>
      </c>
      <c r="AT81" s="24" t="n">
        <f aca="false">COUNTIF(E81:AQ81,"I")</f>
        <v>0</v>
      </c>
      <c r="AU81" s="24" t="n">
        <f aca="false">COUNTIF(E81:AQ81,"TD")</f>
        <v>0</v>
      </c>
      <c r="AV81" s="24" t="n">
        <f aca="false">COUNTIF(E81:AQ81,"S")</f>
        <v>0</v>
      </c>
      <c r="AW81" s="24" t="n">
        <f aca="false">COUNTIF(E81:AQ81,"A")</f>
        <v>0</v>
      </c>
      <c r="AX81" s="24" t="str">
        <f aca="false">B81</f>
        <v>MUHAMMAD FAUZIL ADZIM</v>
      </c>
    </row>
    <row r="82" customFormat="false" ht="15.75" hidden="false" customHeight="false" outlineLevel="0" collapsed="false">
      <c r="A82" s="24" t="n">
        <v>8</v>
      </c>
      <c r="B82" s="31" t="str">
        <f aca="false">B14</f>
        <v>MUHAMMAD DZIKRI HUSAENI</v>
      </c>
      <c r="C82" s="24" t="n">
        <f aca="false">C14</f>
        <v>18</v>
      </c>
      <c r="D82" s="24" t="s">
        <v>152</v>
      </c>
      <c r="E82" s="24" t="s">
        <v>78</v>
      </c>
      <c r="F82" s="24" t="s">
        <v>76</v>
      </c>
      <c r="G82" s="24"/>
      <c r="H82" s="24"/>
      <c r="I82" s="24"/>
      <c r="J82" s="31" t="str">
        <f aca="false">B82</f>
        <v>MUHAMMAD DZIKRI HUSAENI</v>
      </c>
      <c r="K82" s="24"/>
      <c r="L82" s="24" t="s">
        <v>75</v>
      </c>
      <c r="M82" s="24"/>
      <c r="N82" s="24"/>
      <c r="O82" s="24"/>
      <c r="P82" s="24"/>
      <c r="Q82" s="31" t="str">
        <f aca="false">B82</f>
        <v>MUHAMMAD DZIKRI HUSAENI</v>
      </c>
      <c r="R82" s="24"/>
      <c r="S82" s="24" t="s">
        <v>81</v>
      </c>
      <c r="T82" s="24"/>
      <c r="U82" s="24"/>
      <c r="V82" s="24" t="s">
        <v>80</v>
      </c>
      <c r="W82" s="24"/>
      <c r="X82" s="31" t="str">
        <f aca="false">B82</f>
        <v>MUHAMMAD DZIKRI HUSAENI</v>
      </c>
      <c r="Y82" s="24" t="s">
        <v>153</v>
      </c>
      <c r="Z82" s="24" t="s">
        <v>78</v>
      </c>
      <c r="AA82" s="24" t="s">
        <v>76</v>
      </c>
      <c r="AB82" s="24" t="s">
        <v>154</v>
      </c>
      <c r="AC82" s="24" t="s">
        <v>78</v>
      </c>
      <c r="AD82" s="24" t="s">
        <v>76</v>
      </c>
      <c r="AE82" s="31" t="str">
        <f aca="false">B82</f>
        <v>MUHAMMAD DZIKRI HUSAENI</v>
      </c>
      <c r="AF82" s="24" t="s">
        <v>155</v>
      </c>
      <c r="AG82" s="24" t="s">
        <v>78</v>
      </c>
      <c r="AH82" s="24" t="s">
        <v>76</v>
      </c>
      <c r="AI82" s="24"/>
      <c r="AJ82" s="24"/>
      <c r="AK82" s="24"/>
      <c r="AL82" s="24" t="str">
        <f aca="false">B82</f>
        <v>MUHAMMAD DZIKRI HUSAENI</v>
      </c>
      <c r="AM82" s="24"/>
      <c r="AN82" s="24"/>
      <c r="AO82" s="24"/>
      <c r="AP82" s="24"/>
      <c r="AQ82" s="24"/>
      <c r="AR82" s="24"/>
      <c r="AS82" s="24" t="n">
        <f aca="false">COUNTIF(E82:AQ82,"H")</f>
        <v>4</v>
      </c>
      <c r="AT82" s="24" t="n">
        <f aca="false">COUNTIF(E82:AQ82,"I")</f>
        <v>0</v>
      </c>
      <c r="AU82" s="24" t="n">
        <f aca="false">COUNTIF(E82:AQ82,"TD")</f>
        <v>1</v>
      </c>
      <c r="AV82" s="24" t="n">
        <f aca="false">COUNTIF(E82:AQ82,"S")</f>
        <v>1</v>
      </c>
      <c r="AW82" s="24" t="n">
        <f aca="false">COUNTIF(E82:AQ82,"A")</f>
        <v>1</v>
      </c>
      <c r="AX82" s="24" t="str">
        <f aca="false">B82</f>
        <v>MUHAMMAD DZIKRI HUSAENI</v>
      </c>
    </row>
    <row r="83" customFormat="false" ht="15.75" hidden="false" customHeight="false" outlineLevel="0" collapsed="false">
      <c r="A83" s="24" t="n">
        <v>9</v>
      </c>
      <c r="B83" s="31" t="e">
        <f aca="false">B15</f>
        <v>#REF!</v>
      </c>
      <c r="C83" s="24" t="e">
        <f aca="false">C15</f>
        <v>#REF!</v>
      </c>
      <c r="D83" s="24" t="s">
        <v>156</v>
      </c>
      <c r="E83" s="24" t="s">
        <v>78</v>
      </c>
      <c r="F83" s="24" t="s">
        <v>76</v>
      </c>
      <c r="G83" s="24"/>
      <c r="H83" s="24"/>
      <c r="I83" s="24"/>
      <c r="J83" s="31" t="e">
        <f aca="false">B83</f>
        <v>#REF!</v>
      </c>
      <c r="K83" s="24" t="s">
        <v>157</v>
      </c>
      <c r="L83" s="24" t="s">
        <v>78</v>
      </c>
      <c r="M83" s="24" t="s">
        <v>76</v>
      </c>
      <c r="N83" s="24"/>
      <c r="O83" s="24"/>
      <c r="P83" s="24"/>
      <c r="Q83" s="31" t="e">
        <f aca="false">B83</f>
        <v>#REF!</v>
      </c>
      <c r="R83" s="24"/>
      <c r="S83" s="24" t="s">
        <v>81</v>
      </c>
      <c r="T83" s="24"/>
      <c r="U83" s="24" t="s">
        <v>158</v>
      </c>
      <c r="V83" s="24" t="s">
        <v>78</v>
      </c>
      <c r="W83" s="24" t="s">
        <v>76</v>
      </c>
      <c r="X83" s="31" t="e">
        <f aca="false">B83</f>
        <v>#REF!</v>
      </c>
      <c r="Y83" s="24" t="s">
        <v>159</v>
      </c>
      <c r="Z83" s="24" t="s">
        <v>78</v>
      </c>
      <c r="AA83" s="24" t="s">
        <v>76</v>
      </c>
      <c r="AB83" s="24"/>
      <c r="AC83" s="24" t="s">
        <v>78</v>
      </c>
      <c r="AD83" s="24"/>
      <c r="AE83" s="31" t="e">
        <f aca="false">B83</f>
        <v>#REF!</v>
      </c>
      <c r="AF83" s="24"/>
      <c r="AG83" s="24" t="s">
        <v>81</v>
      </c>
      <c r="AH83" s="24"/>
      <c r="AI83" s="24"/>
      <c r="AJ83" s="24" t="s">
        <v>78</v>
      </c>
      <c r="AK83" s="24" t="s">
        <v>76</v>
      </c>
      <c r="AL83" s="24" t="e">
        <f aca="false">B83</f>
        <v>#REF!</v>
      </c>
      <c r="AM83" s="24"/>
      <c r="AN83" s="24"/>
      <c r="AO83" s="24"/>
      <c r="AP83" s="24"/>
      <c r="AQ83" s="24"/>
      <c r="AR83" s="24"/>
      <c r="AS83" s="24" t="n">
        <f aca="false">COUNTIF(E83:AQ83,"H")</f>
        <v>6</v>
      </c>
      <c r="AT83" s="24" t="n">
        <f aca="false">COUNTIF(E83:AQ83,"I")</f>
        <v>0</v>
      </c>
      <c r="AU83" s="24" t="n">
        <f aca="false">COUNTIF(E83:AQ83,"TD")</f>
        <v>2</v>
      </c>
      <c r="AV83" s="24" t="n">
        <f aca="false">COUNTIF(E83:AQ83,"S")</f>
        <v>0</v>
      </c>
      <c r="AW83" s="24" t="n">
        <f aca="false">COUNTIF(E83:AQ83,"A")</f>
        <v>0</v>
      </c>
      <c r="AX83" s="24" t="e">
        <f aca="false">B83</f>
        <v>#REF!</v>
      </c>
    </row>
    <row r="84" customFormat="false" ht="15.75" hidden="false" customHeight="false" outlineLevel="0" collapsed="false">
      <c r="A84" s="24" t="n">
        <v>10</v>
      </c>
      <c r="B84" s="31" t="str">
        <f aca="false">B16</f>
        <v>ABDUL KHOLIQ</v>
      </c>
      <c r="C84" s="24" t="n">
        <f aca="false">C16</f>
        <v>14</v>
      </c>
      <c r="D84" s="24"/>
      <c r="E84" s="24" t="s">
        <v>79</v>
      </c>
      <c r="F84" s="24"/>
      <c r="G84" s="24"/>
      <c r="H84" s="24"/>
      <c r="I84" s="24"/>
      <c r="J84" s="31" t="str">
        <f aca="false">B84</f>
        <v>ABDUL KHOLIQ</v>
      </c>
      <c r="K84" s="24"/>
      <c r="L84" s="24" t="s">
        <v>75</v>
      </c>
      <c r="M84" s="24"/>
      <c r="N84" s="24"/>
      <c r="O84" s="24"/>
      <c r="P84" s="24"/>
      <c r="Q84" s="31" t="str">
        <f aca="false">B84</f>
        <v>ABDUL KHOLIQ</v>
      </c>
      <c r="R84" s="24"/>
      <c r="S84" s="24" t="s">
        <v>80</v>
      </c>
      <c r="T84" s="24"/>
      <c r="U84" s="24"/>
      <c r="V84" s="24"/>
      <c r="W84" s="24"/>
      <c r="X84" s="31" t="str">
        <f aca="false">B84</f>
        <v>ABDUL KHOLIQ</v>
      </c>
      <c r="Y84" s="24"/>
      <c r="Z84" s="24" t="s">
        <v>79</v>
      </c>
      <c r="AA84" s="24"/>
      <c r="AB84" s="24"/>
      <c r="AC84" s="24"/>
      <c r="AD84" s="24"/>
      <c r="AE84" s="31" t="str">
        <f aca="false">B84</f>
        <v>ABDUL KHOLIQ</v>
      </c>
      <c r="AF84" s="24"/>
      <c r="AG84" s="24"/>
      <c r="AH84" s="24"/>
      <c r="AI84" s="24"/>
      <c r="AJ84" s="24"/>
      <c r="AK84" s="24"/>
      <c r="AL84" s="24" t="str">
        <f aca="false">B84</f>
        <v>ABDUL KHOLIQ</v>
      </c>
      <c r="AM84" s="24"/>
      <c r="AN84" s="24"/>
      <c r="AO84" s="24"/>
      <c r="AP84" s="24"/>
      <c r="AQ84" s="24"/>
      <c r="AR84" s="24"/>
      <c r="AS84" s="24" t="n">
        <f aca="false">COUNTIF(E84:AQ84,"H")</f>
        <v>0</v>
      </c>
      <c r="AT84" s="24" t="n">
        <f aca="false">COUNTIF(E84:AQ84,"I")</f>
        <v>0</v>
      </c>
      <c r="AU84" s="24" t="n">
        <f aca="false">COUNTIF(E84:AQ84,"TD")</f>
        <v>0</v>
      </c>
      <c r="AV84" s="24" t="n">
        <f aca="false">COUNTIF(E84:AQ84,"S")</f>
        <v>1</v>
      </c>
      <c r="AW84" s="24" t="n">
        <f aca="false">COUNTIF(E84:AQ84,"A")</f>
        <v>1</v>
      </c>
      <c r="AX84" s="24" t="str">
        <f aca="false">B84</f>
        <v>ABDUL KHOLIQ</v>
      </c>
    </row>
    <row r="85" customFormat="false" ht="15.75" hidden="false" customHeight="false" outlineLevel="0" collapsed="false">
      <c r="A85" s="24" t="n">
        <v>11</v>
      </c>
      <c r="B85" s="31" t="str">
        <f aca="false">B17</f>
        <v>IYAN FARID</v>
      </c>
      <c r="C85" s="24" t="n">
        <f aca="false">C17</f>
        <v>13</v>
      </c>
      <c r="D85" s="24"/>
      <c r="E85" s="24" t="s">
        <v>77</v>
      </c>
      <c r="F85" s="24"/>
      <c r="G85" s="24"/>
      <c r="H85" s="24"/>
      <c r="I85" s="24"/>
      <c r="J85" s="31" t="str">
        <f aca="false">B85</f>
        <v>IYAN FARID</v>
      </c>
      <c r="K85" s="24"/>
      <c r="L85" s="24" t="s">
        <v>77</v>
      </c>
      <c r="M85" s="24"/>
      <c r="N85" s="24"/>
      <c r="O85" s="24"/>
      <c r="P85" s="24"/>
      <c r="Q85" s="31" t="str">
        <f aca="false">B85</f>
        <v>IYAN FARID</v>
      </c>
      <c r="R85" s="24"/>
      <c r="S85" s="24" t="s">
        <v>80</v>
      </c>
      <c r="T85" s="24"/>
      <c r="U85" s="24"/>
      <c r="V85" s="24"/>
      <c r="W85" s="24"/>
      <c r="X85" s="31" t="str">
        <f aca="false">B85</f>
        <v>IYAN FARID</v>
      </c>
      <c r="Y85" s="24"/>
      <c r="Z85" s="24" t="s">
        <v>79</v>
      </c>
      <c r="AA85" s="24"/>
      <c r="AB85" s="24"/>
      <c r="AC85" s="24"/>
      <c r="AD85" s="24"/>
      <c r="AE85" s="31" t="str">
        <f aca="false">B85</f>
        <v>IYAN FARID</v>
      </c>
      <c r="AF85" s="24"/>
      <c r="AG85" s="24"/>
      <c r="AH85" s="24"/>
      <c r="AI85" s="24"/>
      <c r="AJ85" s="24"/>
      <c r="AK85" s="24"/>
      <c r="AL85" s="24" t="str">
        <f aca="false">B85</f>
        <v>IYAN FARID</v>
      </c>
      <c r="AM85" s="24"/>
      <c r="AN85" s="24"/>
      <c r="AO85" s="24"/>
      <c r="AP85" s="24"/>
      <c r="AQ85" s="24"/>
      <c r="AR85" s="24"/>
      <c r="AS85" s="24" t="n">
        <f aca="false">COUNTIF(E85:AQ85,"H")</f>
        <v>0</v>
      </c>
      <c r="AT85" s="24" t="n">
        <f aca="false">COUNTIF(E85:AQ85,"I")</f>
        <v>0</v>
      </c>
      <c r="AU85" s="24" t="n">
        <f aca="false">COUNTIF(E85:AQ85,"TD")</f>
        <v>0</v>
      </c>
      <c r="AV85" s="24" t="n">
        <f aca="false">COUNTIF(E85:AQ85,"S")</f>
        <v>1</v>
      </c>
      <c r="AW85" s="24" t="n">
        <f aca="false">COUNTIF(E85:AQ85,"A")</f>
        <v>0</v>
      </c>
      <c r="AX85" s="24" t="str">
        <f aca="false">B85</f>
        <v>IYAN FARID</v>
      </c>
    </row>
    <row r="86" customFormat="false" ht="15.75" hidden="false" customHeight="false" outlineLevel="0" collapsed="false">
      <c r="A86" s="24" t="n">
        <v>12</v>
      </c>
      <c r="B86" s="31" t="str">
        <f aca="false">B18</f>
        <v>ZAENI NURIL HIKAM</v>
      </c>
      <c r="C86" s="24" t="n">
        <f aca="false">C18</f>
        <v>12</v>
      </c>
      <c r="D86" s="24"/>
      <c r="E86" s="24"/>
      <c r="F86" s="24"/>
      <c r="G86" s="24"/>
      <c r="H86" s="24"/>
      <c r="I86" s="24"/>
      <c r="J86" s="31" t="str">
        <f aca="false">B86</f>
        <v>ZAENI NURIL HIKAM</v>
      </c>
      <c r="K86" s="24"/>
      <c r="L86" s="24" t="s">
        <v>75</v>
      </c>
      <c r="M86" s="24"/>
      <c r="N86" s="24"/>
      <c r="O86" s="24"/>
      <c r="P86" s="24"/>
      <c r="Q86" s="31" t="str">
        <f aca="false">B86</f>
        <v>ZAENI NURIL HIKAM</v>
      </c>
      <c r="R86" s="24"/>
      <c r="S86" s="24" t="s">
        <v>79</v>
      </c>
      <c r="T86" s="24"/>
      <c r="U86" s="24"/>
      <c r="V86" s="24"/>
      <c r="W86" s="24"/>
      <c r="X86" s="31" t="str">
        <f aca="false">B86</f>
        <v>ZAENI NURIL HIKAM</v>
      </c>
      <c r="Y86" s="24" t="s">
        <v>160</v>
      </c>
      <c r="Z86" s="24" t="s">
        <v>78</v>
      </c>
      <c r="AA86" s="24" t="s">
        <v>76</v>
      </c>
      <c r="AB86" s="24"/>
      <c r="AC86" s="24" t="s">
        <v>78</v>
      </c>
      <c r="AD86" s="24"/>
      <c r="AE86" s="31" t="str">
        <f aca="false">B86</f>
        <v>ZAENI NURIL HIKAM</v>
      </c>
      <c r="AF86" s="24"/>
      <c r="AG86" s="24" t="s">
        <v>79</v>
      </c>
      <c r="AH86" s="24"/>
      <c r="AI86" s="24"/>
      <c r="AJ86" s="24"/>
      <c r="AK86" s="24"/>
      <c r="AL86" s="24" t="str">
        <f aca="false">B86</f>
        <v>ZAENI NURIL HIKAM</v>
      </c>
      <c r="AM86" s="24"/>
      <c r="AN86" s="24"/>
      <c r="AO86" s="24"/>
      <c r="AP86" s="24"/>
      <c r="AQ86" s="24"/>
      <c r="AR86" s="24"/>
      <c r="AS86" s="24" t="n">
        <f aca="false">COUNTIF(E86:AQ86,"H")</f>
        <v>2</v>
      </c>
      <c r="AT86" s="24" t="n">
        <f aca="false">COUNTIF(E86:AQ86,"I")</f>
        <v>0</v>
      </c>
      <c r="AU86" s="24" t="n">
        <f aca="false">COUNTIF(E86:AQ86,"TD")</f>
        <v>0</v>
      </c>
      <c r="AV86" s="24" t="n">
        <f aca="false">COUNTIF(E86:AQ86,"S")</f>
        <v>0</v>
      </c>
      <c r="AW86" s="24" t="n">
        <f aca="false">COUNTIF(E86:AQ86,"A")</f>
        <v>1</v>
      </c>
      <c r="AX86" s="24" t="str">
        <f aca="false">B86</f>
        <v>ZAENI NURIL HIKAM</v>
      </c>
    </row>
    <row r="87" customFormat="false" ht="15.75" hidden="false" customHeight="false" outlineLevel="0" collapsed="false">
      <c r="A87" s="24" t="n">
        <v>13</v>
      </c>
      <c r="B87" s="31" t="str">
        <f aca="false">B19</f>
        <v>LUCKY KURNIAWAN</v>
      </c>
      <c r="C87" s="24" t="n">
        <f aca="false">C19</f>
        <v>12</v>
      </c>
      <c r="D87" s="24"/>
      <c r="E87" s="24" t="s">
        <v>75</v>
      </c>
      <c r="F87" s="24"/>
      <c r="G87" s="24"/>
      <c r="H87" s="24"/>
      <c r="I87" s="24"/>
      <c r="J87" s="31" t="str">
        <f aca="false">B87</f>
        <v>LUCKY KURNIAWAN</v>
      </c>
      <c r="K87" s="24" t="s">
        <v>160</v>
      </c>
      <c r="L87" s="24" t="s">
        <v>78</v>
      </c>
      <c r="M87" s="24" t="s">
        <v>76</v>
      </c>
      <c r="N87" s="24"/>
      <c r="O87" s="24"/>
      <c r="P87" s="24"/>
      <c r="Q87" s="31" t="str">
        <f aca="false">B87</f>
        <v>LUCKY KURNIAWAN</v>
      </c>
      <c r="R87" s="24"/>
      <c r="S87" s="24" t="s">
        <v>81</v>
      </c>
      <c r="T87" s="24"/>
      <c r="U87" s="24"/>
      <c r="V87" s="24" t="s">
        <v>78</v>
      </c>
      <c r="W87" s="24"/>
      <c r="X87" s="31" t="str">
        <f aca="false">B87</f>
        <v>LUCKY KURNIAWAN</v>
      </c>
      <c r="Y87" s="24" t="s">
        <v>161</v>
      </c>
      <c r="Z87" s="24" t="s">
        <v>78</v>
      </c>
      <c r="AA87" s="24" t="s">
        <v>76</v>
      </c>
      <c r="AB87" s="24"/>
      <c r="AC87" s="24" t="s">
        <v>75</v>
      </c>
      <c r="AD87" s="24"/>
      <c r="AE87" s="31" t="str">
        <f aca="false">B87</f>
        <v>LUCKY KURNIAWAN</v>
      </c>
      <c r="AF87" s="24"/>
      <c r="AG87" s="24" t="s">
        <v>81</v>
      </c>
      <c r="AH87" s="24"/>
      <c r="AI87" s="24"/>
      <c r="AJ87" s="24" t="s">
        <v>78</v>
      </c>
      <c r="AK87" s="24" t="s">
        <v>76</v>
      </c>
      <c r="AL87" s="24" t="str">
        <f aca="false">B87</f>
        <v>LUCKY KURNIAWAN</v>
      </c>
      <c r="AM87" s="24"/>
      <c r="AN87" s="24"/>
      <c r="AO87" s="24"/>
      <c r="AP87" s="24"/>
      <c r="AQ87" s="24"/>
      <c r="AR87" s="24"/>
      <c r="AS87" s="24" t="n">
        <f aca="false">COUNTIF(E87:AQ87,"H")</f>
        <v>4</v>
      </c>
      <c r="AT87" s="24" t="n">
        <f aca="false">COUNTIF(E87:AQ87,"I")</f>
        <v>0</v>
      </c>
      <c r="AU87" s="24" t="n">
        <f aca="false">COUNTIF(E87:AQ87,"TD")</f>
        <v>2</v>
      </c>
      <c r="AV87" s="24" t="n">
        <f aca="false">COUNTIF(E87:AQ87,"S")</f>
        <v>0</v>
      </c>
      <c r="AW87" s="24" t="n">
        <f aca="false">COUNTIF(E87:AQ87,"A")</f>
        <v>2</v>
      </c>
      <c r="AX87" s="24" t="str">
        <f aca="false">B87</f>
        <v>LUCKY KURNIAWAN</v>
      </c>
    </row>
    <row r="88" customFormat="false" ht="15.75" hidden="false" customHeight="false" outlineLevel="0" collapsed="false">
      <c r="A88" s="24" t="n">
        <v>14</v>
      </c>
      <c r="B88" s="31" t="str">
        <f aca="false">B20</f>
        <v>MUHAMMAD RAFIK MUHARAM</v>
      </c>
      <c r="C88" s="24" t="n">
        <f aca="false">C20</f>
        <v>12</v>
      </c>
      <c r="D88" s="24" t="s">
        <v>162</v>
      </c>
      <c r="E88" s="24" t="s">
        <v>78</v>
      </c>
      <c r="F88" s="24" t="s">
        <v>76</v>
      </c>
      <c r="G88" s="24"/>
      <c r="H88" s="24"/>
      <c r="I88" s="24"/>
      <c r="J88" s="31" t="str">
        <f aca="false">B88</f>
        <v>MUHAMMAD RAFIK MUHARAM</v>
      </c>
      <c r="K88" s="24"/>
      <c r="L88" s="24" t="s">
        <v>81</v>
      </c>
      <c r="M88" s="24"/>
      <c r="N88" s="24"/>
      <c r="O88" s="24"/>
      <c r="P88" s="24"/>
      <c r="Q88" s="31" t="str">
        <f aca="false">B88</f>
        <v>MUHAMMAD RAFIK MUHARAM</v>
      </c>
      <c r="R88" s="24"/>
      <c r="S88" s="24" t="s">
        <v>81</v>
      </c>
      <c r="T88" s="24"/>
      <c r="U88" s="24"/>
      <c r="V88" s="24"/>
      <c r="W88" s="24"/>
      <c r="X88" s="31" t="str">
        <f aca="false">B88</f>
        <v>MUHAMMAD RAFIK MUHARAM</v>
      </c>
      <c r="Y88" s="24" t="s">
        <v>163</v>
      </c>
      <c r="Z88" s="24" t="s">
        <v>78</v>
      </c>
      <c r="AA88" s="24" t="s">
        <v>76</v>
      </c>
      <c r="AB88" s="24"/>
      <c r="AC88" s="24" t="s">
        <v>81</v>
      </c>
      <c r="AD88" s="24"/>
      <c r="AE88" s="31" t="str">
        <f aca="false">B88</f>
        <v>MUHAMMAD RAFIK MUHARAM</v>
      </c>
      <c r="AF88" s="24"/>
      <c r="AG88" s="24" t="s">
        <v>81</v>
      </c>
      <c r="AH88" s="24"/>
      <c r="AI88" s="24"/>
      <c r="AJ88" s="24"/>
      <c r="AK88" s="24"/>
      <c r="AL88" s="24" t="str">
        <f aca="false">B88</f>
        <v>MUHAMMAD RAFIK MUHARAM</v>
      </c>
      <c r="AM88" s="24"/>
      <c r="AN88" s="24"/>
      <c r="AO88" s="24"/>
      <c r="AP88" s="24"/>
      <c r="AQ88" s="24"/>
      <c r="AR88" s="24"/>
      <c r="AS88" s="24" t="n">
        <f aca="false">COUNTIF(E88:AQ88,"H")</f>
        <v>2</v>
      </c>
      <c r="AT88" s="24" t="n">
        <f aca="false">COUNTIF(E88:AQ88,"I")</f>
        <v>0</v>
      </c>
      <c r="AU88" s="24" t="n">
        <f aca="false">COUNTIF(E88:AQ88,"TD")</f>
        <v>4</v>
      </c>
      <c r="AV88" s="24" t="n">
        <f aca="false">COUNTIF(E88:AQ88,"S")</f>
        <v>0</v>
      </c>
      <c r="AW88" s="24" t="n">
        <f aca="false">COUNTIF(E88:AQ88,"A")</f>
        <v>0</v>
      </c>
      <c r="AX88" s="24" t="str">
        <f aca="false">B88</f>
        <v>MUHAMMAD RAFIK MUHARAM</v>
      </c>
    </row>
    <row r="89" customFormat="false" ht="15.75" hidden="false" customHeight="false" outlineLevel="0" collapsed="false">
      <c r="A89" s="24" t="n">
        <v>15</v>
      </c>
      <c r="B89" s="31" t="str">
        <f aca="false">B21</f>
        <v>UMAR ABDUL MALIK</v>
      </c>
      <c r="C89" s="24" t="n">
        <f aca="false">C21</f>
        <v>11</v>
      </c>
      <c r="D89" s="24" t="s">
        <v>164</v>
      </c>
      <c r="E89" s="24" t="s">
        <v>78</v>
      </c>
      <c r="F89" s="24" t="s">
        <v>76</v>
      </c>
      <c r="G89" s="24"/>
      <c r="H89" s="24"/>
      <c r="I89" s="24"/>
      <c r="J89" s="31" t="str">
        <f aca="false">B89</f>
        <v>UMAR ABDUL MALIK</v>
      </c>
      <c r="K89" s="24"/>
      <c r="L89" s="24" t="s">
        <v>75</v>
      </c>
      <c r="M89" s="24"/>
      <c r="N89" s="24"/>
      <c r="O89" s="24"/>
      <c r="P89" s="24"/>
      <c r="Q89" s="31" t="str">
        <f aca="false">B89</f>
        <v>UMAR ABDUL MALIK</v>
      </c>
      <c r="R89" s="24" t="s">
        <v>165</v>
      </c>
      <c r="S89" s="24" t="s">
        <v>78</v>
      </c>
      <c r="T89" s="24" t="s">
        <v>76</v>
      </c>
      <c r="U89" s="24"/>
      <c r="V89" s="24" t="s">
        <v>78</v>
      </c>
      <c r="W89" s="24"/>
      <c r="X89" s="31" t="str">
        <f aca="false">B89</f>
        <v>UMAR ABDUL MALIK</v>
      </c>
      <c r="Y89" s="24"/>
      <c r="Z89" s="24" t="s">
        <v>81</v>
      </c>
      <c r="AA89" s="24"/>
      <c r="AB89" s="24"/>
      <c r="AC89" s="24" t="s">
        <v>75</v>
      </c>
      <c r="AD89" s="24"/>
      <c r="AE89" s="31" t="str">
        <f aca="false">B89</f>
        <v>UMAR ABDUL MALIK</v>
      </c>
      <c r="AF89" s="24"/>
      <c r="AG89" s="24" t="s">
        <v>81</v>
      </c>
      <c r="AH89" s="24"/>
      <c r="AI89" s="24"/>
      <c r="AJ89" s="24"/>
      <c r="AK89" s="24"/>
      <c r="AL89" s="24" t="str">
        <f aca="false">B89</f>
        <v>UMAR ABDUL MALIK</v>
      </c>
      <c r="AM89" s="24"/>
      <c r="AN89" s="24"/>
      <c r="AO89" s="24"/>
      <c r="AP89" s="24"/>
      <c r="AQ89" s="24"/>
      <c r="AR89" s="24"/>
      <c r="AS89" s="24" t="n">
        <f aca="false">COUNTIF(E89:AQ89,"H")</f>
        <v>3</v>
      </c>
      <c r="AT89" s="24" t="n">
        <f aca="false">COUNTIF(E89:AQ89,"I")</f>
        <v>0</v>
      </c>
      <c r="AU89" s="24" t="n">
        <f aca="false">COUNTIF(E89:AQ89,"TD")</f>
        <v>2</v>
      </c>
      <c r="AV89" s="24" t="n">
        <f aca="false">COUNTIF(E89:AQ89,"S")</f>
        <v>0</v>
      </c>
      <c r="AW89" s="24" t="n">
        <f aca="false">COUNTIF(E89:AQ89,"A")</f>
        <v>2</v>
      </c>
      <c r="AX89" s="24" t="str">
        <f aca="false">B89</f>
        <v>UMAR ABDUL MALIK</v>
      </c>
    </row>
    <row r="90" customFormat="false" ht="15.75" hidden="false" customHeight="false" outlineLevel="0" collapsed="false">
      <c r="A90" s="24" t="n">
        <v>16</v>
      </c>
      <c r="B90" s="31" t="str">
        <f aca="false">B22</f>
        <v>AHMAD HAFIDZ ALHAWARI</v>
      </c>
      <c r="C90" s="24" t="n">
        <f aca="false">C22</f>
        <v>10</v>
      </c>
      <c r="D90" s="24" t="s">
        <v>166</v>
      </c>
      <c r="E90" s="24" t="s">
        <v>78</v>
      </c>
      <c r="F90" s="24" t="s">
        <v>76</v>
      </c>
      <c r="G90" s="24"/>
      <c r="H90" s="24"/>
      <c r="I90" s="24"/>
      <c r="J90" s="31" t="str">
        <f aca="false">B90</f>
        <v>AHMAD HAFIDZ ALHAWARI</v>
      </c>
      <c r="K90" s="24" t="s">
        <v>167</v>
      </c>
      <c r="L90" s="24" t="s">
        <v>78</v>
      </c>
      <c r="M90" s="24" t="s">
        <v>76</v>
      </c>
      <c r="N90" s="24"/>
      <c r="O90" s="24"/>
      <c r="P90" s="24"/>
      <c r="Q90" s="31" t="str">
        <f aca="false">B90</f>
        <v>AHMAD HAFIDZ ALHAWARI</v>
      </c>
      <c r="R90" s="24" t="s">
        <v>168</v>
      </c>
      <c r="S90" s="24" t="s">
        <v>78</v>
      </c>
      <c r="T90" s="24" t="s">
        <v>76</v>
      </c>
      <c r="U90" s="24"/>
      <c r="V90" s="24" t="s">
        <v>78</v>
      </c>
      <c r="W90" s="24"/>
      <c r="X90" s="31" t="str">
        <f aca="false">B90</f>
        <v>AHMAD HAFIDZ ALHAWARI</v>
      </c>
      <c r="Y90" s="24" t="s">
        <v>169</v>
      </c>
      <c r="Z90" s="24" t="s">
        <v>78</v>
      </c>
      <c r="AA90" s="24"/>
      <c r="AB90" s="24"/>
      <c r="AC90" s="24" t="s">
        <v>78</v>
      </c>
      <c r="AD90" s="24"/>
      <c r="AE90" s="31" t="str">
        <f aca="false">B90</f>
        <v>AHMAD HAFIDZ ALHAWARI</v>
      </c>
      <c r="AF90" s="24"/>
      <c r="AG90" s="24" t="s">
        <v>79</v>
      </c>
      <c r="AH90" s="24"/>
      <c r="AI90" s="24"/>
      <c r="AJ90" s="24"/>
      <c r="AK90" s="24"/>
      <c r="AL90" s="24" t="str">
        <f aca="false">B90</f>
        <v>AHMAD HAFIDZ ALHAWARI</v>
      </c>
      <c r="AM90" s="24"/>
      <c r="AN90" s="24"/>
      <c r="AO90" s="24"/>
      <c r="AP90" s="24"/>
      <c r="AQ90" s="24"/>
      <c r="AR90" s="24"/>
      <c r="AS90" s="24" t="n">
        <f aca="false">COUNTIF(E90:AQ90,"H")</f>
        <v>6</v>
      </c>
      <c r="AT90" s="24" t="n">
        <f aca="false">COUNTIF(E90:AQ90,"I")</f>
        <v>0</v>
      </c>
      <c r="AU90" s="24" t="n">
        <f aca="false">COUNTIF(E90:AQ90,"TD")</f>
        <v>0</v>
      </c>
      <c r="AV90" s="24" t="n">
        <f aca="false">COUNTIF(E90:AQ90,"S")</f>
        <v>0</v>
      </c>
      <c r="AW90" s="24" t="n">
        <f aca="false">COUNTIF(E90:AQ90,"A")</f>
        <v>0</v>
      </c>
      <c r="AX90" s="24" t="str">
        <f aca="false">B90</f>
        <v>AHMAD HAFIDZ ALHAWARI</v>
      </c>
    </row>
    <row r="91" customFormat="false" ht="15.75" hidden="false" customHeight="false" outlineLevel="0" collapsed="false">
      <c r="A91" s="24" t="n">
        <v>17</v>
      </c>
      <c r="B91" s="31" t="str">
        <f aca="false">B23</f>
        <v>MUHAMMAD FAUZAN</v>
      </c>
      <c r="C91" s="24" t="n">
        <f aca="false">C23</f>
        <v>10</v>
      </c>
      <c r="D91" s="24" t="s">
        <v>170</v>
      </c>
      <c r="E91" s="24" t="s">
        <v>78</v>
      </c>
      <c r="F91" s="24" t="s">
        <v>76</v>
      </c>
      <c r="G91" s="24"/>
      <c r="H91" s="24"/>
      <c r="I91" s="24"/>
      <c r="J91" s="31" t="str">
        <f aca="false">B91</f>
        <v>MUHAMMAD FAUZAN</v>
      </c>
      <c r="K91" s="24" t="s">
        <v>171</v>
      </c>
      <c r="L91" s="24" t="s">
        <v>78</v>
      </c>
      <c r="M91" s="24" t="s">
        <v>76</v>
      </c>
      <c r="N91" s="24"/>
      <c r="O91" s="24"/>
      <c r="P91" s="24"/>
      <c r="Q91" s="31" t="str">
        <f aca="false">B91</f>
        <v>MUHAMMAD FAUZAN</v>
      </c>
      <c r="R91" s="24"/>
      <c r="S91" s="24" t="s">
        <v>79</v>
      </c>
      <c r="T91" s="24"/>
      <c r="U91" s="24"/>
      <c r="V91" s="24" t="s">
        <v>78</v>
      </c>
      <c r="W91" s="24"/>
      <c r="X91" s="31" t="str">
        <f aca="false">B91</f>
        <v>MUHAMMAD FAUZAN</v>
      </c>
      <c r="Y91" s="24" t="s">
        <v>172</v>
      </c>
      <c r="Z91" s="24" t="s">
        <v>78</v>
      </c>
      <c r="AA91" s="24" t="s">
        <v>76</v>
      </c>
      <c r="AB91" s="24"/>
      <c r="AC91" s="24"/>
      <c r="AD91" s="24"/>
      <c r="AE91" s="31" t="str">
        <f aca="false">B91</f>
        <v>MUHAMMAD FAUZAN</v>
      </c>
      <c r="AF91" s="24"/>
      <c r="AG91" s="24" t="s">
        <v>78</v>
      </c>
      <c r="AH91" s="24"/>
      <c r="AI91" s="24"/>
      <c r="AJ91" s="24"/>
      <c r="AK91" s="24"/>
      <c r="AL91" s="24" t="str">
        <f aca="false">B91</f>
        <v>MUHAMMAD FAUZAN</v>
      </c>
      <c r="AM91" s="24"/>
      <c r="AN91" s="24"/>
      <c r="AO91" s="24"/>
      <c r="AP91" s="24"/>
      <c r="AQ91" s="24"/>
      <c r="AR91" s="24"/>
      <c r="AS91" s="24" t="n">
        <f aca="false">COUNTIF(E91:AQ91,"H")</f>
        <v>5</v>
      </c>
      <c r="AT91" s="24" t="n">
        <f aca="false">COUNTIF(E91:AQ91,"I")</f>
        <v>0</v>
      </c>
      <c r="AU91" s="24" t="n">
        <f aca="false">COUNTIF(E91:AQ91,"TD")</f>
        <v>0</v>
      </c>
      <c r="AV91" s="24" t="n">
        <f aca="false">COUNTIF(E91:AQ91,"S")</f>
        <v>0</v>
      </c>
      <c r="AW91" s="24" t="n">
        <f aca="false">COUNTIF(E91:AQ91,"A")</f>
        <v>0</v>
      </c>
      <c r="AX91" s="24" t="str">
        <f aca="false">B91</f>
        <v>MUHAMMAD FAUZAN</v>
      </c>
    </row>
    <row r="92" customFormat="false" ht="15.75" hidden="false" customHeight="false" outlineLevel="0" collapsed="false">
      <c r="A92" s="24" t="n">
        <v>18</v>
      </c>
      <c r="B92" s="31" t="str">
        <f aca="false">B24</f>
        <v>AKBAR RAMADAN</v>
      </c>
      <c r="C92" s="24" t="n">
        <f aca="false">C24</f>
        <v>9</v>
      </c>
      <c r="D92" s="24" t="s">
        <v>173</v>
      </c>
      <c r="E92" s="24" t="s">
        <v>78</v>
      </c>
      <c r="F92" s="24" t="s">
        <v>76</v>
      </c>
      <c r="G92" s="24"/>
      <c r="H92" s="24"/>
      <c r="I92" s="24"/>
      <c r="J92" s="31" t="str">
        <f aca="false">B92</f>
        <v>AKBAR RAMADAN</v>
      </c>
      <c r="K92" s="24" t="s">
        <v>174</v>
      </c>
      <c r="L92" s="24" t="s">
        <v>78</v>
      </c>
      <c r="M92" s="24" t="s">
        <v>76</v>
      </c>
      <c r="N92" s="24"/>
      <c r="O92" s="24"/>
      <c r="P92" s="24"/>
      <c r="Q92" s="31" t="str">
        <f aca="false">B92</f>
        <v>AKBAR RAMADAN</v>
      </c>
      <c r="R92" s="24" t="s">
        <v>175</v>
      </c>
      <c r="S92" s="24" t="s">
        <v>78</v>
      </c>
      <c r="T92" s="24" t="s">
        <v>76</v>
      </c>
      <c r="U92" s="24"/>
      <c r="V92" s="24" t="s">
        <v>78</v>
      </c>
      <c r="W92" s="24"/>
      <c r="X92" s="31" t="str">
        <f aca="false">B92</f>
        <v>AKBAR RAMADAN</v>
      </c>
      <c r="Y92" s="24" t="s">
        <v>176</v>
      </c>
      <c r="Z92" s="24" t="s">
        <v>78</v>
      </c>
      <c r="AA92" s="24" t="s">
        <v>76</v>
      </c>
      <c r="AB92" s="24"/>
      <c r="AC92" s="24"/>
      <c r="AD92" s="24"/>
      <c r="AE92" s="31" t="str">
        <f aca="false">B92</f>
        <v>AKBAR RAMADAN</v>
      </c>
      <c r="AF92" s="24" t="s">
        <v>177</v>
      </c>
      <c r="AG92" s="24" t="s">
        <v>78</v>
      </c>
      <c r="AH92" s="24" t="s">
        <v>76</v>
      </c>
      <c r="AI92" s="24"/>
      <c r="AJ92" s="24"/>
      <c r="AK92" s="24"/>
      <c r="AL92" s="24" t="str">
        <f aca="false">B92</f>
        <v>AKBAR RAMADAN</v>
      </c>
      <c r="AM92" s="24"/>
      <c r="AN92" s="24"/>
      <c r="AO92" s="24"/>
      <c r="AP92" s="24"/>
      <c r="AQ92" s="24"/>
      <c r="AR92" s="24"/>
      <c r="AS92" s="24" t="n">
        <f aca="false">COUNTIF(E92:AQ92,"H")</f>
        <v>6</v>
      </c>
      <c r="AT92" s="24" t="n">
        <f aca="false">COUNTIF(E92:AQ92,"I")</f>
        <v>0</v>
      </c>
      <c r="AU92" s="24" t="n">
        <f aca="false">COUNTIF(E92:AQ92,"TD")</f>
        <v>0</v>
      </c>
      <c r="AV92" s="24" t="n">
        <f aca="false">COUNTIF(E92:AQ92,"S")</f>
        <v>0</v>
      </c>
      <c r="AW92" s="24" t="n">
        <f aca="false">COUNTIF(E92:AQ92,"A")</f>
        <v>0</v>
      </c>
      <c r="AX92" s="24" t="str">
        <f aca="false">B92</f>
        <v>AKBAR RAMADAN</v>
      </c>
    </row>
    <row r="93" customFormat="false" ht="15.75" hidden="false" customHeight="false" outlineLevel="0" collapsed="false">
      <c r="A93" s="24" t="n">
        <v>19</v>
      </c>
      <c r="B93" s="31" t="e">
        <f aca="false">B25</f>
        <v>#REF!</v>
      </c>
      <c r="C93" s="24" t="e">
        <f aca="false">C25</f>
        <v>#REF!</v>
      </c>
      <c r="D93" s="24" t="s">
        <v>178</v>
      </c>
      <c r="E93" s="24" t="s">
        <v>78</v>
      </c>
      <c r="F93" s="24" t="s">
        <v>76</v>
      </c>
      <c r="G93" s="24"/>
      <c r="H93" s="24"/>
      <c r="I93" s="24"/>
      <c r="J93" s="31" t="e">
        <f aca="false">B93</f>
        <v>#REF!</v>
      </c>
      <c r="K93" s="24" t="s">
        <v>179</v>
      </c>
      <c r="L93" s="24" t="s">
        <v>78</v>
      </c>
      <c r="M93" s="24" t="s">
        <v>76</v>
      </c>
      <c r="N93" s="24"/>
      <c r="O93" s="24"/>
      <c r="P93" s="24"/>
      <c r="Q93" s="31" t="e">
        <f aca="false">B93</f>
        <v>#REF!</v>
      </c>
      <c r="R93" s="24"/>
      <c r="S93" s="24" t="s">
        <v>81</v>
      </c>
      <c r="T93" s="24"/>
      <c r="U93" s="24"/>
      <c r="V93" s="24" t="s">
        <v>78</v>
      </c>
      <c r="W93" s="24"/>
      <c r="X93" s="31" t="e">
        <f aca="false">B93</f>
        <v>#REF!</v>
      </c>
      <c r="Y93" s="24" t="s">
        <v>180</v>
      </c>
      <c r="Z93" s="24" t="s">
        <v>78</v>
      </c>
      <c r="AA93" s="24" t="s">
        <v>76</v>
      </c>
      <c r="AB93" s="24"/>
      <c r="AC93" s="24" t="s">
        <v>81</v>
      </c>
      <c r="AD93" s="24"/>
      <c r="AE93" s="31" t="e">
        <f aca="false">B93</f>
        <v>#REF!</v>
      </c>
      <c r="AF93" s="24" t="s">
        <v>181</v>
      </c>
      <c r="AG93" s="24" t="s">
        <v>78</v>
      </c>
      <c r="AH93" s="24" t="s">
        <v>76</v>
      </c>
      <c r="AI93" s="24"/>
      <c r="AJ93" s="24"/>
      <c r="AK93" s="24"/>
      <c r="AL93" s="24" t="e">
        <f aca="false">B93</f>
        <v>#REF!</v>
      </c>
      <c r="AM93" s="24"/>
      <c r="AN93" s="24"/>
      <c r="AO93" s="24"/>
      <c r="AP93" s="24"/>
      <c r="AQ93" s="24"/>
      <c r="AR93" s="24"/>
      <c r="AS93" s="24" t="n">
        <f aca="false">COUNTIF(E93:AQ93,"H")</f>
        <v>5</v>
      </c>
      <c r="AT93" s="24" t="n">
        <f aca="false">COUNTIF(E93:AQ93,"I")</f>
        <v>0</v>
      </c>
      <c r="AU93" s="24" t="n">
        <f aca="false">COUNTIF(E93:AQ93,"TD")</f>
        <v>2</v>
      </c>
      <c r="AV93" s="24" t="n">
        <f aca="false">COUNTIF(E93:AQ93,"S")</f>
        <v>0</v>
      </c>
      <c r="AW93" s="24" t="n">
        <f aca="false">COUNTIF(E93:AQ93,"A")</f>
        <v>0</v>
      </c>
      <c r="AX93" s="24" t="e">
        <f aca="false">B93</f>
        <v>#REF!</v>
      </c>
    </row>
    <row r="94" customFormat="false" ht="15.75" hidden="false" customHeight="false" outlineLevel="0" collapsed="false">
      <c r="A94" s="24" t="n">
        <v>20</v>
      </c>
      <c r="B94" s="31" t="str">
        <f aca="false">B26</f>
        <v>ABIDZAR ALGHIFARI</v>
      </c>
      <c r="C94" s="24" t="n">
        <f aca="false">C26</f>
        <v>8</v>
      </c>
      <c r="D94" s="38" t="s">
        <v>182</v>
      </c>
      <c r="E94" s="24" t="s">
        <v>78</v>
      </c>
      <c r="F94" s="24" t="s">
        <v>76</v>
      </c>
      <c r="G94" s="24"/>
      <c r="H94" s="24"/>
      <c r="I94" s="24"/>
      <c r="J94" s="31" t="str">
        <f aca="false">B94</f>
        <v>ABIDZAR ALGHIFARI</v>
      </c>
      <c r="K94" s="24" t="s">
        <v>183</v>
      </c>
      <c r="L94" s="24" t="s">
        <v>78</v>
      </c>
      <c r="M94" s="24" t="s">
        <v>76</v>
      </c>
      <c r="N94" s="24"/>
      <c r="O94" s="24"/>
      <c r="P94" s="24"/>
      <c r="Q94" s="31" t="str">
        <f aca="false">B94</f>
        <v>ABIDZAR ALGHIFARI</v>
      </c>
      <c r="R94" s="24"/>
      <c r="S94" s="24" t="s">
        <v>81</v>
      </c>
      <c r="T94" s="24"/>
      <c r="U94" s="24" t="s">
        <v>184</v>
      </c>
      <c r="V94" s="24" t="s">
        <v>78</v>
      </c>
      <c r="W94" s="24"/>
      <c r="X94" s="31" t="str">
        <f aca="false">B94</f>
        <v>ABIDZAR ALGHIFARI</v>
      </c>
      <c r="Y94" s="24" t="s">
        <v>185</v>
      </c>
      <c r="Z94" s="24" t="s">
        <v>78</v>
      </c>
      <c r="AA94" s="24" t="s">
        <v>76</v>
      </c>
      <c r="AB94" s="24" t="s">
        <v>186</v>
      </c>
      <c r="AC94" s="24" t="s">
        <v>78</v>
      </c>
      <c r="AD94" s="24" t="s">
        <v>76</v>
      </c>
      <c r="AE94" s="31" t="str">
        <f aca="false">B94</f>
        <v>ABIDZAR ALGHIFARI</v>
      </c>
      <c r="AF94" s="24" t="s">
        <v>187</v>
      </c>
      <c r="AG94" s="24" t="s">
        <v>78</v>
      </c>
      <c r="AH94" s="24" t="s">
        <v>76</v>
      </c>
      <c r="AI94" s="24" t="s">
        <v>188</v>
      </c>
      <c r="AJ94" s="24" t="s">
        <v>78</v>
      </c>
      <c r="AK94" s="24" t="s">
        <v>76</v>
      </c>
      <c r="AL94" s="24" t="str">
        <f aca="false">B94</f>
        <v>ABIDZAR ALGHIFARI</v>
      </c>
      <c r="AM94" s="24"/>
      <c r="AN94" s="24"/>
      <c r="AO94" s="24"/>
      <c r="AP94" s="24"/>
      <c r="AQ94" s="24"/>
      <c r="AR94" s="24"/>
      <c r="AS94" s="24" t="n">
        <f aca="false">COUNTIF(E94:AQ94,"H")</f>
        <v>7</v>
      </c>
      <c r="AT94" s="24" t="n">
        <f aca="false">COUNTIF(E94:AQ94,"I")</f>
        <v>0</v>
      </c>
      <c r="AU94" s="24" t="n">
        <f aca="false">COUNTIF(E94:AQ94,"TD")</f>
        <v>1</v>
      </c>
      <c r="AV94" s="24" t="n">
        <f aca="false">COUNTIF(E94:AQ94,"S")</f>
        <v>0</v>
      </c>
      <c r="AW94" s="24" t="n">
        <f aca="false">COUNTIF(E94:AQ94,"A")</f>
        <v>0</v>
      </c>
      <c r="AX94" s="24" t="str">
        <f aca="false">B94</f>
        <v>ABIDZAR ALGHIFARI</v>
      </c>
    </row>
    <row r="95" customFormat="false" ht="15.75" hidden="false" customHeight="false" outlineLevel="0" collapsed="false">
      <c r="A95" s="24" t="n">
        <v>21</v>
      </c>
      <c r="B95" s="31" t="str">
        <f aca="false">B27</f>
        <v>KAFY MUHAMMAD AZIZY</v>
      </c>
      <c r="C95" s="24" t="n">
        <f aca="false">C27</f>
        <v>7</v>
      </c>
      <c r="D95" s="24"/>
      <c r="E95" s="24"/>
      <c r="F95" s="24"/>
      <c r="G95" s="24"/>
      <c r="H95" s="24"/>
      <c r="I95" s="24"/>
      <c r="J95" s="31" t="str">
        <f aca="false">B95</f>
        <v>KAFY MUHAMMAD AZIZY</v>
      </c>
      <c r="K95" s="24" t="s">
        <v>189</v>
      </c>
      <c r="L95" s="24" t="s">
        <v>78</v>
      </c>
      <c r="M95" s="24" t="s">
        <v>76</v>
      </c>
      <c r="N95" s="24"/>
      <c r="O95" s="24"/>
      <c r="P95" s="24"/>
      <c r="Q95" s="31" t="str">
        <f aca="false">B95</f>
        <v>KAFY MUHAMMAD AZIZY</v>
      </c>
      <c r="R95" s="24"/>
      <c r="S95" s="24" t="s">
        <v>79</v>
      </c>
      <c r="T95" s="24"/>
      <c r="U95" s="24"/>
      <c r="V95" s="24" t="s">
        <v>78</v>
      </c>
      <c r="W95" s="24"/>
      <c r="X95" s="31" t="str">
        <f aca="false">B95</f>
        <v>KAFY MUHAMMAD AZIZY</v>
      </c>
      <c r="Y95" s="24" t="s">
        <v>190</v>
      </c>
      <c r="Z95" s="24" t="s">
        <v>78</v>
      </c>
      <c r="AA95" s="24" t="s">
        <v>76</v>
      </c>
      <c r="AB95" s="24"/>
      <c r="AC95" s="24"/>
      <c r="AD95" s="24"/>
      <c r="AE95" s="31" t="str">
        <f aca="false">B95</f>
        <v>KAFY MUHAMMAD AZIZY</v>
      </c>
      <c r="AF95" s="24" t="s">
        <v>191</v>
      </c>
      <c r="AG95" s="24" t="s">
        <v>78</v>
      </c>
      <c r="AH95" s="24" t="s">
        <v>76</v>
      </c>
      <c r="AI95" s="24"/>
      <c r="AJ95" s="24"/>
      <c r="AK95" s="24"/>
      <c r="AL95" s="24" t="str">
        <f aca="false">B95</f>
        <v>KAFY MUHAMMAD AZIZY</v>
      </c>
      <c r="AM95" s="24"/>
      <c r="AN95" s="24"/>
      <c r="AO95" s="24"/>
      <c r="AP95" s="24"/>
      <c r="AQ95" s="24"/>
      <c r="AR95" s="24"/>
      <c r="AS95" s="24" t="n">
        <f aca="false">COUNTIF(E95:AQ95,"H")</f>
        <v>4</v>
      </c>
      <c r="AT95" s="24" t="n">
        <f aca="false">COUNTIF(E95:AQ95,"I")</f>
        <v>0</v>
      </c>
      <c r="AU95" s="24" t="n">
        <f aca="false">COUNTIF(E95:AQ95,"TD")</f>
        <v>0</v>
      </c>
      <c r="AV95" s="24" t="n">
        <f aca="false">COUNTIF(E95:AQ95,"S")</f>
        <v>0</v>
      </c>
      <c r="AW95" s="24" t="n">
        <f aca="false">COUNTIF(E95:AQ95,"A")</f>
        <v>0</v>
      </c>
      <c r="AX95" s="24" t="str">
        <f aca="false">B95</f>
        <v>KAFY MUHAMMAD AZIZY</v>
      </c>
    </row>
    <row r="96" customFormat="false" ht="15.75" hidden="false" customHeight="false" outlineLevel="0" collapsed="false">
      <c r="A96" s="24" t="n">
        <v>22</v>
      </c>
      <c r="B96" s="31" t="e">
        <f aca="false">B28</f>
        <v>#REF!</v>
      </c>
      <c r="C96" s="24" t="e">
        <f aca="false">C28</f>
        <v>#REF!</v>
      </c>
      <c r="D96" s="24"/>
      <c r="E96" s="24"/>
      <c r="F96" s="24"/>
      <c r="G96" s="24"/>
      <c r="H96" s="24"/>
      <c r="I96" s="24"/>
      <c r="J96" s="31" t="e">
        <f aca="false">B96</f>
        <v>#REF!</v>
      </c>
      <c r="K96" s="24" t="s">
        <v>192</v>
      </c>
      <c r="L96" s="24" t="s">
        <v>78</v>
      </c>
      <c r="M96" s="24" t="s">
        <v>76</v>
      </c>
      <c r="N96" s="24"/>
      <c r="O96" s="24"/>
      <c r="P96" s="24"/>
      <c r="Q96" s="31" t="e">
        <f aca="false">B96</f>
        <v>#REF!</v>
      </c>
      <c r="R96" s="24"/>
      <c r="S96" s="24" t="s">
        <v>81</v>
      </c>
      <c r="T96" s="24"/>
      <c r="U96" s="24"/>
      <c r="V96" s="24" t="s">
        <v>78</v>
      </c>
      <c r="W96" s="24"/>
      <c r="X96" s="31" t="e">
        <f aca="false">B96</f>
        <v>#REF!</v>
      </c>
      <c r="Y96" s="24" t="s">
        <v>193</v>
      </c>
      <c r="Z96" s="24" t="s">
        <v>78</v>
      </c>
      <c r="AA96" s="24" t="s">
        <v>76</v>
      </c>
      <c r="AB96" s="24"/>
      <c r="AC96" s="24" t="s">
        <v>78</v>
      </c>
      <c r="AD96" s="24"/>
      <c r="AE96" s="31" t="e">
        <f aca="false">B96</f>
        <v>#REF!</v>
      </c>
      <c r="AF96" s="24" t="s">
        <v>194</v>
      </c>
      <c r="AG96" s="24" t="s">
        <v>78</v>
      </c>
      <c r="AH96" s="24" t="s">
        <v>76</v>
      </c>
      <c r="AI96" s="24" t="s">
        <v>193</v>
      </c>
      <c r="AJ96" s="24" t="s">
        <v>78</v>
      </c>
      <c r="AK96" s="24" t="s">
        <v>76</v>
      </c>
      <c r="AL96" s="24" t="e">
        <f aca="false">B96</f>
        <v>#REF!</v>
      </c>
      <c r="AM96" s="24"/>
      <c r="AN96" s="24"/>
      <c r="AO96" s="24"/>
      <c r="AP96" s="24"/>
      <c r="AQ96" s="24"/>
      <c r="AR96" s="24"/>
      <c r="AS96" s="24" t="n">
        <f aca="false">COUNTIF(E96:AQ96,"H")</f>
        <v>6</v>
      </c>
      <c r="AT96" s="24" t="n">
        <f aca="false">COUNTIF(E96:AQ96,"I")</f>
        <v>0</v>
      </c>
      <c r="AU96" s="24" t="n">
        <f aca="false">COUNTIF(E96:AQ96,"TD")</f>
        <v>1</v>
      </c>
      <c r="AV96" s="24" t="n">
        <f aca="false">COUNTIF(E96:AQ96,"S")</f>
        <v>0</v>
      </c>
      <c r="AW96" s="24" t="n">
        <f aca="false">COUNTIF(E96:AQ96,"A")</f>
        <v>0</v>
      </c>
      <c r="AX96" s="24" t="e">
        <f aca="false">B96</f>
        <v>#REF!</v>
      </c>
    </row>
    <row r="97" customFormat="false" ht="15.75" hidden="false" customHeight="false" outlineLevel="0" collapsed="false">
      <c r="A97" s="24" t="n">
        <v>23</v>
      </c>
      <c r="B97" s="31" t="str">
        <f aca="false">B29</f>
        <v>MUHAMMAD MUNAWWAR KHOLIL</v>
      </c>
      <c r="C97" s="24" t="s">
        <v>195</v>
      </c>
      <c r="D97" s="24" t="s">
        <v>196</v>
      </c>
      <c r="E97" s="24" t="s">
        <v>78</v>
      </c>
      <c r="F97" s="24" t="s">
        <v>76</v>
      </c>
      <c r="G97" s="24"/>
      <c r="H97" s="24"/>
      <c r="I97" s="24"/>
      <c r="J97" s="31" t="s">
        <v>197</v>
      </c>
      <c r="K97" s="24" t="s">
        <v>198</v>
      </c>
      <c r="L97" s="24" t="s">
        <v>78</v>
      </c>
      <c r="M97" s="24" t="s">
        <v>76</v>
      </c>
      <c r="N97" s="24"/>
      <c r="O97" s="24"/>
      <c r="P97" s="24"/>
      <c r="Q97" s="31" t="str">
        <f aca="false">B97</f>
        <v>MUHAMMAD MUNAWWAR KHOLIL</v>
      </c>
      <c r="R97" s="24"/>
      <c r="S97" s="24" t="s">
        <v>78</v>
      </c>
      <c r="T97" s="24"/>
      <c r="U97" s="24"/>
      <c r="V97" s="24" t="s">
        <v>78</v>
      </c>
      <c r="W97" s="24"/>
      <c r="X97" s="31" t="str">
        <f aca="false">B97</f>
        <v>MUHAMMAD MUNAWWAR KHOLIL</v>
      </c>
      <c r="Y97" s="24"/>
      <c r="Z97" s="24" t="s">
        <v>78</v>
      </c>
      <c r="AA97" s="24"/>
      <c r="AB97" s="24"/>
      <c r="AC97" s="24"/>
      <c r="AD97" s="24"/>
      <c r="AE97" s="31" t="str">
        <f aca="false">B97</f>
        <v>MUHAMMAD MUNAWWAR KHOLIL</v>
      </c>
      <c r="AF97" s="24"/>
      <c r="AG97" s="24" t="s">
        <v>78</v>
      </c>
      <c r="AH97" s="24"/>
      <c r="AI97" s="24" t="s">
        <v>199</v>
      </c>
      <c r="AJ97" s="24" t="s">
        <v>78</v>
      </c>
      <c r="AK97" s="24" t="s">
        <v>76</v>
      </c>
      <c r="AL97" s="24" t="str">
        <f aca="false">B97</f>
        <v>MUHAMMAD MUNAWWAR KHOLIL</v>
      </c>
      <c r="AM97" s="24"/>
      <c r="AN97" s="24"/>
      <c r="AO97" s="24"/>
      <c r="AP97" s="24"/>
      <c r="AQ97" s="24"/>
      <c r="AR97" s="24"/>
      <c r="AS97" s="24" t="n">
        <f aca="false">COUNTIF(E97:AQ97,"H")</f>
        <v>7</v>
      </c>
      <c r="AT97" s="24" t="n">
        <f aca="false">COUNTIF(E97:AQ97,"I")</f>
        <v>0</v>
      </c>
      <c r="AU97" s="24" t="n">
        <f aca="false">COUNTIF(E97:AQ97,"TD")</f>
        <v>0</v>
      </c>
      <c r="AV97" s="24" t="n">
        <f aca="false">COUNTIF(E97:AQ97,"S")</f>
        <v>0</v>
      </c>
      <c r="AW97" s="24" t="n">
        <f aca="false">COUNTIF(E97:AQ97,"A")</f>
        <v>0</v>
      </c>
      <c r="AX97" s="24" t="str">
        <f aca="false">B97</f>
        <v>MUHAMMAD MUNAWWAR KHOLIL</v>
      </c>
    </row>
    <row r="98" customFormat="false" ht="15.75" hidden="false" customHeight="false" outlineLevel="0" collapsed="false">
      <c r="A98" s="24" t="n">
        <v>24</v>
      </c>
      <c r="B98" s="31" t="str">
        <f aca="false">B30</f>
        <v>ALWI</v>
      </c>
      <c r="C98" s="24" t="s">
        <v>195</v>
      </c>
      <c r="D98" s="24"/>
      <c r="E98" s="24" t="s">
        <v>78</v>
      </c>
      <c r="F98" s="24"/>
      <c r="G98" s="24"/>
      <c r="H98" s="24"/>
      <c r="I98" s="24"/>
      <c r="J98" s="31" t="str">
        <f aca="false">B98</f>
        <v>ALWI</v>
      </c>
      <c r="K98" s="24"/>
      <c r="L98" s="24"/>
      <c r="M98" s="24"/>
      <c r="N98" s="24"/>
      <c r="O98" s="24"/>
      <c r="P98" s="24"/>
      <c r="Q98" s="31" t="str">
        <f aca="false">B98</f>
        <v>ALWI</v>
      </c>
      <c r="R98" s="24"/>
      <c r="S98" s="24" t="s">
        <v>78</v>
      </c>
      <c r="T98" s="24"/>
      <c r="U98" s="24"/>
      <c r="V98" s="24" t="s">
        <v>78</v>
      </c>
      <c r="W98" s="24"/>
      <c r="X98" s="31" t="str">
        <f aca="false">B98</f>
        <v>ALWI</v>
      </c>
      <c r="Y98" s="24"/>
      <c r="Z98" s="24" t="s">
        <v>78</v>
      </c>
      <c r="AA98" s="24"/>
      <c r="AB98" s="24"/>
      <c r="AC98" s="24"/>
      <c r="AD98" s="24"/>
      <c r="AE98" s="31" t="str">
        <f aca="false">B98</f>
        <v>ALWI</v>
      </c>
      <c r="AF98" s="24"/>
      <c r="AG98" s="24" t="s">
        <v>78</v>
      </c>
      <c r="AH98" s="24"/>
      <c r="AI98" s="24"/>
      <c r="AJ98" s="24"/>
      <c r="AK98" s="24"/>
      <c r="AL98" s="24" t="str">
        <f aca="false">B98</f>
        <v>ALWI</v>
      </c>
      <c r="AM98" s="24"/>
      <c r="AN98" s="24"/>
      <c r="AO98" s="24"/>
      <c r="AP98" s="24"/>
      <c r="AQ98" s="24"/>
      <c r="AR98" s="24"/>
      <c r="AS98" s="24" t="n">
        <f aca="false">COUNTIF(E98:AQ98,"H")</f>
        <v>5</v>
      </c>
      <c r="AT98" s="24" t="n">
        <f aca="false">COUNTIF(E98:AQ98,"I")</f>
        <v>0</v>
      </c>
      <c r="AU98" s="24" t="n">
        <f aca="false">COUNTIF(E98:AQ98,"TD")</f>
        <v>0</v>
      </c>
      <c r="AV98" s="24" t="n">
        <f aca="false">COUNTIF(E98:AQ98,"S")</f>
        <v>0</v>
      </c>
      <c r="AW98" s="24" t="n">
        <f aca="false">COUNTIF(E98:AQ98,"A")</f>
        <v>0</v>
      </c>
      <c r="AX98" s="24" t="str">
        <f aca="false">B98</f>
        <v>ALWI</v>
      </c>
    </row>
    <row r="99" customFormat="false" ht="15.75" hidden="false" customHeight="false" outlineLevel="0" collapsed="false">
      <c r="A99" s="24" t="n">
        <v>25</v>
      </c>
      <c r="B99" s="31" t="str">
        <f aca="false">B31</f>
        <v>PIRMAN</v>
      </c>
      <c r="C99" s="24" t="s">
        <v>195</v>
      </c>
      <c r="D99" s="24"/>
      <c r="E99" s="24" t="s">
        <v>78</v>
      </c>
      <c r="F99" s="24"/>
      <c r="G99" s="24"/>
      <c r="H99" s="24"/>
      <c r="I99" s="24"/>
      <c r="J99" s="31" t="str">
        <f aca="false">B99</f>
        <v>PIRMAN</v>
      </c>
      <c r="K99" s="24"/>
      <c r="L99" s="24"/>
      <c r="M99" s="24"/>
      <c r="N99" s="24"/>
      <c r="O99" s="24"/>
      <c r="P99" s="24"/>
      <c r="Q99" s="31" t="str">
        <f aca="false">B99</f>
        <v>PIRMAN</v>
      </c>
      <c r="R99" s="24"/>
      <c r="S99" s="24" t="s">
        <v>78</v>
      </c>
      <c r="T99" s="24"/>
      <c r="U99" s="24"/>
      <c r="V99" s="24" t="s">
        <v>78</v>
      </c>
      <c r="W99" s="24"/>
      <c r="X99" s="31" t="str">
        <f aca="false">B99</f>
        <v>PIRMAN</v>
      </c>
      <c r="Y99" s="24"/>
      <c r="Z99" s="24" t="s">
        <v>78</v>
      </c>
      <c r="AA99" s="24"/>
      <c r="AB99" s="24"/>
      <c r="AC99" s="24"/>
      <c r="AD99" s="24"/>
      <c r="AE99" s="31" t="str">
        <f aca="false">B99</f>
        <v>PIRMAN</v>
      </c>
      <c r="AF99" s="24"/>
      <c r="AG99" s="24" t="s">
        <v>78</v>
      </c>
      <c r="AH99" s="24"/>
      <c r="AI99" s="24"/>
      <c r="AJ99" s="24"/>
      <c r="AK99" s="24"/>
      <c r="AL99" s="24" t="str">
        <f aca="false">B99</f>
        <v>PIRMAN</v>
      </c>
      <c r="AM99" s="24"/>
      <c r="AN99" s="24"/>
      <c r="AO99" s="24"/>
      <c r="AP99" s="24"/>
      <c r="AQ99" s="24"/>
      <c r="AR99" s="24"/>
      <c r="AS99" s="24" t="n">
        <f aca="false">COUNTIF(E99:AQ99,"H")</f>
        <v>5</v>
      </c>
      <c r="AT99" s="24" t="n">
        <f aca="false">COUNTIF(E99:AQ99,"I")</f>
        <v>0</v>
      </c>
      <c r="AU99" s="24" t="n">
        <f aca="false">COUNTIF(E99:AQ99,"TD")</f>
        <v>0</v>
      </c>
      <c r="AV99" s="24" t="n">
        <f aca="false">COUNTIF(E99:AQ99,"S")</f>
        <v>0</v>
      </c>
      <c r="AW99" s="24" t="n">
        <f aca="false">COUNTIF(E99:AQ99,"A")</f>
        <v>0</v>
      </c>
      <c r="AX99" s="24" t="str">
        <f aca="false">B99</f>
        <v>PIRMAN</v>
      </c>
    </row>
    <row r="100" customFormat="false" ht="15.75" hidden="false" customHeight="false" outlineLevel="0" collapsed="false">
      <c r="A100" s="24" t="n">
        <v>26</v>
      </c>
      <c r="B100" s="31" t="str">
        <f aca="false">B32</f>
        <v>MUHAMMAD DENMAR NABAWI</v>
      </c>
      <c r="C100" s="24" t="s">
        <v>195</v>
      </c>
      <c r="D100" s="24"/>
      <c r="E100" s="24" t="s">
        <v>78</v>
      </c>
      <c r="F100" s="24"/>
      <c r="G100" s="24"/>
      <c r="H100" s="24"/>
      <c r="I100" s="24"/>
      <c r="J100" s="31" t="str">
        <f aca="false">B100</f>
        <v>MUHAMMAD DENMAR NABAWI</v>
      </c>
      <c r="K100" s="24"/>
      <c r="L100" s="24"/>
      <c r="M100" s="24"/>
      <c r="N100" s="24"/>
      <c r="O100" s="24"/>
      <c r="P100" s="24"/>
      <c r="Q100" s="31" t="str">
        <f aca="false">B100</f>
        <v>MUHAMMAD DENMAR NABAWI</v>
      </c>
      <c r="R100" s="24"/>
      <c r="S100" s="24" t="s">
        <v>78</v>
      </c>
      <c r="T100" s="24"/>
      <c r="U100" s="24"/>
      <c r="V100" s="24" t="s">
        <v>78</v>
      </c>
      <c r="W100" s="24"/>
      <c r="X100" s="31" t="str">
        <f aca="false">B100</f>
        <v>MUHAMMAD DENMAR NABAWI</v>
      </c>
      <c r="Y100" s="24"/>
      <c r="Z100" s="24" t="s">
        <v>78</v>
      </c>
      <c r="AA100" s="24"/>
      <c r="AB100" s="24"/>
      <c r="AC100" s="24"/>
      <c r="AD100" s="24"/>
      <c r="AE100" s="31" t="str">
        <f aca="false">B100</f>
        <v>MUHAMMAD DENMAR NABAWI</v>
      </c>
      <c r="AF100" s="24"/>
      <c r="AG100" s="24" t="s">
        <v>78</v>
      </c>
      <c r="AH100" s="24"/>
      <c r="AI100" s="24"/>
      <c r="AJ100" s="24"/>
      <c r="AK100" s="24"/>
      <c r="AL100" s="24" t="str">
        <f aca="false">B100</f>
        <v>MUHAMMAD DENMAR NABAWI</v>
      </c>
      <c r="AM100" s="24"/>
      <c r="AN100" s="24"/>
      <c r="AO100" s="24"/>
      <c r="AP100" s="24"/>
      <c r="AQ100" s="24"/>
      <c r="AR100" s="24"/>
      <c r="AS100" s="24" t="n">
        <f aca="false">COUNTIF(E100:AQ100,"H")</f>
        <v>5</v>
      </c>
      <c r="AT100" s="24" t="n">
        <f aca="false">COUNTIF(E100:AQ100,"I")</f>
        <v>0</v>
      </c>
      <c r="AU100" s="24" t="n">
        <f aca="false">COUNTIF(E100:AQ100,"TD")</f>
        <v>0</v>
      </c>
      <c r="AV100" s="24" t="n">
        <f aca="false">COUNTIF(E100:AQ100,"S")</f>
        <v>0</v>
      </c>
      <c r="AW100" s="24" t="n">
        <f aca="false">COUNTIF(E100:AQ100,"A")</f>
        <v>0</v>
      </c>
      <c r="AX100" s="24" t="str">
        <f aca="false">B100</f>
        <v>MUHAMMAD DENMAR NABAWI</v>
      </c>
    </row>
    <row r="101" customFormat="false" ht="15.75" hidden="false" customHeight="false" outlineLevel="0" collapsed="false">
      <c r="A101" s="24" t="n">
        <v>27</v>
      </c>
      <c r="B101" s="31" t="e">
        <f aca="false">B33</f>
        <v>#REF!</v>
      </c>
      <c r="C101" s="24" t="s">
        <v>195</v>
      </c>
      <c r="D101" s="24"/>
      <c r="E101" s="24" t="s">
        <v>78</v>
      </c>
      <c r="F101" s="24"/>
      <c r="G101" s="24"/>
      <c r="H101" s="24"/>
      <c r="I101" s="24"/>
      <c r="J101" s="31" t="e">
        <f aca="false">B101</f>
        <v>#REF!</v>
      </c>
      <c r="K101" s="24"/>
      <c r="L101" s="24"/>
      <c r="M101" s="24"/>
      <c r="N101" s="24"/>
      <c r="O101" s="24"/>
      <c r="P101" s="24"/>
      <c r="Q101" s="31" t="e">
        <f aca="false">B101</f>
        <v>#REF!</v>
      </c>
      <c r="R101" s="24"/>
      <c r="S101" s="24" t="s">
        <v>78</v>
      </c>
      <c r="T101" s="24"/>
      <c r="U101" s="24"/>
      <c r="V101" s="24" t="s">
        <v>78</v>
      </c>
      <c r="W101" s="24"/>
      <c r="X101" s="31" t="e">
        <f aca="false">B101</f>
        <v>#REF!</v>
      </c>
      <c r="Y101" s="24"/>
      <c r="Z101" s="24" t="s">
        <v>78</v>
      </c>
      <c r="AA101" s="24"/>
      <c r="AB101" s="24"/>
      <c r="AC101" s="24"/>
      <c r="AD101" s="24"/>
      <c r="AE101" s="31" t="e">
        <f aca="false">B101</f>
        <v>#REF!</v>
      </c>
      <c r="AF101" s="24"/>
      <c r="AG101" s="24" t="s">
        <v>78</v>
      </c>
      <c r="AH101" s="24"/>
      <c r="AI101" s="24"/>
      <c r="AJ101" s="24"/>
      <c r="AK101" s="24"/>
      <c r="AL101" s="24" t="e">
        <f aca="false">B101</f>
        <v>#REF!</v>
      </c>
      <c r="AM101" s="24"/>
      <c r="AN101" s="24"/>
      <c r="AO101" s="24"/>
      <c r="AP101" s="24"/>
      <c r="AQ101" s="24"/>
      <c r="AR101" s="24"/>
      <c r="AS101" s="24" t="n">
        <f aca="false">COUNTIF(E101:AQ101,"H")</f>
        <v>5</v>
      </c>
      <c r="AT101" s="24" t="n">
        <f aca="false">COUNTIF(E101:AQ101,"I")</f>
        <v>0</v>
      </c>
      <c r="AU101" s="24" t="n">
        <f aca="false">COUNTIF(E101:AQ101,"TD")</f>
        <v>0</v>
      </c>
      <c r="AV101" s="24" t="n">
        <f aca="false">COUNTIF(E101:AQ101,"S")</f>
        <v>0</v>
      </c>
      <c r="AW101" s="24" t="n">
        <f aca="false">COUNTIF(E101:AQ101,"A")</f>
        <v>0</v>
      </c>
      <c r="AX101" s="24" t="e">
        <f aca="false">B101</f>
        <v>#REF!</v>
      </c>
    </row>
    <row r="102" customFormat="false" ht="15.75" hidden="false" customHeight="false" outlineLevel="0" collapsed="false">
      <c r="A102" s="24" t="n">
        <v>28</v>
      </c>
      <c r="B102" s="31" t="e">
        <f aca="false">B34</f>
        <v>#REF!</v>
      </c>
      <c r="C102" s="24" t="s">
        <v>195</v>
      </c>
      <c r="D102" s="24"/>
      <c r="E102" s="24" t="s">
        <v>78</v>
      </c>
      <c r="F102" s="24"/>
      <c r="G102" s="24"/>
      <c r="H102" s="24"/>
      <c r="I102" s="24"/>
      <c r="J102" s="31" t="e">
        <f aca="false">B102</f>
        <v>#REF!</v>
      </c>
      <c r="K102" s="24"/>
      <c r="L102" s="24"/>
      <c r="M102" s="24"/>
      <c r="N102" s="24"/>
      <c r="O102" s="24"/>
      <c r="P102" s="24"/>
      <c r="Q102" s="31" t="e">
        <f aca="false">B102</f>
        <v>#REF!</v>
      </c>
      <c r="R102" s="24"/>
      <c r="S102" s="24" t="s">
        <v>78</v>
      </c>
      <c r="T102" s="24"/>
      <c r="U102" s="24"/>
      <c r="V102" s="24" t="s">
        <v>78</v>
      </c>
      <c r="W102" s="24"/>
      <c r="X102" s="31" t="e">
        <f aca="false">B102</f>
        <v>#REF!</v>
      </c>
      <c r="Y102" s="24"/>
      <c r="Z102" s="24" t="s">
        <v>78</v>
      </c>
      <c r="AA102" s="24"/>
      <c r="AB102" s="24"/>
      <c r="AC102" s="24"/>
      <c r="AD102" s="24"/>
      <c r="AE102" s="31" t="e">
        <f aca="false">B102</f>
        <v>#REF!</v>
      </c>
      <c r="AF102" s="24"/>
      <c r="AG102" s="24" t="s">
        <v>78</v>
      </c>
      <c r="AH102" s="24"/>
      <c r="AI102" s="24"/>
      <c r="AJ102" s="24"/>
      <c r="AK102" s="24"/>
      <c r="AL102" s="24" t="e">
        <f aca="false">B102</f>
        <v>#REF!</v>
      </c>
      <c r="AM102" s="24"/>
      <c r="AN102" s="24"/>
      <c r="AO102" s="24"/>
      <c r="AP102" s="24"/>
      <c r="AQ102" s="24"/>
      <c r="AR102" s="24"/>
      <c r="AS102" s="24" t="n">
        <f aca="false">COUNTIF(E102:AQ102,"H")</f>
        <v>5</v>
      </c>
      <c r="AT102" s="24" t="n">
        <f aca="false">COUNTIF(E102:AQ102,"I")</f>
        <v>0</v>
      </c>
      <c r="AU102" s="24" t="n">
        <f aca="false">COUNTIF(E102:AQ102,"TD")</f>
        <v>0</v>
      </c>
      <c r="AV102" s="24" t="n">
        <f aca="false">COUNTIF(E102:AQ102,"S")</f>
        <v>0</v>
      </c>
      <c r="AW102" s="24" t="n">
        <f aca="false">COUNTIF(E102:AQ102,"A")</f>
        <v>0</v>
      </c>
      <c r="AX102" s="24" t="e">
        <f aca="false">B102</f>
        <v>#REF!</v>
      </c>
    </row>
    <row r="103" customFormat="false" ht="15.75" hidden="false" customHeight="false" outlineLevel="0" collapsed="false">
      <c r="A103" s="19" t="s">
        <v>56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24"/>
      <c r="AS103" s="24"/>
      <c r="AT103" s="24"/>
      <c r="AU103" s="24"/>
      <c r="AV103" s="24"/>
      <c r="AW103" s="24"/>
      <c r="AX103" s="24"/>
    </row>
    <row r="104" customFormat="false" ht="15.75" hidden="false" customHeight="fals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24"/>
      <c r="AS104" s="24"/>
      <c r="AT104" s="24"/>
      <c r="AU104" s="24"/>
      <c r="AV104" s="24"/>
      <c r="AW104" s="24"/>
      <c r="AX104" s="24"/>
    </row>
    <row r="105" customFormat="false" ht="15.75" hidden="false" customHeight="fals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24"/>
      <c r="AS105" s="24"/>
      <c r="AT105" s="24"/>
      <c r="AU105" s="24"/>
      <c r="AV105" s="24"/>
      <c r="AW105" s="24"/>
      <c r="AX105" s="24"/>
    </row>
    <row r="106" customFormat="false" ht="15.75" hidden="false" customHeight="false" outlineLevel="0" collapsed="false">
      <c r="A106" s="32" t="s">
        <v>200</v>
      </c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</row>
    <row r="107" customFormat="false" ht="15.75" hidden="false" customHeight="false" outlineLevel="0" collapsed="false">
      <c r="A107" s="21" t="s">
        <v>1</v>
      </c>
      <c r="B107" s="21" t="s">
        <v>2</v>
      </c>
      <c r="C107" s="22"/>
      <c r="D107" s="33" t="s">
        <v>201</v>
      </c>
      <c r="E107" s="33"/>
      <c r="F107" s="33"/>
      <c r="G107" s="33"/>
      <c r="H107" s="33"/>
      <c r="I107" s="33"/>
      <c r="J107" s="34"/>
      <c r="K107" s="33" t="s">
        <v>202</v>
      </c>
      <c r="L107" s="33"/>
      <c r="M107" s="33"/>
      <c r="N107" s="33"/>
      <c r="O107" s="33"/>
      <c r="P107" s="33"/>
      <c r="Q107" s="34"/>
      <c r="R107" s="33" t="s">
        <v>203</v>
      </c>
      <c r="S107" s="33"/>
      <c r="T107" s="33"/>
      <c r="U107" s="33"/>
      <c r="V107" s="33"/>
      <c r="W107" s="33"/>
      <c r="X107" s="34"/>
      <c r="Y107" s="33" t="s">
        <v>204</v>
      </c>
      <c r="Z107" s="33"/>
      <c r="AA107" s="33"/>
      <c r="AB107" s="33"/>
      <c r="AC107" s="33"/>
      <c r="AD107" s="33"/>
      <c r="AE107" s="34"/>
      <c r="AF107" s="33" t="s">
        <v>205</v>
      </c>
      <c r="AG107" s="33"/>
      <c r="AH107" s="33"/>
      <c r="AI107" s="33"/>
      <c r="AJ107" s="33"/>
      <c r="AK107" s="33"/>
      <c r="AL107" s="34"/>
      <c r="AM107" s="33" t="s">
        <v>206</v>
      </c>
      <c r="AN107" s="33"/>
      <c r="AO107" s="33"/>
      <c r="AP107" s="33"/>
      <c r="AQ107" s="33"/>
      <c r="AR107" s="33"/>
      <c r="AS107" s="33" t="s">
        <v>65</v>
      </c>
      <c r="AT107" s="33"/>
      <c r="AU107" s="33"/>
      <c r="AV107" s="33"/>
      <c r="AW107" s="33"/>
      <c r="AX107" s="34"/>
    </row>
    <row r="108" customFormat="false" ht="15.75" hidden="false" customHeight="false" outlineLevel="0" collapsed="false">
      <c r="A108" s="21"/>
      <c r="B108" s="21"/>
      <c r="C108" s="28"/>
      <c r="D108" s="35" t="s">
        <v>89</v>
      </c>
      <c r="E108" s="35"/>
      <c r="F108" s="36" t="s">
        <v>68</v>
      </c>
      <c r="G108" s="35" t="s">
        <v>67</v>
      </c>
      <c r="H108" s="35"/>
      <c r="I108" s="36" t="s">
        <v>68</v>
      </c>
      <c r="J108" s="37"/>
      <c r="K108" s="35" t="s">
        <v>89</v>
      </c>
      <c r="L108" s="35"/>
      <c r="M108" s="36" t="s">
        <v>68</v>
      </c>
      <c r="N108" s="35" t="s">
        <v>69</v>
      </c>
      <c r="O108" s="35"/>
      <c r="P108" s="36" t="s">
        <v>68</v>
      </c>
      <c r="Q108" s="37"/>
      <c r="R108" s="35" t="s">
        <v>89</v>
      </c>
      <c r="S108" s="35"/>
      <c r="T108" s="36" t="s">
        <v>68</v>
      </c>
      <c r="U108" s="35" t="s">
        <v>69</v>
      </c>
      <c r="V108" s="35"/>
      <c r="W108" s="36" t="s">
        <v>68</v>
      </c>
      <c r="X108" s="37"/>
      <c r="Y108" s="35" t="s">
        <v>89</v>
      </c>
      <c r="Z108" s="35"/>
      <c r="AA108" s="36" t="s">
        <v>68</v>
      </c>
      <c r="AB108" s="35" t="s">
        <v>67</v>
      </c>
      <c r="AC108" s="35"/>
      <c r="AD108" s="36" t="s">
        <v>68</v>
      </c>
      <c r="AE108" s="37"/>
      <c r="AF108" s="35"/>
      <c r="AG108" s="35"/>
      <c r="AH108" s="36" t="s">
        <v>68</v>
      </c>
      <c r="AI108" s="35" t="s">
        <v>69</v>
      </c>
      <c r="AJ108" s="35"/>
      <c r="AK108" s="36" t="s">
        <v>68</v>
      </c>
      <c r="AL108" s="37"/>
      <c r="AM108" s="35" t="s">
        <v>89</v>
      </c>
      <c r="AN108" s="35"/>
      <c r="AO108" s="36" t="s">
        <v>68</v>
      </c>
      <c r="AP108" s="35" t="s">
        <v>69</v>
      </c>
      <c r="AQ108" s="35"/>
      <c r="AR108" s="36" t="s">
        <v>68</v>
      </c>
      <c r="AS108" s="36" t="s">
        <v>70</v>
      </c>
      <c r="AT108" s="36" t="s">
        <v>71</v>
      </c>
      <c r="AU108" s="36" t="s">
        <v>72</v>
      </c>
      <c r="AV108" s="36" t="s">
        <v>73</v>
      </c>
      <c r="AW108" s="36" t="s">
        <v>74</v>
      </c>
      <c r="AX108" s="37"/>
    </row>
    <row r="109" customFormat="false" ht="15.75" hidden="false" customHeight="false" outlineLevel="0" collapsed="false">
      <c r="A109" s="24" t="n">
        <v>1</v>
      </c>
      <c r="B109" s="31" t="str">
        <f aca="false">B7</f>
        <v>AYI KOSIM HATIMI</v>
      </c>
      <c r="C109" s="38" t="n">
        <f aca="false">C7</f>
        <v>30</v>
      </c>
      <c r="D109" s="24"/>
      <c r="E109" s="24" t="s">
        <v>79</v>
      </c>
      <c r="F109" s="24"/>
      <c r="G109" s="24"/>
      <c r="H109" s="24" t="s">
        <v>79</v>
      </c>
      <c r="I109" s="24"/>
      <c r="J109" s="31" t="str">
        <f aca="false">B109</f>
        <v>AYI KOSIM HATIMI</v>
      </c>
      <c r="K109" s="24" t="s">
        <v>207</v>
      </c>
      <c r="L109" s="24" t="s">
        <v>208</v>
      </c>
      <c r="M109" s="24" t="s">
        <v>76</v>
      </c>
      <c r="N109" s="24"/>
      <c r="O109" s="24"/>
      <c r="P109" s="24"/>
      <c r="Q109" s="31" t="str">
        <f aca="false">B109</f>
        <v>AYI KOSIM HATIMI</v>
      </c>
      <c r="R109" s="24" t="s">
        <v>209</v>
      </c>
      <c r="S109" s="24" t="s">
        <v>78</v>
      </c>
      <c r="T109" s="24" t="s">
        <v>76</v>
      </c>
      <c r="U109" s="24"/>
      <c r="V109" s="24"/>
      <c r="W109" s="24"/>
      <c r="X109" s="31" t="str">
        <f aca="false">B109</f>
        <v>AYI KOSIM HATIMI</v>
      </c>
      <c r="Y109" s="24"/>
      <c r="Z109" s="24" t="s">
        <v>79</v>
      </c>
      <c r="AA109" s="24"/>
      <c r="AB109" s="24"/>
      <c r="AC109" s="24" t="s">
        <v>79</v>
      </c>
      <c r="AD109" s="24"/>
      <c r="AE109" s="31" t="str">
        <f aca="false">B109</f>
        <v>AYI KOSIM HATIMI</v>
      </c>
      <c r="AF109" s="24"/>
      <c r="AG109" s="24" t="s">
        <v>78</v>
      </c>
      <c r="AH109" s="24"/>
      <c r="AI109" s="24"/>
      <c r="AJ109" s="24"/>
      <c r="AK109" s="24"/>
      <c r="AL109" s="24" t="str">
        <f aca="false">B109</f>
        <v>AYI KOSIM HATIMI</v>
      </c>
      <c r="AM109" s="24" t="s">
        <v>210</v>
      </c>
      <c r="AN109" s="24" t="s">
        <v>78</v>
      </c>
      <c r="AO109" s="24" t="s">
        <v>76</v>
      </c>
      <c r="AP109" s="24"/>
      <c r="AQ109" s="24"/>
      <c r="AR109" s="24"/>
      <c r="AS109" s="24" t="n">
        <f aca="false">COUNTIF(E109:AQ109,"H")</f>
        <v>3</v>
      </c>
      <c r="AT109" s="24" t="n">
        <f aca="false">COUNTIF(E109:AQ109,"I")</f>
        <v>0</v>
      </c>
      <c r="AU109" s="24" t="n">
        <f aca="false">COUNTIF(E109:AQ109,"TD")</f>
        <v>0</v>
      </c>
      <c r="AV109" s="24" t="n">
        <f aca="false">COUNTIF(E109:AQ109,"S")</f>
        <v>0</v>
      </c>
      <c r="AW109" s="24" t="n">
        <f aca="false">COUNTIF(E109:AQ109,"A")</f>
        <v>0</v>
      </c>
      <c r="AX109" s="24" t="str">
        <f aca="false">B109</f>
        <v>AYI KOSIM HATIMI</v>
      </c>
    </row>
    <row r="110" customFormat="false" ht="15.75" hidden="false" customHeight="false" outlineLevel="0" collapsed="false">
      <c r="A110" s="24" t="n">
        <v>2</v>
      </c>
      <c r="B110" s="31" t="str">
        <f aca="false">B8</f>
        <v>ABRURRAHMAN AFANDI</v>
      </c>
      <c r="C110" s="38" t="n">
        <f aca="false">C8</f>
        <v>30</v>
      </c>
      <c r="D110" s="24"/>
      <c r="E110" s="24" t="s">
        <v>81</v>
      </c>
      <c r="F110" s="24"/>
      <c r="G110" s="24"/>
      <c r="H110" s="24" t="s">
        <v>79</v>
      </c>
      <c r="I110" s="24"/>
      <c r="J110" s="31" t="str">
        <f aca="false">B110</f>
        <v>ABRURRAHMAN AFANDI</v>
      </c>
      <c r="K110" s="24" t="s">
        <v>211</v>
      </c>
      <c r="L110" s="24" t="s">
        <v>208</v>
      </c>
      <c r="M110" s="24" t="s">
        <v>76</v>
      </c>
      <c r="N110" s="24"/>
      <c r="O110" s="24"/>
      <c r="P110" s="24"/>
      <c r="Q110" s="31" t="str">
        <f aca="false">B110</f>
        <v>ABRURRAHMAN AFANDI</v>
      </c>
      <c r="R110" s="24"/>
      <c r="S110" s="24" t="s">
        <v>75</v>
      </c>
      <c r="T110" s="24"/>
      <c r="U110" s="24"/>
      <c r="V110" s="24"/>
      <c r="W110" s="24"/>
      <c r="X110" s="31" t="str">
        <f aca="false">B110</f>
        <v>ABRURRAHMAN AFANDI</v>
      </c>
      <c r="Y110" s="24"/>
      <c r="Z110" s="24" t="s">
        <v>79</v>
      </c>
      <c r="AA110" s="24"/>
      <c r="AB110" s="24"/>
      <c r="AC110" s="24" t="s">
        <v>79</v>
      </c>
      <c r="AD110" s="24"/>
      <c r="AE110" s="31" t="str">
        <f aca="false">B110</f>
        <v>ABRURRAHMAN AFANDI</v>
      </c>
      <c r="AF110" s="24"/>
      <c r="AG110" s="24" t="s">
        <v>75</v>
      </c>
      <c r="AH110" s="24"/>
      <c r="AI110" s="24"/>
      <c r="AJ110" s="24"/>
      <c r="AK110" s="24"/>
      <c r="AL110" s="24" t="str">
        <f aca="false">B110</f>
        <v>ABRURRAHMAN AFANDI</v>
      </c>
      <c r="AM110" s="24"/>
      <c r="AN110" s="24" t="s">
        <v>79</v>
      </c>
      <c r="AO110" s="24"/>
      <c r="AP110" s="24"/>
      <c r="AQ110" s="24"/>
      <c r="AR110" s="24"/>
      <c r="AS110" s="24" t="n">
        <f aca="false">COUNTIF(E110:AQ110,"H")</f>
        <v>0</v>
      </c>
      <c r="AT110" s="24" t="n">
        <f aca="false">COUNTIF(E110:AQ110,"I")</f>
        <v>0</v>
      </c>
      <c r="AU110" s="24" t="n">
        <f aca="false">COUNTIF(E110:AQ110,"TD")</f>
        <v>1</v>
      </c>
      <c r="AV110" s="24" t="n">
        <f aca="false">COUNTIF(E110:AQ110,"S")</f>
        <v>0</v>
      </c>
      <c r="AW110" s="24" t="n">
        <f aca="false">COUNTIF(E110:AQ110,"A")</f>
        <v>2</v>
      </c>
      <c r="AX110" s="24" t="str">
        <f aca="false">B110</f>
        <v>ABRURRAHMAN AFANDI</v>
      </c>
    </row>
    <row r="111" customFormat="false" ht="15.75" hidden="false" customHeight="false" outlineLevel="0" collapsed="false">
      <c r="A111" s="24" t="n">
        <v>3</v>
      </c>
      <c r="B111" s="31" t="str">
        <f aca="false">B9</f>
        <v>CECEP ABDULATIF</v>
      </c>
      <c r="C111" s="38" t="n">
        <f aca="false">C9</f>
        <v>30</v>
      </c>
      <c r="D111" s="24"/>
      <c r="E111" s="24" t="s">
        <v>81</v>
      </c>
      <c r="F111" s="24"/>
      <c r="G111" s="24"/>
      <c r="H111" s="24" t="s">
        <v>79</v>
      </c>
      <c r="I111" s="24"/>
      <c r="J111" s="31" t="str">
        <f aca="false">B111</f>
        <v>CECEP ABDULATIF</v>
      </c>
      <c r="K111" s="24"/>
      <c r="L111" s="24" t="s">
        <v>79</v>
      </c>
      <c r="M111" s="24"/>
      <c r="N111" s="24"/>
      <c r="O111" s="24"/>
      <c r="P111" s="24"/>
      <c r="Q111" s="31" t="str">
        <f aca="false">B111</f>
        <v>CECEP ABDULATIF</v>
      </c>
      <c r="R111" s="24"/>
      <c r="S111" s="24" t="s">
        <v>75</v>
      </c>
      <c r="T111" s="24"/>
      <c r="U111" s="24"/>
      <c r="V111" s="24"/>
      <c r="W111" s="24"/>
      <c r="X111" s="31" t="str">
        <f aca="false">B111</f>
        <v>CECEP ABDULATIF</v>
      </c>
      <c r="Y111" s="24"/>
      <c r="Z111" s="24" t="s">
        <v>75</v>
      </c>
      <c r="AA111" s="24"/>
      <c r="AB111" s="24"/>
      <c r="AC111" s="24" t="s">
        <v>212</v>
      </c>
      <c r="AD111" s="24"/>
      <c r="AE111" s="31" t="str">
        <f aca="false">B111</f>
        <v>CECEP ABDULATIF</v>
      </c>
      <c r="AF111" s="24"/>
      <c r="AG111" s="24" t="s">
        <v>75</v>
      </c>
      <c r="AH111" s="24"/>
      <c r="AI111" s="24"/>
      <c r="AJ111" s="24"/>
      <c r="AK111" s="24"/>
      <c r="AL111" s="24" t="str">
        <f aca="false">B111</f>
        <v>CECEP ABDULATIF</v>
      </c>
      <c r="AM111" s="24"/>
      <c r="AN111" s="24"/>
      <c r="AO111" s="24"/>
      <c r="AP111" s="24"/>
      <c r="AQ111" s="24"/>
      <c r="AR111" s="24"/>
      <c r="AS111" s="24" t="n">
        <f aca="false">COUNTIF(E111:AQ111,"H")</f>
        <v>0</v>
      </c>
      <c r="AT111" s="24" t="n">
        <f aca="false">COUNTIF(E111:AQ111,"I")</f>
        <v>0</v>
      </c>
      <c r="AU111" s="24" t="n">
        <f aca="false">COUNTIF(E111:AQ111,"TD")</f>
        <v>1</v>
      </c>
      <c r="AV111" s="24" t="n">
        <f aca="false">COUNTIF(E111:AQ111,"S")</f>
        <v>0</v>
      </c>
      <c r="AW111" s="24" t="n">
        <f aca="false">COUNTIF(E111:AQ111,"A")</f>
        <v>3</v>
      </c>
      <c r="AX111" s="24" t="str">
        <f aca="false">B111</f>
        <v>CECEP ABDULATIF</v>
      </c>
    </row>
    <row r="112" customFormat="false" ht="15.75" hidden="false" customHeight="false" outlineLevel="0" collapsed="false">
      <c r="A112" s="24" t="n">
        <v>4</v>
      </c>
      <c r="B112" s="31" t="str">
        <f aca="false">B10</f>
        <v>DONI SUPRIATNA</v>
      </c>
      <c r="C112" s="38" t="n">
        <f aca="false">C10</f>
        <v>30</v>
      </c>
      <c r="D112" s="24"/>
      <c r="E112" s="24" t="s">
        <v>77</v>
      </c>
      <c r="F112" s="24"/>
      <c r="G112" s="24"/>
      <c r="H112" s="24" t="s">
        <v>77</v>
      </c>
      <c r="I112" s="24"/>
      <c r="J112" s="31" t="str">
        <f aca="false">B112</f>
        <v>DONI SUPRIATNA</v>
      </c>
      <c r="K112" s="24"/>
      <c r="L112" s="24" t="s">
        <v>77</v>
      </c>
      <c r="M112" s="24"/>
      <c r="N112" s="24"/>
      <c r="O112" s="24"/>
      <c r="P112" s="24"/>
      <c r="Q112" s="31" t="str">
        <f aca="false">B112</f>
        <v>DONI SUPRIATNA</v>
      </c>
      <c r="R112" s="24"/>
      <c r="S112" s="24" t="s">
        <v>97</v>
      </c>
      <c r="T112" s="24"/>
      <c r="U112" s="24"/>
      <c r="V112" s="24"/>
      <c r="W112" s="24"/>
      <c r="X112" s="31" t="str">
        <f aca="false">B112</f>
        <v>DONI SUPRIATNA</v>
      </c>
      <c r="Y112" s="24"/>
      <c r="Z112" s="24" t="s">
        <v>212</v>
      </c>
      <c r="AA112" s="24"/>
      <c r="AB112" s="24"/>
      <c r="AC112" s="24" t="s">
        <v>212</v>
      </c>
      <c r="AD112" s="24"/>
      <c r="AE112" s="31" t="str">
        <f aca="false">B112</f>
        <v>DONI SUPRIATNA</v>
      </c>
      <c r="AF112" s="24"/>
      <c r="AG112" s="24" t="s">
        <v>212</v>
      </c>
      <c r="AH112" s="24"/>
      <c r="AI112" s="24"/>
      <c r="AJ112" s="24"/>
      <c r="AK112" s="24"/>
      <c r="AL112" s="24" t="str">
        <f aca="false">B112</f>
        <v>DONI SUPRIATNA</v>
      </c>
      <c r="AM112" s="24"/>
      <c r="AN112" s="24" t="s">
        <v>75</v>
      </c>
      <c r="AO112" s="24"/>
      <c r="AP112" s="24"/>
      <c r="AQ112" s="24"/>
      <c r="AR112" s="24"/>
      <c r="AS112" s="24" t="n">
        <f aca="false">COUNTIF(E112:AQ112,"H")</f>
        <v>0</v>
      </c>
      <c r="AT112" s="24" t="n">
        <f aca="false">COUNTIF(E112:AQ112,"I")</f>
        <v>1</v>
      </c>
      <c r="AU112" s="24" t="n">
        <f aca="false">COUNTIF(E112:AQ112,"TD")</f>
        <v>0</v>
      </c>
      <c r="AV112" s="24" t="n">
        <f aca="false">COUNTIF(E112:AQ112,"S")</f>
        <v>0</v>
      </c>
      <c r="AW112" s="24" t="n">
        <f aca="false">COUNTIF(E112:AQ112,"A")</f>
        <v>1</v>
      </c>
      <c r="AX112" s="24" t="str">
        <f aca="false">B112</f>
        <v>DONI SUPRIATNA</v>
      </c>
    </row>
    <row r="113" customFormat="false" ht="15.75" hidden="false" customHeight="false" outlineLevel="0" collapsed="false">
      <c r="A113" s="24" t="n">
        <v>5</v>
      </c>
      <c r="B113" s="31" t="e">
        <f aca="false">B11</f>
        <v>#REF!</v>
      </c>
      <c r="C113" s="38" t="e">
        <f aca="false">C11</f>
        <v>#REF!</v>
      </c>
      <c r="D113" s="24"/>
      <c r="E113" s="24" t="s">
        <v>79</v>
      </c>
      <c r="F113" s="24"/>
      <c r="G113" s="24" t="s">
        <v>213</v>
      </c>
      <c r="H113" s="24" t="s">
        <v>78</v>
      </c>
      <c r="I113" s="24" t="s">
        <v>76</v>
      </c>
      <c r="J113" s="31" t="e">
        <f aca="false">B113</f>
        <v>#REF!</v>
      </c>
      <c r="K113" s="38"/>
      <c r="L113" s="24" t="s">
        <v>79</v>
      </c>
      <c r="M113" s="24"/>
      <c r="N113" s="24"/>
      <c r="O113" s="24"/>
      <c r="P113" s="24"/>
      <c r="Q113" s="31" t="e">
        <f aca="false">B113</f>
        <v>#REF!</v>
      </c>
      <c r="R113" s="24"/>
      <c r="S113" s="24" t="s">
        <v>79</v>
      </c>
      <c r="T113" s="24"/>
      <c r="U113" s="24"/>
      <c r="V113" s="24"/>
      <c r="W113" s="24"/>
      <c r="X113" s="31" t="e">
        <f aca="false">B113</f>
        <v>#REF!</v>
      </c>
      <c r="Y113" s="24" t="s">
        <v>214</v>
      </c>
      <c r="Z113" s="24" t="s">
        <v>208</v>
      </c>
      <c r="AA113" s="24" t="s">
        <v>76</v>
      </c>
      <c r="AB113" s="24"/>
      <c r="AC113" s="24" t="s">
        <v>208</v>
      </c>
      <c r="AD113" s="24"/>
      <c r="AE113" s="31" t="e">
        <f aca="false">B113</f>
        <v>#REF!</v>
      </c>
      <c r="AF113" s="24"/>
      <c r="AG113" s="24" t="s">
        <v>75</v>
      </c>
      <c r="AH113" s="24"/>
      <c r="AI113" s="24"/>
      <c r="AJ113" s="24"/>
      <c r="AK113" s="24"/>
      <c r="AL113" s="24" t="e">
        <f aca="false">B113</f>
        <v>#REF!</v>
      </c>
      <c r="AM113" s="24" t="s">
        <v>215</v>
      </c>
      <c r="AN113" s="24" t="s">
        <v>208</v>
      </c>
      <c r="AO113" s="24" t="s">
        <v>76</v>
      </c>
      <c r="AP113" s="24"/>
      <c r="AQ113" s="24"/>
      <c r="AR113" s="24"/>
      <c r="AS113" s="24" t="n">
        <f aca="false">COUNTIF(E113:AQ113,"H")</f>
        <v>1</v>
      </c>
      <c r="AT113" s="24" t="n">
        <f aca="false">COUNTIF(E113:AQ113,"I")</f>
        <v>0</v>
      </c>
      <c r="AU113" s="24" t="n">
        <f aca="false">COUNTIF(E113:AQ113,"TD")</f>
        <v>0</v>
      </c>
      <c r="AV113" s="24" t="n">
        <f aca="false">COUNTIF(E113:AQ113,"S")</f>
        <v>0</v>
      </c>
      <c r="AW113" s="24" t="n">
        <f aca="false">COUNTIF(E113:AQ113,"A")</f>
        <v>1</v>
      </c>
      <c r="AX113" s="24" t="e">
        <f aca="false">B113</f>
        <v>#REF!</v>
      </c>
    </row>
    <row r="114" customFormat="false" ht="15.75" hidden="false" customHeight="false" outlineLevel="0" collapsed="false">
      <c r="A114" s="24" t="n">
        <v>6</v>
      </c>
      <c r="B114" s="31" t="str">
        <f aca="false">B12</f>
        <v>ZAKY AZHARI</v>
      </c>
      <c r="C114" s="38" t="n">
        <f aca="false">C12</f>
        <v>30</v>
      </c>
      <c r="D114" s="24"/>
      <c r="E114" s="24" t="s">
        <v>79</v>
      </c>
      <c r="F114" s="24"/>
      <c r="G114" s="24"/>
      <c r="H114" s="24" t="s">
        <v>79</v>
      </c>
      <c r="I114" s="24"/>
      <c r="J114" s="31" t="str">
        <f aca="false">B114</f>
        <v>ZAKY AZHARI</v>
      </c>
      <c r="K114" s="24"/>
      <c r="L114" s="24" t="s">
        <v>79</v>
      </c>
      <c r="M114" s="24"/>
      <c r="N114" s="24"/>
      <c r="O114" s="24"/>
      <c r="P114" s="24"/>
      <c r="Q114" s="31" t="str">
        <f aca="false">B114</f>
        <v>ZAKY AZHARI</v>
      </c>
      <c r="R114" s="24"/>
      <c r="S114" s="24" t="s">
        <v>97</v>
      </c>
      <c r="T114" s="24"/>
      <c r="U114" s="24"/>
      <c r="V114" s="24"/>
      <c r="W114" s="24"/>
      <c r="X114" s="31" t="str">
        <f aca="false">B114</f>
        <v>ZAKY AZHARI</v>
      </c>
      <c r="Y114" s="24"/>
      <c r="Z114" s="24" t="s">
        <v>212</v>
      </c>
      <c r="AA114" s="24"/>
      <c r="AB114" s="24"/>
      <c r="AC114" s="24" t="s">
        <v>212</v>
      </c>
      <c r="AD114" s="24"/>
      <c r="AE114" s="31" t="str">
        <f aca="false">B114</f>
        <v>ZAKY AZHARI</v>
      </c>
      <c r="AF114" s="24"/>
      <c r="AG114" s="24" t="s">
        <v>212</v>
      </c>
      <c r="AH114" s="24"/>
      <c r="AI114" s="24"/>
      <c r="AJ114" s="24"/>
      <c r="AK114" s="24"/>
      <c r="AL114" s="24" t="str">
        <f aca="false">B114</f>
        <v>ZAKY AZHARI</v>
      </c>
      <c r="AM114" s="24"/>
      <c r="AN114" s="24" t="s">
        <v>212</v>
      </c>
      <c r="AO114" s="24"/>
      <c r="AP114" s="24"/>
      <c r="AQ114" s="24"/>
      <c r="AR114" s="24"/>
      <c r="AS114" s="24" t="n">
        <f aca="false">COUNTIF(E114:AQ114,"H")</f>
        <v>0</v>
      </c>
      <c r="AT114" s="24" t="n">
        <f aca="false">COUNTIF(E114:AQ114,"I")</f>
        <v>1</v>
      </c>
      <c r="AU114" s="24" t="n">
        <f aca="false">COUNTIF(E114:AQ114,"TD")</f>
        <v>0</v>
      </c>
      <c r="AV114" s="24" t="n">
        <f aca="false">COUNTIF(E114:AQ114,"S")</f>
        <v>0</v>
      </c>
      <c r="AW114" s="24" t="n">
        <f aca="false">COUNTIF(E114:AQ114,"A")</f>
        <v>0</v>
      </c>
      <c r="AX114" s="24" t="str">
        <f aca="false">B114</f>
        <v>ZAKY AZHARI</v>
      </c>
    </row>
    <row r="115" customFormat="false" ht="15.75" hidden="false" customHeight="false" outlineLevel="0" collapsed="false">
      <c r="A115" s="24" t="n">
        <v>7</v>
      </c>
      <c r="B115" s="31" t="str">
        <f aca="false">B13</f>
        <v>MUHAMMAD FAUZIL ADZIM</v>
      </c>
      <c r="C115" s="38" t="n">
        <f aca="false">C13</f>
        <v>30</v>
      </c>
      <c r="D115" s="24"/>
      <c r="E115" s="24" t="s">
        <v>79</v>
      </c>
      <c r="F115" s="24"/>
      <c r="G115" s="24" t="s">
        <v>216</v>
      </c>
      <c r="H115" s="24" t="s">
        <v>78</v>
      </c>
      <c r="I115" s="24" t="s">
        <v>76</v>
      </c>
      <c r="J115" s="31" t="str">
        <f aca="false">B115</f>
        <v>MUHAMMAD FAUZIL ADZIM</v>
      </c>
      <c r="K115" s="24"/>
      <c r="L115" s="24" t="s">
        <v>79</v>
      </c>
      <c r="M115" s="24"/>
      <c r="N115" s="24"/>
      <c r="O115" s="24"/>
      <c r="P115" s="24"/>
      <c r="Q115" s="31" t="str">
        <f aca="false">B115</f>
        <v>MUHAMMAD FAUZIL ADZIM</v>
      </c>
      <c r="R115" s="24"/>
      <c r="S115" s="24" t="s">
        <v>79</v>
      </c>
      <c r="T115" s="24"/>
      <c r="U115" s="24"/>
      <c r="V115" s="24"/>
      <c r="W115" s="24"/>
      <c r="X115" s="31" t="str">
        <f aca="false">B115</f>
        <v>MUHAMMAD FAUZIL ADZIM</v>
      </c>
      <c r="Y115" s="24"/>
      <c r="Z115" s="24" t="s">
        <v>208</v>
      </c>
      <c r="AA115" s="24"/>
      <c r="AB115" s="24"/>
      <c r="AC115" s="24" t="s">
        <v>79</v>
      </c>
      <c r="AD115" s="24"/>
      <c r="AE115" s="31" t="str">
        <f aca="false">B115</f>
        <v>MUHAMMAD FAUZIL ADZIM</v>
      </c>
      <c r="AF115" s="24"/>
      <c r="AG115" s="24" t="s">
        <v>78</v>
      </c>
      <c r="AH115" s="24"/>
      <c r="AI115" s="24"/>
      <c r="AJ115" s="24"/>
      <c r="AK115" s="24"/>
      <c r="AL115" s="24" t="str">
        <f aca="false">B115</f>
        <v>MUHAMMAD FAUZIL ADZIM</v>
      </c>
      <c r="AM115" s="24"/>
      <c r="AN115" s="24" t="s">
        <v>78</v>
      </c>
      <c r="AO115" s="24"/>
      <c r="AP115" s="24"/>
      <c r="AQ115" s="24"/>
      <c r="AR115" s="24"/>
      <c r="AS115" s="24" t="n">
        <f aca="false">COUNTIF(E115:AQ115,"H")</f>
        <v>3</v>
      </c>
      <c r="AT115" s="24" t="n">
        <f aca="false">COUNTIF(E115:AQ115,"I")</f>
        <v>0</v>
      </c>
      <c r="AU115" s="24" t="n">
        <f aca="false">COUNTIF(E115:AQ115,"TD")</f>
        <v>0</v>
      </c>
      <c r="AV115" s="24" t="n">
        <f aca="false">COUNTIF(E115:AQ115,"S")</f>
        <v>0</v>
      </c>
      <c r="AW115" s="24" t="n">
        <f aca="false">COUNTIF(E115:AQ115,"A")</f>
        <v>0</v>
      </c>
      <c r="AX115" s="24" t="str">
        <f aca="false">B115</f>
        <v>MUHAMMAD FAUZIL ADZIM</v>
      </c>
    </row>
    <row r="116" customFormat="false" ht="15.75" hidden="false" customHeight="false" outlineLevel="0" collapsed="false">
      <c r="A116" s="24" t="n">
        <v>8</v>
      </c>
      <c r="B116" s="31" t="str">
        <f aca="false">B14</f>
        <v>MUHAMMAD DZIKRI HUSAENI</v>
      </c>
      <c r="C116" s="38" t="n">
        <f aca="false">C14</f>
        <v>18</v>
      </c>
      <c r="D116" s="24" t="s">
        <v>217</v>
      </c>
      <c r="E116" s="24" t="s">
        <v>78</v>
      </c>
      <c r="F116" s="24" t="s">
        <v>76</v>
      </c>
      <c r="G116" s="24" t="s">
        <v>218</v>
      </c>
      <c r="H116" s="24" t="s">
        <v>78</v>
      </c>
      <c r="I116" s="24" t="s">
        <v>76</v>
      </c>
      <c r="J116" s="31" t="str">
        <f aca="false">B116</f>
        <v>MUHAMMAD DZIKRI HUSAENI</v>
      </c>
      <c r="K116" s="24" t="s">
        <v>219</v>
      </c>
      <c r="L116" s="24" t="s">
        <v>78</v>
      </c>
      <c r="M116" s="24" t="s">
        <v>76</v>
      </c>
      <c r="N116" s="24"/>
      <c r="O116" s="24"/>
      <c r="P116" s="24"/>
      <c r="Q116" s="31" t="str">
        <f aca="false">B116</f>
        <v>MUHAMMAD DZIKRI HUSAENI</v>
      </c>
      <c r="R116" s="24"/>
      <c r="S116" s="24" t="s">
        <v>79</v>
      </c>
      <c r="T116" s="24"/>
      <c r="U116" s="24"/>
      <c r="V116" s="24"/>
      <c r="W116" s="24"/>
      <c r="X116" s="31" t="str">
        <f aca="false">B116</f>
        <v>MUHAMMAD DZIKRI HUSAENI</v>
      </c>
      <c r="Y116" s="24"/>
      <c r="Z116" s="24" t="s">
        <v>208</v>
      </c>
      <c r="AA116" s="24"/>
      <c r="AB116" s="24" t="s">
        <v>220</v>
      </c>
      <c r="AC116" s="24" t="s">
        <v>208</v>
      </c>
      <c r="AD116" s="24" t="s">
        <v>76</v>
      </c>
      <c r="AE116" s="31" t="str">
        <f aca="false">B116</f>
        <v>MUHAMMAD DZIKRI HUSAENI</v>
      </c>
      <c r="AF116" s="24" t="s">
        <v>221</v>
      </c>
      <c r="AG116" s="24" t="s">
        <v>78</v>
      </c>
      <c r="AH116" s="24" t="s">
        <v>76</v>
      </c>
      <c r="AI116" s="24"/>
      <c r="AJ116" s="24"/>
      <c r="AK116" s="24"/>
      <c r="AL116" s="24" t="str">
        <f aca="false">B116</f>
        <v>MUHAMMAD DZIKRI HUSAENI</v>
      </c>
      <c r="AM116" s="24" t="s">
        <v>222</v>
      </c>
      <c r="AN116" s="24" t="s">
        <v>78</v>
      </c>
      <c r="AO116" s="24" t="s">
        <v>76</v>
      </c>
      <c r="AP116" s="24"/>
      <c r="AQ116" s="24"/>
      <c r="AR116" s="24"/>
      <c r="AS116" s="24" t="n">
        <f aca="false">COUNTIF(E116:AQ116,"H")</f>
        <v>5</v>
      </c>
      <c r="AT116" s="24" t="n">
        <f aca="false">COUNTIF(E116:AQ116,"I")</f>
        <v>0</v>
      </c>
      <c r="AU116" s="24" t="n">
        <f aca="false">COUNTIF(E116:AQ116,"TD")</f>
        <v>0</v>
      </c>
      <c r="AV116" s="24" t="n">
        <f aca="false">COUNTIF(E116:AQ116,"S")</f>
        <v>0</v>
      </c>
      <c r="AW116" s="24" t="n">
        <f aca="false">COUNTIF(E116:AQ116,"A")</f>
        <v>0</v>
      </c>
      <c r="AX116" s="24" t="str">
        <f aca="false">B116</f>
        <v>MUHAMMAD DZIKRI HUSAENI</v>
      </c>
    </row>
    <row r="117" customFormat="false" ht="15.75" hidden="false" customHeight="false" outlineLevel="0" collapsed="false">
      <c r="A117" s="24" t="n">
        <v>9</v>
      </c>
      <c r="B117" s="31" t="e">
        <f aca="false">B15</f>
        <v>#REF!</v>
      </c>
      <c r="C117" s="38" t="e">
        <f aca="false">C15</f>
        <v>#REF!</v>
      </c>
      <c r="D117" s="24" t="s">
        <v>223</v>
      </c>
      <c r="E117" s="24" t="s">
        <v>78</v>
      </c>
      <c r="F117" s="24" t="s">
        <v>76</v>
      </c>
      <c r="G117" s="24" t="s">
        <v>224</v>
      </c>
      <c r="H117" s="24" t="s">
        <v>78</v>
      </c>
      <c r="I117" s="24" t="s">
        <v>76</v>
      </c>
      <c r="J117" s="31" t="e">
        <f aca="false">B117</f>
        <v>#REF!</v>
      </c>
      <c r="K117" s="24" t="s">
        <v>225</v>
      </c>
      <c r="L117" s="24" t="s">
        <v>78</v>
      </c>
      <c r="M117" s="24" t="s">
        <v>76</v>
      </c>
      <c r="N117" s="24"/>
      <c r="O117" s="24"/>
      <c r="P117" s="24"/>
      <c r="Q117" s="31" t="e">
        <f aca="false">B117</f>
        <v>#REF!</v>
      </c>
      <c r="R117" s="24"/>
      <c r="S117" s="24" t="s">
        <v>79</v>
      </c>
      <c r="T117" s="24"/>
      <c r="U117" s="24"/>
      <c r="V117" s="24"/>
      <c r="W117" s="24"/>
      <c r="X117" s="31" t="e">
        <f aca="false">B117</f>
        <v>#REF!</v>
      </c>
      <c r="Y117" s="24"/>
      <c r="Z117" s="24" t="s">
        <v>75</v>
      </c>
      <c r="AA117" s="24"/>
      <c r="AB117" s="24"/>
      <c r="AC117" s="24" t="s">
        <v>79</v>
      </c>
      <c r="AD117" s="24"/>
      <c r="AE117" s="31" t="e">
        <f aca="false">B117</f>
        <v>#REF!</v>
      </c>
      <c r="AF117" s="24"/>
      <c r="AG117" s="24" t="s">
        <v>75</v>
      </c>
      <c r="AH117" s="24"/>
      <c r="AI117" s="24"/>
      <c r="AJ117" s="24"/>
      <c r="AK117" s="24"/>
      <c r="AL117" s="24" t="e">
        <f aca="false">B117</f>
        <v>#REF!</v>
      </c>
      <c r="AM117" s="24" t="s">
        <v>226</v>
      </c>
      <c r="AN117" s="24" t="s">
        <v>78</v>
      </c>
      <c r="AO117" s="24" t="s">
        <v>76</v>
      </c>
      <c r="AP117" s="24"/>
      <c r="AQ117" s="24"/>
      <c r="AR117" s="24"/>
      <c r="AS117" s="24" t="n">
        <f aca="false">COUNTIF(E117:AQ117,"H")</f>
        <v>4</v>
      </c>
      <c r="AT117" s="24" t="n">
        <f aca="false">COUNTIF(E117:AQ117,"I")</f>
        <v>0</v>
      </c>
      <c r="AU117" s="24" t="n">
        <f aca="false">COUNTIF(E117:AQ117,"TD")</f>
        <v>0</v>
      </c>
      <c r="AV117" s="24" t="n">
        <f aca="false">COUNTIF(E117:AQ117,"S")</f>
        <v>0</v>
      </c>
      <c r="AW117" s="24" t="n">
        <f aca="false">COUNTIF(E117:AQ117,"A")</f>
        <v>2</v>
      </c>
      <c r="AX117" s="24" t="e">
        <f aca="false">B117</f>
        <v>#REF!</v>
      </c>
    </row>
    <row r="118" customFormat="false" ht="15.75" hidden="false" customHeight="false" outlineLevel="0" collapsed="false">
      <c r="A118" s="24" t="n">
        <v>10</v>
      </c>
      <c r="B118" s="31" t="str">
        <f aca="false">B16</f>
        <v>ABDUL KHOLIQ</v>
      </c>
      <c r="C118" s="38" t="n">
        <f aca="false">C16</f>
        <v>14</v>
      </c>
      <c r="D118" s="24"/>
      <c r="E118" s="24" t="s">
        <v>79</v>
      </c>
      <c r="F118" s="24"/>
      <c r="G118" s="24"/>
      <c r="H118" s="24" t="s">
        <v>78</v>
      </c>
      <c r="I118" s="24"/>
      <c r="J118" s="31" t="str">
        <f aca="false">B118</f>
        <v>ABDUL KHOLIQ</v>
      </c>
      <c r="K118" s="24" t="s">
        <v>227</v>
      </c>
      <c r="L118" s="24" t="s">
        <v>208</v>
      </c>
      <c r="M118" s="24" t="s">
        <v>76</v>
      </c>
      <c r="N118" s="24"/>
      <c r="O118" s="24"/>
      <c r="P118" s="24"/>
      <c r="Q118" s="31" t="str">
        <f aca="false">B118</f>
        <v>ABDUL KHOLIQ</v>
      </c>
      <c r="R118" s="24"/>
      <c r="S118" s="24" t="s">
        <v>97</v>
      </c>
      <c r="T118" s="24"/>
      <c r="U118" s="24"/>
      <c r="V118" s="24"/>
      <c r="W118" s="24"/>
      <c r="X118" s="31" t="str">
        <f aca="false">B118</f>
        <v>ABDUL KHOLIQ</v>
      </c>
      <c r="Y118" s="24"/>
      <c r="Z118" s="24" t="s">
        <v>212</v>
      </c>
      <c r="AA118" s="24"/>
      <c r="AB118" s="24"/>
      <c r="AC118" s="24" t="s">
        <v>212</v>
      </c>
      <c r="AD118" s="24"/>
      <c r="AE118" s="31" t="str">
        <f aca="false">B118</f>
        <v>ABDUL KHOLIQ</v>
      </c>
      <c r="AF118" s="24"/>
      <c r="AG118" s="24" t="s">
        <v>212</v>
      </c>
      <c r="AH118" s="24"/>
      <c r="AI118" s="24"/>
      <c r="AJ118" s="24"/>
      <c r="AK118" s="24"/>
      <c r="AL118" s="24" t="str">
        <f aca="false">B118</f>
        <v>ABDUL KHOLIQ</v>
      </c>
      <c r="AM118" s="24"/>
      <c r="AN118" s="24" t="s">
        <v>212</v>
      </c>
      <c r="AO118" s="24"/>
      <c r="AP118" s="24"/>
      <c r="AQ118" s="24"/>
      <c r="AR118" s="24"/>
      <c r="AS118" s="24" t="n">
        <f aca="false">COUNTIF(E118:AQ118,"H")</f>
        <v>1</v>
      </c>
      <c r="AT118" s="24" t="n">
        <f aca="false">COUNTIF(E118:AQ118,"I")</f>
        <v>1</v>
      </c>
      <c r="AU118" s="24" t="n">
        <f aca="false">COUNTIF(E118:AQ118,"TD")</f>
        <v>0</v>
      </c>
      <c r="AV118" s="24" t="n">
        <f aca="false">COUNTIF(E118:AQ118,"S")</f>
        <v>0</v>
      </c>
      <c r="AW118" s="24" t="n">
        <f aca="false">COUNTIF(E118:AQ118,"A")</f>
        <v>0</v>
      </c>
      <c r="AX118" s="24" t="str">
        <f aca="false">B118</f>
        <v>ABDUL KHOLIQ</v>
      </c>
    </row>
    <row r="119" customFormat="false" ht="15.75" hidden="false" customHeight="false" outlineLevel="0" collapsed="false">
      <c r="A119" s="24" t="n">
        <v>11</v>
      </c>
      <c r="B119" s="31" t="str">
        <f aca="false">B17</f>
        <v>IYAN FARID</v>
      </c>
      <c r="C119" s="38" t="n">
        <f aca="false">C17</f>
        <v>13</v>
      </c>
      <c r="D119" s="24"/>
      <c r="E119" s="24" t="s">
        <v>79</v>
      </c>
      <c r="F119" s="24"/>
      <c r="G119" s="24"/>
      <c r="H119" s="24" t="s">
        <v>78</v>
      </c>
      <c r="I119" s="24"/>
      <c r="J119" s="31" t="str">
        <f aca="false">B119</f>
        <v>IYAN FARID</v>
      </c>
      <c r="K119" s="24" t="s">
        <v>228</v>
      </c>
      <c r="L119" s="24" t="s">
        <v>78</v>
      </c>
      <c r="M119" s="24" t="s">
        <v>76</v>
      </c>
      <c r="N119" s="24"/>
      <c r="O119" s="24"/>
      <c r="P119" s="24"/>
      <c r="Q119" s="31" t="str">
        <f aca="false">B119</f>
        <v>IYAN FARID</v>
      </c>
      <c r="R119" s="24"/>
      <c r="S119" s="24" t="s">
        <v>97</v>
      </c>
      <c r="T119" s="24"/>
      <c r="U119" s="24"/>
      <c r="V119" s="24"/>
      <c r="W119" s="24"/>
      <c r="X119" s="31" t="str">
        <f aca="false">B119</f>
        <v>IYAN FARID</v>
      </c>
      <c r="Y119" s="24"/>
      <c r="Z119" s="24" t="s">
        <v>75</v>
      </c>
      <c r="AA119" s="24"/>
      <c r="AB119" s="24"/>
      <c r="AC119" s="24" t="s">
        <v>212</v>
      </c>
      <c r="AD119" s="24"/>
      <c r="AE119" s="31" t="str">
        <f aca="false">B119</f>
        <v>IYAN FARID</v>
      </c>
      <c r="AF119" s="24"/>
      <c r="AG119" s="24" t="s">
        <v>212</v>
      </c>
      <c r="AH119" s="24"/>
      <c r="AI119" s="24"/>
      <c r="AJ119" s="24"/>
      <c r="AK119" s="24"/>
      <c r="AL119" s="24" t="str">
        <f aca="false">B119</f>
        <v>IYAN FARID</v>
      </c>
      <c r="AM119" s="24"/>
      <c r="AN119" s="24" t="s">
        <v>212</v>
      </c>
      <c r="AO119" s="24"/>
      <c r="AP119" s="24"/>
      <c r="AQ119" s="24"/>
      <c r="AR119" s="24"/>
      <c r="AS119" s="24" t="n">
        <f aca="false">COUNTIF(E119:AQ119,"H")</f>
        <v>2</v>
      </c>
      <c r="AT119" s="24" t="n">
        <f aca="false">COUNTIF(E119:AQ119,"I")</f>
        <v>1</v>
      </c>
      <c r="AU119" s="24" t="n">
        <f aca="false">COUNTIF(E119:AQ119,"TD")</f>
        <v>0</v>
      </c>
      <c r="AV119" s="24" t="n">
        <f aca="false">COUNTIF(E119:AQ119,"S")</f>
        <v>0</v>
      </c>
      <c r="AW119" s="24" t="n">
        <f aca="false">COUNTIF(E119:AQ119,"A")</f>
        <v>1</v>
      </c>
      <c r="AX119" s="24" t="str">
        <f aca="false">B119</f>
        <v>IYAN FARID</v>
      </c>
    </row>
    <row r="120" customFormat="false" ht="15.75" hidden="false" customHeight="false" outlineLevel="0" collapsed="false">
      <c r="A120" s="24" t="n">
        <v>12</v>
      </c>
      <c r="B120" s="31" t="str">
        <f aca="false">B18</f>
        <v>ZAENI NURIL HIKAM</v>
      </c>
      <c r="C120" s="38" t="n">
        <f aca="false">C18</f>
        <v>12</v>
      </c>
      <c r="D120" s="24"/>
      <c r="E120" s="24" t="s">
        <v>79</v>
      </c>
      <c r="F120" s="24"/>
      <c r="G120" s="24"/>
      <c r="H120" s="24" t="s">
        <v>79</v>
      </c>
      <c r="I120" s="24"/>
      <c r="J120" s="31" t="str">
        <f aca="false">B120</f>
        <v>ZAENI NURIL HIKAM</v>
      </c>
      <c r="K120" s="24"/>
      <c r="L120" s="24" t="s">
        <v>79</v>
      </c>
      <c r="M120" s="24"/>
      <c r="N120" s="24"/>
      <c r="O120" s="24"/>
      <c r="P120" s="24"/>
      <c r="Q120" s="31" t="str">
        <f aca="false">B120</f>
        <v>ZAENI NURIL HIKAM</v>
      </c>
      <c r="R120" s="24" t="s">
        <v>229</v>
      </c>
      <c r="S120" s="24"/>
      <c r="T120" s="24" t="s">
        <v>76</v>
      </c>
      <c r="U120" s="24"/>
      <c r="V120" s="24"/>
      <c r="W120" s="24"/>
      <c r="X120" s="31" t="str">
        <f aca="false">B120</f>
        <v>ZAENI NURIL HIKAM</v>
      </c>
      <c r="Y120" s="24"/>
      <c r="Z120" s="24" t="s">
        <v>79</v>
      </c>
      <c r="AA120" s="24"/>
      <c r="AB120" s="24"/>
      <c r="AC120" s="24" t="s">
        <v>212</v>
      </c>
      <c r="AD120" s="24"/>
      <c r="AE120" s="31" t="str">
        <f aca="false">B120</f>
        <v>ZAENI NURIL HIKAM</v>
      </c>
      <c r="AF120" s="24"/>
      <c r="AG120" s="24" t="s">
        <v>212</v>
      </c>
      <c r="AH120" s="24"/>
      <c r="AI120" s="24"/>
      <c r="AJ120" s="24"/>
      <c r="AK120" s="24"/>
      <c r="AL120" s="24" t="str">
        <f aca="false">B120</f>
        <v>ZAENI NURIL HIKAM</v>
      </c>
      <c r="AM120" s="24"/>
      <c r="AN120" s="24"/>
      <c r="AO120" s="24"/>
      <c r="AP120" s="24"/>
      <c r="AQ120" s="24"/>
      <c r="AR120" s="24"/>
      <c r="AS120" s="24" t="n">
        <f aca="false">COUNTIF(E120:AQ120,"H")</f>
        <v>0</v>
      </c>
      <c r="AT120" s="24" t="n">
        <f aca="false">COUNTIF(E120:AQ120,"I")</f>
        <v>0</v>
      </c>
      <c r="AU120" s="24" t="n">
        <f aca="false">COUNTIF(E120:AQ120,"TD")</f>
        <v>0</v>
      </c>
      <c r="AV120" s="24" t="n">
        <f aca="false">COUNTIF(E120:AQ120,"S")</f>
        <v>0</v>
      </c>
      <c r="AW120" s="24" t="n">
        <f aca="false">COUNTIF(E120:AQ120,"A")</f>
        <v>0</v>
      </c>
      <c r="AX120" s="24" t="str">
        <f aca="false">B120</f>
        <v>ZAENI NURIL HIKAM</v>
      </c>
    </row>
    <row r="121" customFormat="false" ht="15.75" hidden="false" customHeight="false" outlineLevel="0" collapsed="false">
      <c r="A121" s="24" t="n">
        <v>13</v>
      </c>
      <c r="B121" s="31" t="str">
        <f aca="false">B19</f>
        <v>LUCKY KURNIAWAN</v>
      </c>
      <c r="C121" s="38" t="n">
        <f aca="false">C19</f>
        <v>12</v>
      </c>
      <c r="D121" s="24"/>
      <c r="E121" s="24" t="s">
        <v>81</v>
      </c>
      <c r="F121" s="24"/>
      <c r="G121" s="24"/>
      <c r="H121" s="24" t="s">
        <v>79</v>
      </c>
      <c r="I121" s="24"/>
      <c r="J121" s="31" t="str">
        <f aca="false">B121</f>
        <v>LUCKY KURNIAWAN</v>
      </c>
      <c r="K121" s="24" t="s">
        <v>230</v>
      </c>
      <c r="L121" s="24" t="s">
        <v>78</v>
      </c>
      <c r="M121" s="24" t="s">
        <v>76</v>
      </c>
      <c r="N121" s="24"/>
      <c r="O121" s="24"/>
      <c r="P121" s="24"/>
      <c r="Q121" s="31" t="str">
        <f aca="false">B121</f>
        <v>LUCKY KURNIAWAN</v>
      </c>
      <c r="R121" s="24"/>
      <c r="S121" s="24" t="s">
        <v>75</v>
      </c>
      <c r="T121" s="24"/>
      <c r="U121" s="24"/>
      <c r="V121" s="24"/>
      <c r="W121" s="24"/>
      <c r="X121" s="31" t="str">
        <f aca="false">B121</f>
        <v>LUCKY KURNIAWAN</v>
      </c>
      <c r="Y121" s="24"/>
      <c r="Z121" s="24" t="s">
        <v>79</v>
      </c>
      <c r="AA121" s="24"/>
      <c r="AB121" s="24"/>
      <c r="AC121" s="24" t="s">
        <v>75</v>
      </c>
      <c r="AD121" s="24"/>
      <c r="AE121" s="31" t="str">
        <f aca="false">B121</f>
        <v>LUCKY KURNIAWAN</v>
      </c>
      <c r="AF121" s="24"/>
      <c r="AG121" s="24" t="s">
        <v>75</v>
      </c>
      <c r="AH121" s="24"/>
      <c r="AI121" s="24"/>
      <c r="AJ121" s="24"/>
      <c r="AK121" s="24"/>
      <c r="AL121" s="24" t="str">
        <f aca="false">B121</f>
        <v>LUCKY KURNIAWAN</v>
      </c>
      <c r="AM121" s="24" t="s">
        <v>231</v>
      </c>
      <c r="AN121" s="24" t="s">
        <v>78</v>
      </c>
      <c r="AO121" s="24" t="s">
        <v>76</v>
      </c>
      <c r="AP121" s="24"/>
      <c r="AQ121" s="24"/>
      <c r="AR121" s="24"/>
      <c r="AS121" s="24" t="n">
        <f aca="false">COUNTIF(E121:AQ121,"H")</f>
        <v>2</v>
      </c>
      <c r="AT121" s="24" t="n">
        <f aca="false">COUNTIF(E121:AQ121,"I")</f>
        <v>0</v>
      </c>
      <c r="AU121" s="24" t="n">
        <f aca="false">COUNTIF(E121:AQ121,"TD")</f>
        <v>1</v>
      </c>
      <c r="AV121" s="24" t="n">
        <f aca="false">COUNTIF(E121:AQ121,"S")</f>
        <v>0</v>
      </c>
      <c r="AW121" s="24" t="n">
        <f aca="false">COUNTIF(E121:AQ121,"A")</f>
        <v>3</v>
      </c>
      <c r="AX121" s="24" t="str">
        <f aca="false">B121</f>
        <v>LUCKY KURNIAWAN</v>
      </c>
    </row>
    <row r="122" customFormat="false" ht="15.75" hidden="false" customHeight="false" outlineLevel="0" collapsed="false">
      <c r="A122" s="24" t="n">
        <v>14</v>
      </c>
      <c r="B122" s="31" t="str">
        <f aca="false">B20</f>
        <v>MUHAMMAD RAFIK MUHARAM</v>
      </c>
      <c r="C122" s="38" t="n">
        <f aca="false">C20</f>
        <v>12</v>
      </c>
      <c r="D122" s="24"/>
      <c r="E122" s="24" t="s">
        <v>81</v>
      </c>
      <c r="F122" s="24"/>
      <c r="G122" s="24"/>
      <c r="H122" s="24" t="s">
        <v>79</v>
      </c>
      <c r="I122" s="24"/>
      <c r="J122" s="31" t="str">
        <f aca="false">B122</f>
        <v>MUHAMMAD RAFIK MUHARAM</v>
      </c>
      <c r="K122" s="24"/>
      <c r="L122" s="24" t="s">
        <v>79</v>
      </c>
      <c r="M122" s="24"/>
      <c r="N122" s="24"/>
      <c r="O122" s="24"/>
      <c r="P122" s="24"/>
      <c r="Q122" s="31" t="str">
        <f aca="false">B122</f>
        <v>MUHAMMAD RAFIK MUHARAM</v>
      </c>
      <c r="R122" s="24"/>
      <c r="S122" s="24" t="s">
        <v>75</v>
      </c>
      <c r="T122" s="24"/>
      <c r="U122" s="24"/>
      <c r="V122" s="24"/>
      <c r="W122" s="24"/>
      <c r="X122" s="31" t="str">
        <f aca="false">B122</f>
        <v>MUHAMMAD RAFIK MUHARAM</v>
      </c>
      <c r="Y122" s="24"/>
      <c r="Z122" s="24" t="s">
        <v>75</v>
      </c>
      <c r="AA122" s="24"/>
      <c r="AB122" s="24"/>
      <c r="AC122" s="24" t="s">
        <v>79</v>
      </c>
      <c r="AD122" s="24"/>
      <c r="AE122" s="31" t="str">
        <f aca="false">B122</f>
        <v>MUHAMMAD RAFIK MUHARAM</v>
      </c>
      <c r="AF122" s="24"/>
      <c r="AG122" s="24" t="s">
        <v>75</v>
      </c>
      <c r="AH122" s="24"/>
      <c r="AI122" s="24"/>
      <c r="AJ122" s="24"/>
      <c r="AK122" s="24"/>
      <c r="AL122" s="24" t="str">
        <f aca="false">B122</f>
        <v>MUHAMMAD RAFIK MUHARAM</v>
      </c>
      <c r="AM122" s="24"/>
      <c r="AN122" s="24" t="s">
        <v>78</v>
      </c>
      <c r="AO122" s="24"/>
      <c r="AP122" s="24"/>
      <c r="AQ122" s="24"/>
      <c r="AR122" s="24"/>
      <c r="AS122" s="24" t="n">
        <f aca="false">COUNTIF(E122:AQ122,"H")</f>
        <v>1</v>
      </c>
      <c r="AT122" s="24" t="n">
        <f aca="false">COUNTIF(E122:AQ122,"I")</f>
        <v>0</v>
      </c>
      <c r="AU122" s="24" t="n">
        <f aca="false">COUNTIF(E122:AQ122,"TD")</f>
        <v>1</v>
      </c>
      <c r="AV122" s="24" t="n">
        <f aca="false">COUNTIF(E122:AQ122,"S")</f>
        <v>0</v>
      </c>
      <c r="AW122" s="24" t="n">
        <f aca="false">COUNTIF(E122:AQ122,"A")</f>
        <v>3</v>
      </c>
      <c r="AX122" s="24" t="str">
        <f aca="false">B122</f>
        <v>MUHAMMAD RAFIK MUHARAM</v>
      </c>
    </row>
    <row r="123" customFormat="false" ht="15.75" hidden="false" customHeight="false" outlineLevel="0" collapsed="false">
      <c r="A123" s="24" t="n">
        <v>15</v>
      </c>
      <c r="B123" s="31" t="str">
        <f aca="false">B21</f>
        <v>UMAR ABDUL MALIK</v>
      </c>
      <c r="C123" s="38" t="n">
        <f aca="false">C21</f>
        <v>11</v>
      </c>
      <c r="D123" s="24"/>
      <c r="E123" s="24" t="s">
        <v>79</v>
      </c>
      <c r="F123" s="24"/>
      <c r="G123" s="24"/>
      <c r="H123" s="24" t="s">
        <v>79</v>
      </c>
      <c r="I123" s="24"/>
      <c r="J123" s="31" t="str">
        <f aca="false">B123</f>
        <v>UMAR ABDUL MALIK</v>
      </c>
      <c r="K123" s="24" t="s">
        <v>232</v>
      </c>
      <c r="L123" s="24" t="s">
        <v>78</v>
      </c>
      <c r="M123" s="24" t="s">
        <v>76</v>
      </c>
      <c r="N123" s="24"/>
      <c r="O123" s="24"/>
      <c r="P123" s="24"/>
      <c r="Q123" s="31" t="str">
        <f aca="false">B123</f>
        <v>UMAR ABDUL MALIK</v>
      </c>
      <c r="R123" s="24"/>
      <c r="S123" s="24" t="s">
        <v>75</v>
      </c>
      <c r="T123" s="24"/>
      <c r="U123" s="24"/>
      <c r="V123" s="24"/>
      <c r="W123" s="24"/>
      <c r="X123" s="31" t="str">
        <f aca="false">B123</f>
        <v>UMAR ABDUL MALIK</v>
      </c>
      <c r="Y123" s="24"/>
      <c r="Z123" s="24" t="s">
        <v>79</v>
      </c>
      <c r="AA123" s="24"/>
      <c r="AB123" s="24"/>
      <c r="AC123" s="24" t="s">
        <v>75</v>
      </c>
      <c r="AD123" s="24"/>
      <c r="AE123" s="31" t="str">
        <f aca="false">B123</f>
        <v>UMAR ABDUL MALIK</v>
      </c>
      <c r="AF123" s="24"/>
      <c r="AG123" s="24" t="s">
        <v>75</v>
      </c>
      <c r="AH123" s="24"/>
      <c r="AI123" s="24"/>
      <c r="AJ123" s="24"/>
      <c r="AK123" s="24"/>
      <c r="AL123" s="24" t="str">
        <f aca="false">B123</f>
        <v>UMAR ABDUL MALIK</v>
      </c>
      <c r="AM123" s="24" t="s">
        <v>233</v>
      </c>
      <c r="AN123" s="24" t="s">
        <v>208</v>
      </c>
      <c r="AO123" s="24" t="s">
        <v>76</v>
      </c>
      <c r="AP123" s="24"/>
      <c r="AQ123" s="24"/>
      <c r="AR123" s="24"/>
      <c r="AS123" s="24" t="n">
        <f aca="false">COUNTIF(E123:AQ123,"H")</f>
        <v>1</v>
      </c>
      <c r="AT123" s="24" t="n">
        <f aca="false">COUNTIF(E123:AQ123,"I")</f>
        <v>0</v>
      </c>
      <c r="AU123" s="24" t="n">
        <f aca="false">COUNTIF(E123:AQ123,"TD")</f>
        <v>0</v>
      </c>
      <c r="AV123" s="24" t="n">
        <f aca="false">COUNTIF(E123:AQ123,"S")</f>
        <v>0</v>
      </c>
      <c r="AW123" s="24" t="n">
        <f aca="false">COUNTIF(E123:AQ123,"A")</f>
        <v>3</v>
      </c>
      <c r="AX123" s="24" t="str">
        <f aca="false">B123</f>
        <v>UMAR ABDUL MALIK</v>
      </c>
    </row>
    <row r="124" customFormat="false" ht="15.75" hidden="false" customHeight="false" outlineLevel="0" collapsed="false">
      <c r="A124" s="24" t="n">
        <v>16</v>
      </c>
      <c r="B124" s="31" t="str">
        <f aca="false">B22</f>
        <v>AHMAD HAFIDZ ALHAWARI</v>
      </c>
      <c r="C124" s="38" t="n">
        <f aca="false">C22</f>
        <v>10</v>
      </c>
      <c r="D124" s="24"/>
      <c r="E124" s="24" t="s">
        <v>79</v>
      </c>
      <c r="F124" s="24"/>
      <c r="G124" s="24" t="s">
        <v>234</v>
      </c>
      <c r="H124" s="24" t="s">
        <v>78</v>
      </c>
      <c r="I124" s="24" t="s">
        <v>76</v>
      </c>
      <c r="J124" s="31" t="str">
        <f aca="false">B124</f>
        <v>AHMAD HAFIDZ ALHAWARI</v>
      </c>
      <c r="K124" s="24" t="s">
        <v>235</v>
      </c>
      <c r="L124" s="24" t="s">
        <v>208</v>
      </c>
      <c r="M124" s="24" t="s">
        <v>76</v>
      </c>
      <c r="N124" s="24"/>
      <c r="O124" s="24"/>
      <c r="P124" s="24"/>
      <c r="Q124" s="31" t="str">
        <f aca="false">B124</f>
        <v>AHMAD HAFIDZ ALHAWARI</v>
      </c>
      <c r="R124" s="24"/>
      <c r="S124" s="24" t="s">
        <v>79</v>
      </c>
      <c r="T124" s="24"/>
      <c r="U124" s="24"/>
      <c r="V124" s="24"/>
      <c r="W124" s="24"/>
      <c r="X124" s="31" t="str">
        <f aca="false">B124</f>
        <v>AHMAD HAFIDZ ALHAWARI</v>
      </c>
      <c r="Y124" s="24"/>
      <c r="Z124" s="24" t="s">
        <v>79</v>
      </c>
      <c r="AA124" s="24"/>
      <c r="AB124" s="24" t="s">
        <v>236</v>
      </c>
      <c r="AC124" s="24" t="s">
        <v>208</v>
      </c>
      <c r="AD124" s="24" t="s">
        <v>76</v>
      </c>
      <c r="AE124" s="31" t="str">
        <f aca="false">B124</f>
        <v>AHMAD HAFIDZ ALHAWARI</v>
      </c>
      <c r="AF124" s="24"/>
      <c r="AG124" s="24"/>
      <c r="AH124" s="24"/>
      <c r="AI124" s="24"/>
      <c r="AJ124" s="24"/>
      <c r="AK124" s="24"/>
      <c r="AL124" s="24" t="str">
        <f aca="false">B124</f>
        <v>AHMAD HAFIDZ ALHAWARI</v>
      </c>
      <c r="AM124" s="24" t="s">
        <v>237</v>
      </c>
      <c r="AN124" s="24" t="s">
        <v>208</v>
      </c>
      <c r="AO124" s="24" t="s">
        <v>76</v>
      </c>
      <c r="AP124" s="24"/>
      <c r="AQ124" s="24"/>
      <c r="AR124" s="24"/>
      <c r="AS124" s="24" t="n">
        <f aca="false">COUNTIF(E124:AQ124,"H")</f>
        <v>1</v>
      </c>
      <c r="AT124" s="24" t="n">
        <f aca="false">COUNTIF(E124:AQ124,"I")</f>
        <v>0</v>
      </c>
      <c r="AU124" s="24" t="n">
        <f aca="false">COUNTIF(E124:AQ124,"TD")</f>
        <v>0</v>
      </c>
      <c r="AV124" s="24" t="n">
        <f aca="false">COUNTIF(E124:AQ124,"S")</f>
        <v>0</v>
      </c>
      <c r="AW124" s="24" t="n">
        <f aca="false">COUNTIF(E124:AQ124,"A")</f>
        <v>0</v>
      </c>
      <c r="AX124" s="24" t="str">
        <f aca="false">B124</f>
        <v>AHMAD HAFIDZ ALHAWARI</v>
      </c>
    </row>
    <row r="125" customFormat="false" ht="15.75" hidden="false" customHeight="false" outlineLevel="0" collapsed="false">
      <c r="A125" s="24" t="n">
        <v>17</v>
      </c>
      <c r="B125" s="31" t="str">
        <f aca="false">B23</f>
        <v>MUHAMMAD FAUZAN</v>
      </c>
      <c r="C125" s="38" t="n">
        <f aca="false">C23</f>
        <v>10</v>
      </c>
      <c r="D125" s="24" t="s">
        <v>238</v>
      </c>
      <c r="E125" s="24" t="s">
        <v>78</v>
      </c>
      <c r="F125" s="24" t="s">
        <v>76</v>
      </c>
      <c r="G125" s="24"/>
      <c r="H125" s="24" t="s">
        <v>78</v>
      </c>
      <c r="I125" s="24"/>
      <c r="J125" s="31" t="str">
        <f aca="false">B125</f>
        <v>MUHAMMAD FAUZAN</v>
      </c>
      <c r="K125" s="24" t="s">
        <v>239</v>
      </c>
      <c r="L125" s="24" t="s">
        <v>208</v>
      </c>
      <c r="M125" s="24" t="s">
        <v>76</v>
      </c>
      <c r="N125" s="24"/>
      <c r="O125" s="24"/>
      <c r="P125" s="24"/>
      <c r="Q125" s="31" t="str">
        <f aca="false">B125</f>
        <v>MUHAMMAD FAUZAN</v>
      </c>
      <c r="R125" s="24"/>
      <c r="S125" s="24" t="s">
        <v>79</v>
      </c>
      <c r="T125" s="24"/>
      <c r="U125" s="24"/>
      <c r="V125" s="24"/>
      <c r="W125" s="24"/>
      <c r="X125" s="31" t="str">
        <f aca="false">B125</f>
        <v>MUHAMMAD FAUZAN</v>
      </c>
      <c r="Y125" s="24"/>
      <c r="Z125" s="24" t="s">
        <v>79</v>
      </c>
      <c r="AA125" s="24"/>
      <c r="AB125" s="24"/>
      <c r="AC125" s="24" t="s">
        <v>212</v>
      </c>
      <c r="AD125" s="24"/>
      <c r="AE125" s="31" t="str">
        <f aca="false">B125</f>
        <v>MUHAMMAD FAUZAN</v>
      </c>
      <c r="AF125" s="24"/>
      <c r="AG125" s="24"/>
      <c r="AH125" s="24"/>
      <c r="AI125" s="24"/>
      <c r="AJ125" s="24"/>
      <c r="AK125" s="24"/>
      <c r="AL125" s="24" t="str">
        <f aca="false">B125</f>
        <v>MUHAMMAD FAUZAN</v>
      </c>
      <c r="AM125" s="24" t="s">
        <v>240</v>
      </c>
      <c r="AN125" s="24" t="s">
        <v>78</v>
      </c>
      <c r="AO125" s="24" t="s">
        <v>76</v>
      </c>
      <c r="AP125" s="24"/>
      <c r="AQ125" s="24"/>
      <c r="AR125" s="24"/>
      <c r="AS125" s="24" t="n">
        <f aca="false">COUNTIF(E125:AQ125,"H")</f>
        <v>3</v>
      </c>
      <c r="AT125" s="24" t="n">
        <f aca="false">COUNTIF(E125:AQ125,"I")</f>
        <v>0</v>
      </c>
      <c r="AU125" s="24" t="n">
        <f aca="false">COUNTIF(E125:AQ125,"TD")</f>
        <v>0</v>
      </c>
      <c r="AV125" s="24" t="n">
        <f aca="false">COUNTIF(E125:AQ125,"S")</f>
        <v>0</v>
      </c>
      <c r="AW125" s="24" t="n">
        <f aca="false">COUNTIF(E125:AQ125,"A")</f>
        <v>0</v>
      </c>
      <c r="AX125" s="24" t="str">
        <f aca="false">B125</f>
        <v>MUHAMMAD FAUZAN</v>
      </c>
    </row>
    <row r="126" customFormat="false" ht="15.75" hidden="false" customHeight="false" outlineLevel="0" collapsed="false">
      <c r="A126" s="24" t="n">
        <v>18</v>
      </c>
      <c r="B126" s="31" t="str">
        <f aca="false">B24</f>
        <v>AKBAR RAMADAN</v>
      </c>
      <c r="C126" s="38" t="n">
        <f aca="false">C24</f>
        <v>9</v>
      </c>
      <c r="D126" s="24" t="s">
        <v>177</v>
      </c>
      <c r="E126" s="24" t="s">
        <v>78</v>
      </c>
      <c r="F126" s="24" t="s">
        <v>76</v>
      </c>
      <c r="G126" s="24"/>
      <c r="H126" s="24" t="s">
        <v>78</v>
      </c>
      <c r="I126" s="24"/>
      <c r="J126" s="31" t="str">
        <f aca="false">B126</f>
        <v>AKBAR RAMADAN</v>
      </c>
      <c r="K126" s="24" t="s">
        <v>241</v>
      </c>
      <c r="L126" s="24" t="s">
        <v>208</v>
      </c>
      <c r="M126" s="24" t="s">
        <v>76</v>
      </c>
      <c r="N126" s="24"/>
      <c r="O126" s="24"/>
      <c r="P126" s="24"/>
      <c r="Q126" s="31" t="str">
        <f aca="false">B126</f>
        <v>AKBAR RAMADAN</v>
      </c>
      <c r="R126" s="24" t="s">
        <v>242</v>
      </c>
      <c r="S126" s="24"/>
      <c r="T126" s="24" t="s">
        <v>76</v>
      </c>
      <c r="U126" s="24"/>
      <c r="V126" s="24"/>
      <c r="W126" s="24"/>
      <c r="X126" s="31" t="str">
        <f aca="false">B126</f>
        <v>AKBAR RAMADAN</v>
      </c>
      <c r="Y126" s="24" t="s">
        <v>243</v>
      </c>
      <c r="Z126" s="24" t="s">
        <v>78</v>
      </c>
      <c r="AA126" s="24"/>
      <c r="AB126" s="24"/>
      <c r="AC126" s="24" t="s">
        <v>212</v>
      </c>
      <c r="AD126" s="24"/>
      <c r="AE126" s="31" t="str">
        <f aca="false">B126</f>
        <v>AKBAR RAMADAN</v>
      </c>
      <c r="AF126" s="24" t="s">
        <v>244</v>
      </c>
      <c r="AG126" s="24" t="s">
        <v>78</v>
      </c>
      <c r="AH126" s="24" t="s">
        <v>76</v>
      </c>
      <c r="AI126" s="24"/>
      <c r="AJ126" s="24"/>
      <c r="AK126" s="24"/>
      <c r="AL126" s="24" t="str">
        <f aca="false">B126</f>
        <v>AKBAR RAMADAN</v>
      </c>
      <c r="AM126" s="24" t="s">
        <v>245</v>
      </c>
      <c r="AN126" s="24" t="s">
        <v>78</v>
      </c>
      <c r="AO126" s="24" t="s">
        <v>76</v>
      </c>
      <c r="AP126" s="24"/>
      <c r="AQ126" s="24"/>
      <c r="AR126" s="24"/>
      <c r="AS126" s="24" t="n">
        <f aca="false">COUNTIF(E126:AQ126,"H")</f>
        <v>5</v>
      </c>
      <c r="AT126" s="24" t="n">
        <f aca="false">COUNTIF(E126:AQ126,"I")</f>
        <v>0</v>
      </c>
      <c r="AU126" s="24" t="n">
        <f aca="false">COUNTIF(E126:AQ126,"TD")</f>
        <v>0</v>
      </c>
      <c r="AV126" s="24" t="n">
        <f aca="false">COUNTIF(E126:AQ126,"S")</f>
        <v>0</v>
      </c>
      <c r="AW126" s="24" t="n">
        <f aca="false">COUNTIF(E126:AQ126,"A")</f>
        <v>0</v>
      </c>
      <c r="AX126" s="24" t="str">
        <f aca="false">B126</f>
        <v>AKBAR RAMADAN</v>
      </c>
    </row>
    <row r="127" customFormat="false" ht="15.75" hidden="false" customHeight="false" outlineLevel="0" collapsed="false">
      <c r="A127" s="24" t="n">
        <v>19</v>
      </c>
      <c r="B127" s="31" t="e">
        <f aca="false">B25</f>
        <v>#REF!</v>
      </c>
      <c r="C127" s="38" t="e">
        <f aca="false">C25</f>
        <v>#REF!</v>
      </c>
      <c r="D127" s="24"/>
      <c r="E127" s="24" t="s">
        <v>79</v>
      </c>
      <c r="F127" s="24"/>
      <c r="G127" s="24"/>
      <c r="H127" s="24" t="s">
        <v>78</v>
      </c>
      <c r="I127" s="24"/>
      <c r="J127" s="31" t="e">
        <f aca="false">B127</f>
        <v>#REF!</v>
      </c>
      <c r="K127" s="24" t="s">
        <v>246</v>
      </c>
      <c r="L127" s="24" t="s">
        <v>208</v>
      </c>
      <c r="M127" s="24" t="s">
        <v>76</v>
      </c>
      <c r="N127" s="24"/>
      <c r="O127" s="24"/>
      <c r="P127" s="24"/>
      <c r="Q127" s="31" t="e">
        <f aca="false">B127</f>
        <v>#REF!</v>
      </c>
      <c r="R127" s="24" t="s">
        <v>247</v>
      </c>
      <c r="S127" s="24"/>
      <c r="T127" s="24" t="s">
        <v>76</v>
      </c>
      <c r="U127" s="24"/>
      <c r="V127" s="24"/>
      <c r="W127" s="24"/>
      <c r="X127" s="31" t="e">
        <f aca="false">B127</f>
        <v>#REF!</v>
      </c>
      <c r="Y127" s="24"/>
      <c r="Z127" s="24" t="s">
        <v>79</v>
      </c>
      <c r="AA127" s="24"/>
      <c r="AB127" s="38"/>
      <c r="AC127" s="24" t="s">
        <v>79</v>
      </c>
      <c r="AD127" s="38"/>
      <c r="AE127" s="31" t="e">
        <f aca="false">B127</f>
        <v>#REF!</v>
      </c>
      <c r="AF127" s="24"/>
      <c r="AG127" s="24" t="s">
        <v>78</v>
      </c>
      <c r="AH127" s="24"/>
      <c r="AI127" s="24"/>
      <c r="AJ127" s="24"/>
      <c r="AK127" s="24"/>
      <c r="AL127" s="24" t="e">
        <f aca="false">B127</f>
        <v>#REF!</v>
      </c>
      <c r="AM127" s="24" t="s">
        <v>248</v>
      </c>
      <c r="AN127" s="24" t="s">
        <v>78</v>
      </c>
      <c r="AO127" s="24"/>
      <c r="AP127" s="24"/>
      <c r="AQ127" s="24"/>
      <c r="AR127" s="24"/>
      <c r="AS127" s="24" t="n">
        <f aca="false">COUNTIF(E127:AQ127,"H")</f>
        <v>3</v>
      </c>
      <c r="AT127" s="24" t="n">
        <f aca="false">COUNTIF(E127:AQ127,"I")</f>
        <v>0</v>
      </c>
      <c r="AU127" s="24" t="n">
        <f aca="false">COUNTIF(E127:AQ127,"TD")</f>
        <v>0</v>
      </c>
      <c r="AV127" s="24" t="n">
        <f aca="false">COUNTIF(E127:AQ127,"S")</f>
        <v>0</v>
      </c>
      <c r="AW127" s="24" t="n">
        <f aca="false">COUNTIF(E127:AQ127,"A")</f>
        <v>0</v>
      </c>
      <c r="AX127" s="24" t="e">
        <f aca="false">B127</f>
        <v>#REF!</v>
      </c>
    </row>
    <row r="128" customFormat="false" ht="15.75" hidden="false" customHeight="false" outlineLevel="0" collapsed="false">
      <c r="A128" s="24" t="n">
        <v>20</v>
      </c>
      <c r="B128" s="31" t="str">
        <f aca="false">B26</f>
        <v>ABIDZAR ALGHIFARI</v>
      </c>
      <c r="C128" s="38" t="n">
        <f aca="false">C26</f>
        <v>8</v>
      </c>
      <c r="D128" s="38"/>
      <c r="E128" s="24" t="s">
        <v>79</v>
      </c>
      <c r="F128" s="24"/>
      <c r="G128" s="24" t="s">
        <v>249</v>
      </c>
      <c r="H128" s="24" t="s">
        <v>78</v>
      </c>
      <c r="I128" s="24" t="s">
        <v>76</v>
      </c>
      <c r="J128" s="31" t="str">
        <f aca="false">B128</f>
        <v>ABIDZAR ALGHIFARI</v>
      </c>
      <c r="K128" s="38"/>
      <c r="L128" s="24" t="s">
        <v>79</v>
      </c>
      <c r="M128" s="24"/>
      <c r="N128" s="24"/>
      <c r="O128" s="24"/>
      <c r="P128" s="24"/>
      <c r="Q128" s="31" t="str">
        <f aca="false">B128</f>
        <v>ABIDZAR ALGHIFARI</v>
      </c>
      <c r="R128" s="24"/>
      <c r="S128" s="24" t="s">
        <v>79</v>
      </c>
      <c r="T128" s="24"/>
      <c r="U128" s="24"/>
      <c r="V128" s="24"/>
      <c r="W128" s="24"/>
      <c r="X128" s="31" t="str">
        <f aca="false">B128</f>
        <v>ABIDZAR ALGHIFARI</v>
      </c>
      <c r="Y128" s="24"/>
      <c r="Z128" s="24" t="s">
        <v>79</v>
      </c>
      <c r="AA128" s="24"/>
      <c r="AB128" s="24" t="s">
        <v>250</v>
      </c>
      <c r="AC128" s="24" t="s">
        <v>208</v>
      </c>
      <c r="AD128" s="24" t="s">
        <v>76</v>
      </c>
      <c r="AE128" s="31" t="str">
        <f aca="false">B128</f>
        <v>ABIDZAR ALGHIFARI</v>
      </c>
      <c r="AF128" s="24" t="s">
        <v>129</v>
      </c>
      <c r="AG128" s="24" t="s">
        <v>78</v>
      </c>
      <c r="AH128" s="24" t="s">
        <v>76</v>
      </c>
      <c r="AI128" s="24"/>
      <c r="AJ128" s="24"/>
      <c r="AK128" s="24"/>
      <c r="AL128" s="24" t="str">
        <f aca="false">B128</f>
        <v>ABIDZAR ALGHIFARI</v>
      </c>
      <c r="AM128" s="24"/>
      <c r="AN128" s="24" t="s">
        <v>78</v>
      </c>
      <c r="AO128" s="24"/>
      <c r="AP128" s="24"/>
      <c r="AQ128" s="24"/>
      <c r="AR128" s="24"/>
      <c r="AS128" s="24" t="n">
        <f aca="false">COUNTIF(E128:AQ128,"H")</f>
        <v>3</v>
      </c>
      <c r="AT128" s="24" t="n">
        <f aca="false">COUNTIF(E128:AQ128,"I")</f>
        <v>0</v>
      </c>
      <c r="AU128" s="24" t="n">
        <f aca="false">COUNTIF(E128:AQ128,"TD")</f>
        <v>0</v>
      </c>
      <c r="AV128" s="24" t="n">
        <f aca="false">COUNTIF(E128:AQ128,"S")</f>
        <v>0</v>
      </c>
      <c r="AW128" s="24" t="n">
        <f aca="false">COUNTIF(E128:AQ128,"A")</f>
        <v>0</v>
      </c>
      <c r="AX128" s="24" t="str">
        <f aca="false">B128</f>
        <v>ABIDZAR ALGHIFARI</v>
      </c>
    </row>
    <row r="129" customFormat="false" ht="15.75" hidden="false" customHeight="false" outlineLevel="0" collapsed="false">
      <c r="A129" s="24" t="n">
        <v>21</v>
      </c>
      <c r="B129" s="31" t="str">
        <f aca="false">B27</f>
        <v>KAFY MUHAMMAD AZIZY</v>
      </c>
      <c r="C129" s="38" t="n">
        <f aca="false">C27</f>
        <v>7</v>
      </c>
      <c r="D129" s="24" t="s">
        <v>251</v>
      </c>
      <c r="E129" s="24" t="s">
        <v>78</v>
      </c>
      <c r="F129" s="24" t="s">
        <v>76</v>
      </c>
      <c r="G129" s="24"/>
      <c r="H129" s="24" t="s">
        <v>78</v>
      </c>
      <c r="I129" s="24"/>
      <c r="J129" s="31" t="str">
        <f aca="false">B129</f>
        <v>KAFY MUHAMMAD AZIZY</v>
      </c>
      <c r="K129" s="24" t="s">
        <v>111</v>
      </c>
      <c r="L129" s="24"/>
      <c r="M129" s="24" t="s">
        <v>76</v>
      </c>
      <c r="N129" s="24"/>
      <c r="O129" s="24"/>
      <c r="P129" s="24"/>
      <c r="Q129" s="31" t="str">
        <f aca="false">B129</f>
        <v>KAFY MUHAMMAD AZIZY</v>
      </c>
      <c r="R129" s="24" t="s">
        <v>252</v>
      </c>
      <c r="S129" s="24" t="s">
        <v>78</v>
      </c>
      <c r="T129" s="24" t="s">
        <v>76</v>
      </c>
      <c r="U129" s="24"/>
      <c r="V129" s="24"/>
      <c r="W129" s="24"/>
      <c r="X129" s="31" t="str">
        <f aca="false">B129</f>
        <v>KAFY MUHAMMAD AZIZY</v>
      </c>
      <c r="Y129" s="24" t="s">
        <v>253</v>
      </c>
      <c r="Z129" s="24" t="s">
        <v>78</v>
      </c>
      <c r="AA129" s="24" t="s">
        <v>76</v>
      </c>
      <c r="AB129" s="24"/>
      <c r="AC129" s="24" t="s">
        <v>212</v>
      </c>
      <c r="AD129" s="24"/>
      <c r="AE129" s="31" t="str">
        <f aca="false">B129</f>
        <v>KAFY MUHAMMAD AZIZY</v>
      </c>
      <c r="AF129" s="24" t="s">
        <v>254</v>
      </c>
      <c r="AG129" s="24" t="s">
        <v>78</v>
      </c>
      <c r="AH129" s="24" t="s">
        <v>76</v>
      </c>
      <c r="AI129" s="24"/>
      <c r="AJ129" s="24"/>
      <c r="AK129" s="24"/>
      <c r="AL129" s="24" t="str">
        <f aca="false">B129</f>
        <v>KAFY MUHAMMAD AZIZY</v>
      </c>
      <c r="AM129" s="24" t="s">
        <v>255</v>
      </c>
      <c r="AN129" s="24" t="s">
        <v>208</v>
      </c>
      <c r="AO129" s="24" t="s">
        <v>76</v>
      </c>
      <c r="AP129" s="24"/>
      <c r="AQ129" s="24"/>
      <c r="AR129" s="24"/>
      <c r="AS129" s="24" t="n">
        <f aca="false">COUNTIF(E129:AQ129,"H")</f>
        <v>5</v>
      </c>
      <c r="AT129" s="24" t="n">
        <f aca="false">COUNTIF(E129:AQ129,"I")</f>
        <v>0</v>
      </c>
      <c r="AU129" s="24" t="n">
        <f aca="false">COUNTIF(E129:AQ129,"TD")</f>
        <v>0</v>
      </c>
      <c r="AV129" s="24" t="n">
        <f aca="false">COUNTIF(E129:AQ129,"S")</f>
        <v>0</v>
      </c>
      <c r="AW129" s="24" t="n">
        <f aca="false">COUNTIF(E129:AQ129,"A")</f>
        <v>0</v>
      </c>
      <c r="AX129" s="24" t="str">
        <f aca="false">B129</f>
        <v>KAFY MUHAMMAD AZIZY</v>
      </c>
    </row>
    <row r="130" customFormat="false" ht="15.75" hidden="false" customHeight="false" outlineLevel="0" collapsed="false">
      <c r="A130" s="24" t="n">
        <v>22</v>
      </c>
      <c r="B130" s="31" t="e">
        <f aca="false">B28</f>
        <v>#REF!</v>
      </c>
      <c r="C130" s="38" t="e">
        <f aca="false">C28</f>
        <v>#REF!</v>
      </c>
      <c r="D130" s="24"/>
      <c r="E130" s="24" t="s">
        <v>81</v>
      </c>
      <c r="F130" s="24"/>
      <c r="G130" s="24"/>
      <c r="H130" s="24" t="s">
        <v>78</v>
      </c>
      <c r="I130" s="24"/>
      <c r="J130" s="31" t="e">
        <f aca="false">B130</f>
        <v>#REF!</v>
      </c>
      <c r="K130" s="24" t="s">
        <v>256</v>
      </c>
      <c r="L130" s="24" t="s">
        <v>208</v>
      </c>
      <c r="M130" s="24" t="s">
        <v>76</v>
      </c>
      <c r="N130" s="24"/>
      <c r="O130" s="24"/>
      <c r="P130" s="24"/>
      <c r="Q130" s="31" t="e">
        <f aca="false">B130</f>
        <v>#REF!</v>
      </c>
      <c r="R130" s="24"/>
      <c r="S130" s="24" t="s">
        <v>79</v>
      </c>
      <c r="T130" s="24"/>
      <c r="U130" s="24"/>
      <c r="V130" s="24"/>
      <c r="W130" s="24"/>
      <c r="X130" s="31" t="e">
        <f aca="false">B130</f>
        <v>#REF!</v>
      </c>
      <c r="Y130" s="24" t="s">
        <v>257</v>
      </c>
      <c r="Z130" s="24" t="s">
        <v>78</v>
      </c>
      <c r="AA130" s="24" t="s">
        <v>76</v>
      </c>
      <c r="AB130" s="24"/>
      <c r="AC130" s="24" t="s">
        <v>79</v>
      </c>
      <c r="AD130" s="24"/>
      <c r="AE130" s="31" t="e">
        <f aca="false">B130</f>
        <v>#REF!</v>
      </c>
      <c r="AF130" s="24"/>
      <c r="AG130" s="24" t="s">
        <v>78</v>
      </c>
      <c r="AH130" s="24"/>
      <c r="AI130" s="24"/>
      <c r="AJ130" s="24"/>
      <c r="AK130" s="24"/>
      <c r="AL130" s="24" t="e">
        <f aca="false">B130</f>
        <v>#REF!</v>
      </c>
      <c r="AM130" s="24" t="s">
        <v>258</v>
      </c>
      <c r="AN130" s="24" t="s">
        <v>78</v>
      </c>
      <c r="AO130" s="24" t="s">
        <v>76</v>
      </c>
      <c r="AP130" s="24"/>
      <c r="AQ130" s="24"/>
      <c r="AR130" s="24"/>
      <c r="AS130" s="24" t="n">
        <f aca="false">COUNTIF(E130:AQ130,"H")</f>
        <v>4</v>
      </c>
      <c r="AT130" s="24" t="n">
        <f aca="false">COUNTIF(E130:AQ130,"I")</f>
        <v>0</v>
      </c>
      <c r="AU130" s="24" t="n">
        <f aca="false">COUNTIF(E130:AQ130,"TD")</f>
        <v>1</v>
      </c>
      <c r="AV130" s="24" t="n">
        <f aca="false">COUNTIF(E130:AQ130,"S")</f>
        <v>0</v>
      </c>
      <c r="AW130" s="24" t="n">
        <f aca="false">COUNTIF(E130:AQ130,"A")</f>
        <v>0</v>
      </c>
      <c r="AX130" s="24" t="e">
        <f aca="false">B130</f>
        <v>#REF!</v>
      </c>
    </row>
    <row r="131" customFormat="false" ht="15.75" hidden="false" customHeight="false" outlineLevel="0" collapsed="false">
      <c r="A131" s="24" t="n">
        <v>23</v>
      </c>
      <c r="B131" s="31" t="str">
        <f aca="false">B29</f>
        <v>MUHAMMAD MUNAWWAR KHOLIL</v>
      </c>
      <c r="C131" s="38" t="n">
        <f aca="false">C29</f>
        <v>4</v>
      </c>
      <c r="D131" s="24"/>
      <c r="E131" s="24" t="s">
        <v>78</v>
      </c>
      <c r="F131" s="24"/>
      <c r="G131" s="24"/>
      <c r="H131" s="24" t="s">
        <v>78</v>
      </c>
      <c r="I131" s="24"/>
      <c r="J131" s="31" t="str">
        <f aca="false">B131</f>
        <v>MUHAMMAD MUNAWWAR KHOLIL</v>
      </c>
      <c r="K131" s="24"/>
      <c r="L131" s="24" t="s">
        <v>78</v>
      </c>
      <c r="M131" s="24"/>
      <c r="N131" s="24"/>
      <c r="O131" s="24"/>
      <c r="P131" s="24"/>
      <c r="Q131" s="31" t="str">
        <f aca="false">B131</f>
        <v>MUHAMMAD MUNAWWAR KHOLIL</v>
      </c>
      <c r="R131" s="24"/>
      <c r="S131" s="24" t="s">
        <v>78</v>
      </c>
      <c r="T131" s="24"/>
      <c r="U131" s="24"/>
      <c r="V131" s="24"/>
      <c r="W131" s="24"/>
      <c r="X131" s="31" t="str">
        <f aca="false">B131</f>
        <v>MUHAMMAD MUNAWWAR KHOLIL</v>
      </c>
      <c r="Y131" s="24"/>
      <c r="Z131" s="24" t="s">
        <v>78</v>
      </c>
      <c r="AA131" s="24"/>
      <c r="AB131" s="24"/>
      <c r="AC131" s="24" t="s">
        <v>78</v>
      </c>
      <c r="AD131" s="24"/>
      <c r="AE131" s="31" t="str">
        <f aca="false">B131</f>
        <v>MUHAMMAD MUNAWWAR KHOLIL</v>
      </c>
      <c r="AF131" s="24"/>
      <c r="AG131" s="24" t="s">
        <v>78</v>
      </c>
      <c r="AH131" s="24"/>
      <c r="AI131" s="24"/>
      <c r="AJ131" s="24"/>
      <c r="AK131" s="24"/>
      <c r="AL131" s="24" t="str">
        <f aca="false">B131</f>
        <v>MUHAMMAD MUNAWWAR KHOLIL</v>
      </c>
      <c r="AM131" s="24"/>
      <c r="AN131" s="24" t="s">
        <v>78</v>
      </c>
      <c r="AO131" s="24"/>
      <c r="AP131" s="24"/>
      <c r="AQ131" s="24"/>
      <c r="AR131" s="24"/>
      <c r="AS131" s="24" t="n">
        <f aca="false">COUNTIF(E131:AQ131,"H")</f>
        <v>8</v>
      </c>
      <c r="AT131" s="24" t="n">
        <f aca="false">COUNTIF(E131:AQ131,"I")</f>
        <v>0</v>
      </c>
      <c r="AU131" s="24" t="n">
        <f aca="false">COUNTIF(E131:AQ131,"TD")</f>
        <v>0</v>
      </c>
      <c r="AV131" s="24" t="n">
        <f aca="false">COUNTIF(E131:AQ131,"S")</f>
        <v>0</v>
      </c>
      <c r="AW131" s="24" t="n">
        <f aca="false">COUNTIF(E131:AQ131,"A")</f>
        <v>0</v>
      </c>
      <c r="AX131" s="24" t="str">
        <f aca="false">B131</f>
        <v>MUHAMMAD MUNAWWAR KHOLIL</v>
      </c>
    </row>
    <row r="132" customFormat="false" ht="15.75" hidden="false" customHeight="false" outlineLevel="0" collapsed="false">
      <c r="A132" s="24" t="n">
        <v>24</v>
      </c>
      <c r="B132" s="31" t="str">
        <f aca="false">B30</f>
        <v>ALWI</v>
      </c>
      <c r="C132" s="38" t="n">
        <f aca="false">C30</f>
        <v>3</v>
      </c>
      <c r="D132" s="24"/>
      <c r="E132" s="24" t="s">
        <v>78</v>
      </c>
      <c r="F132" s="24"/>
      <c r="G132" s="24"/>
      <c r="H132" s="24" t="s">
        <v>78</v>
      </c>
      <c r="I132" s="24"/>
      <c r="J132" s="31" t="str">
        <f aca="false">B132</f>
        <v>ALWI</v>
      </c>
      <c r="K132" s="24"/>
      <c r="L132" s="24" t="s">
        <v>78</v>
      </c>
      <c r="M132" s="24"/>
      <c r="N132" s="24"/>
      <c r="O132" s="24"/>
      <c r="P132" s="24"/>
      <c r="Q132" s="31" t="str">
        <f aca="false">B132</f>
        <v>ALWI</v>
      </c>
      <c r="R132" s="24"/>
      <c r="S132" s="24" t="s">
        <v>78</v>
      </c>
      <c r="T132" s="24"/>
      <c r="U132" s="24"/>
      <c r="V132" s="24"/>
      <c r="W132" s="24"/>
      <c r="X132" s="31" t="str">
        <f aca="false">B132</f>
        <v>ALWI</v>
      </c>
      <c r="Y132" s="24"/>
      <c r="Z132" s="24" t="s">
        <v>78</v>
      </c>
      <c r="AA132" s="24"/>
      <c r="AB132" s="24"/>
      <c r="AC132" s="24" t="s">
        <v>212</v>
      </c>
      <c r="AD132" s="24"/>
      <c r="AE132" s="31" t="str">
        <f aca="false">B132</f>
        <v>ALWI</v>
      </c>
      <c r="AF132" s="24"/>
      <c r="AG132" s="24" t="s">
        <v>78</v>
      </c>
      <c r="AH132" s="24" t="s">
        <v>76</v>
      </c>
      <c r="AI132" s="24"/>
      <c r="AJ132" s="24"/>
      <c r="AK132" s="24"/>
      <c r="AL132" s="24" t="str">
        <f aca="false">B132</f>
        <v>ALWI</v>
      </c>
      <c r="AM132" s="24"/>
      <c r="AN132" s="24" t="s">
        <v>78</v>
      </c>
      <c r="AO132" s="24"/>
      <c r="AP132" s="24"/>
      <c r="AQ132" s="24"/>
      <c r="AR132" s="24"/>
      <c r="AS132" s="24" t="n">
        <f aca="false">COUNTIF(E132:AQ132,"H")</f>
        <v>7</v>
      </c>
      <c r="AT132" s="24" t="n">
        <f aca="false">COUNTIF(E132:AQ132,"I")</f>
        <v>0</v>
      </c>
      <c r="AU132" s="24" t="n">
        <f aca="false">COUNTIF(E132:AQ132,"TD")</f>
        <v>0</v>
      </c>
      <c r="AV132" s="24" t="n">
        <f aca="false">COUNTIF(E132:AQ132,"S")</f>
        <v>0</v>
      </c>
      <c r="AW132" s="24" t="n">
        <f aca="false">COUNTIF(E132:AQ132,"A")</f>
        <v>0</v>
      </c>
      <c r="AX132" s="24" t="str">
        <f aca="false">B132</f>
        <v>ALWI</v>
      </c>
    </row>
    <row r="133" customFormat="false" ht="15.75" hidden="false" customHeight="false" outlineLevel="0" collapsed="false">
      <c r="A133" s="24" t="n">
        <v>25</v>
      </c>
      <c r="B133" s="31" t="str">
        <f aca="false">B31</f>
        <v>PIRMAN</v>
      </c>
      <c r="C133" s="38" t="n">
        <f aca="false">C31</f>
        <v>1</v>
      </c>
      <c r="D133" s="24"/>
      <c r="E133" s="24" t="s">
        <v>78</v>
      </c>
      <c r="F133" s="24"/>
      <c r="G133" s="24"/>
      <c r="H133" s="24" t="s">
        <v>78</v>
      </c>
      <c r="I133" s="24"/>
      <c r="J133" s="31" t="str">
        <f aca="false">B133</f>
        <v>PIRMAN</v>
      </c>
      <c r="K133" s="24"/>
      <c r="L133" s="24" t="s">
        <v>78</v>
      </c>
      <c r="M133" s="24"/>
      <c r="N133" s="24"/>
      <c r="O133" s="24"/>
      <c r="P133" s="24"/>
      <c r="Q133" s="31" t="str">
        <f aca="false">B133</f>
        <v>PIRMAN</v>
      </c>
      <c r="R133" s="24"/>
      <c r="S133" s="24" t="s">
        <v>78</v>
      </c>
      <c r="T133" s="24"/>
      <c r="U133" s="24"/>
      <c r="V133" s="24"/>
      <c r="W133" s="24"/>
      <c r="X133" s="31" t="str">
        <f aca="false">B133</f>
        <v>PIRMAN</v>
      </c>
      <c r="Y133" s="24"/>
      <c r="Z133" s="24" t="s">
        <v>78</v>
      </c>
      <c r="AA133" s="24"/>
      <c r="AB133" s="24"/>
      <c r="AC133" s="24" t="s">
        <v>212</v>
      </c>
      <c r="AD133" s="24"/>
      <c r="AE133" s="31" t="str">
        <f aca="false">B133</f>
        <v>PIRMAN</v>
      </c>
      <c r="AF133" s="24"/>
      <c r="AG133" s="24" t="s">
        <v>78</v>
      </c>
      <c r="AH133" s="24"/>
      <c r="AI133" s="24"/>
      <c r="AJ133" s="24"/>
      <c r="AK133" s="24"/>
      <c r="AL133" s="24" t="str">
        <f aca="false">B133</f>
        <v>PIRMAN</v>
      </c>
      <c r="AM133" s="24"/>
      <c r="AN133" s="24" t="s">
        <v>78</v>
      </c>
      <c r="AO133" s="24"/>
      <c r="AP133" s="24"/>
      <c r="AQ133" s="24"/>
      <c r="AR133" s="24"/>
      <c r="AS133" s="24" t="n">
        <f aca="false">COUNTIF(E133:AQ133,"H")</f>
        <v>7</v>
      </c>
      <c r="AT133" s="24" t="n">
        <f aca="false">COUNTIF(E133:AQ133,"I")</f>
        <v>0</v>
      </c>
      <c r="AU133" s="24" t="n">
        <f aca="false">COUNTIF(E133:AQ133,"TD")</f>
        <v>0</v>
      </c>
      <c r="AV133" s="24" t="n">
        <f aca="false">COUNTIF(E133:AQ133,"S")</f>
        <v>0</v>
      </c>
      <c r="AW133" s="24" t="n">
        <f aca="false">COUNTIF(E133:AQ133,"A")</f>
        <v>0</v>
      </c>
      <c r="AX133" s="24" t="str">
        <f aca="false">B133</f>
        <v>PIRMAN</v>
      </c>
    </row>
    <row r="134" customFormat="false" ht="15.75" hidden="false" customHeight="false" outlineLevel="0" collapsed="false">
      <c r="A134" s="24" t="n">
        <v>26</v>
      </c>
      <c r="B134" s="31" t="str">
        <f aca="false">B32</f>
        <v>MUHAMMAD DENMAR NABAWI</v>
      </c>
      <c r="C134" s="38" t="n">
        <f aca="false">C32</f>
        <v>1</v>
      </c>
      <c r="D134" s="24"/>
      <c r="E134" s="24" t="s">
        <v>78</v>
      </c>
      <c r="F134" s="24"/>
      <c r="G134" s="24"/>
      <c r="H134" s="24" t="s">
        <v>78</v>
      </c>
      <c r="I134" s="24"/>
      <c r="J134" s="31" t="str">
        <f aca="false">B134</f>
        <v>MUHAMMAD DENMAR NABAWI</v>
      </c>
      <c r="K134" s="24"/>
      <c r="L134" s="24" t="s">
        <v>78</v>
      </c>
      <c r="M134" s="24"/>
      <c r="N134" s="24"/>
      <c r="O134" s="24"/>
      <c r="P134" s="24"/>
      <c r="Q134" s="31" t="str">
        <f aca="false">B134</f>
        <v>MUHAMMAD DENMAR NABAWI</v>
      </c>
      <c r="R134" s="24"/>
      <c r="S134" s="24" t="s">
        <v>78</v>
      </c>
      <c r="T134" s="24"/>
      <c r="U134" s="24"/>
      <c r="V134" s="24"/>
      <c r="W134" s="24"/>
      <c r="X134" s="31" t="str">
        <f aca="false">B134</f>
        <v>MUHAMMAD DENMAR NABAWI</v>
      </c>
      <c r="Y134" s="24"/>
      <c r="Z134" s="24" t="s">
        <v>78</v>
      </c>
      <c r="AA134" s="24"/>
      <c r="AB134" s="24"/>
      <c r="AC134" s="24" t="s">
        <v>212</v>
      </c>
      <c r="AD134" s="24"/>
      <c r="AE134" s="31" t="str">
        <f aca="false">B134</f>
        <v>MUHAMMAD DENMAR NABAWI</v>
      </c>
      <c r="AF134" s="24" t="s">
        <v>259</v>
      </c>
      <c r="AG134" s="24" t="s">
        <v>78</v>
      </c>
      <c r="AH134" s="24" t="s">
        <v>76</v>
      </c>
      <c r="AI134" s="24"/>
      <c r="AJ134" s="24"/>
      <c r="AK134" s="24"/>
      <c r="AL134" s="24" t="str">
        <f aca="false">B134</f>
        <v>MUHAMMAD DENMAR NABAWI</v>
      </c>
      <c r="AM134" s="24" t="s">
        <v>260</v>
      </c>
      <c r="AN134" s="24" t="s">
        <v>78</v>
      </c>
      <c r="AO134" s="24" t="s">
        <v>76</v>
      </c>
      <c r="AP134" s="24"/>
      <c r="AQ134" s="24"/>
      <c r="AR134" s="24"/>
      <c r="AS134" s="24" t="n">
        <f aca="false">COUNTIF(E134:AQ134,"H")</f>
        <v>7</v>
      </c>
      <c r="AT134" s="24" t="n">
        <f aca="false">COUNTIF(E134:AQ134,"I")</f>
        <v>0</v>
      </c>
      <c r="AU134" s="24" t="n">
        <f aca="false">COUNTIF(E134:AQ134,"TD")</f>
        <v>0</v>
      </c>
      <c r="AV134" s="24" t="n">
        <f aca="false">COUNTIF(E134:AQ134,"S")</f>
        <v>0</v>
      </c>
      <c r="AW134" s="24" t="n">
        <f aca="false">COUNTIF(E134:AQ134,"A")</f>
        <v>0</v>
      </c>
      <c r="AX134" s="24" t="str">
        <f aca="false">B134</f>
        <v>MUHAMMAD DENMAR NABAWI</v>
      </c>
    </row>
    <row r="135" customFormat="false" ht="15.75" hidden="false" customHeight="false" outlineLevel="0" collapsed="false">
      <c r="A135" s="24" t="n">
        <v>27</v>
      </c>
      <c r="B135" s="31" t="e">
        <f aca="false">B33</f>
        <v>#REF!</v>
      </c>
      <c r="C135" s="38" t="e">
        <f aca="false">C33</f>
        <v>#REF!</v>
      </c>
      <c r="D135" s="24"/>
      <c r="E135" s="24" t="s">
        <v>78</v>
      </c>
      <c r="F135" s="24"/>
      <c r="G135" s="24"/>
      <c r="H135" s="24" t="s">
        <v>78</v>
      </c>
      <c r="I135" s="24"/>
      <c r="J135" s="31" t="e">
        <f aca="false">B135</f>
        <v>#REF!</v>
      </c>
      <c r="K135" s="24"/>
      <c r="L135" s="24" t="s">
        <v>78</v>
      </c>
      <c r="M135" s="24"/>
      <c r="N135" s="24"/>
      <c r="O135" s="24"/>
      <c r="P135" s="24"/>
      <c r="Q135" s="31" t="e">
        <f aca="false">B135</f>
        <v>#REF!</v>
      </c>
      <c r="R135" s="24"/>
      <c r="S135" s="24" t="s">
        <v>78</v>
      </c>
      <c r="T135" s="24"/>
      <c r="U135" s="24"/>
      <c r="V135" s="24"/>
      <c r="W135" s="24"/>
      <c r="X135" s="31" t="e">
        <f aca="false">B135</f>
        <v>#REF!</v>
      </c>
      <c r="Y135" s="24"/>
      <c r="Z135" s="24" t="s">
        <v>78</v>
      </c>
      <c r="AA135" s="24"/>
      <c r="AB135" s="24"/>
      <c r="AC135" s="24" t="s">
        <v>78</v>
      </c>
      <c r="AD135" s="24"/>
      <c r="AE135" s="31" t="e">
        <f aca="false">B135</f>
        <v>#REF!</v>
      </c>
      <c r="AF135" s="24"/>
      <c r="AG135" s="24" t="s">
        <v>78</v>
      </c>
      <c r="AH135" s="24"/>
      <c r="AI135" s="24"/>
      <c r="AJ135" s="24"/>
      <c r="AK135" s="24"/>
      <c r="AL135" s="24" t="e">
        <f aca="false">B135</f>
        <v>#REF!</v>
      </c>
      <c r="AM135" s="24"/>
      <c r="AN135" s="24" t="s">
        <v>78</v>
      </c>
      <c r="AO135" s="24"/>
      <c r="AP135" s="24"/>
      <c r="AQ135" s="24"/>
      <c r="AR135" s="24"/>
      <c r="AS135" s="24" t="n">
        <f aca="false">COUNTIF(E135:AQ135,"H")</f>
        <v>8</v>
      </c>
      <c r="AT135" s="24" t="n">
        <f aca="false">COUNTIF(E135:AQ135,"I")</f>
        <v>0</v>
      </c>
      <c r="AU135" s="24" t="n">
        <f aca="false">COUNTIF(E135:AQ135,"TD")</f>
        <v>0</v>
      </c>
      <c r="AV135" s="24" t="n">
        <f aca="false">COUNTIF(E135:AQ135,"S")</f>
        <v>0</v>
      </c>
      <c r="AW135" s="24" t="n">
        <f aca="false">COUNTIF(E135:AQ135,"A")</f>
        <v>0</v>
      </c>
      <c r="AX135" s="24" t="e">
        <f aca="false">B135</f>
        <v>#REF!</v>
      </c>
    </row>
    <row r="136" customFormat="false" ht="15.75" hidden="false" customHeight="false" outlineLevel="0" collapsed="false">
      <c r="A136" s="24" t="n">
        <v>28</v>
      </c>
      <c r="B136" s="31" t="e">
        <f aca="false">B34</f>
        <v>#REF!</v>
      </c>
      <c r="C136" s="38" t="e">
        <f aca="false">C34</f>
        <v>#REF!</v>
      </c>
      <c r="D136" s="24"/>
      <c r="E136" s="24" t="s">
        <v>78</v>
      </c>
      <c r="F136" s="24"/>
      <c r="G136" s="24"/>
      <c r="H136" s="24" t="s">
        <v>78</v>
      </c>
      <c r="I136" s="24"/>
      <c r="J136" s="31" t="e">
        <f aca="false">B136</f>
        <v>#REF!</v>
      </c>
      <c r="K136" s="24"/>
      <c r="L136" s="24" t="s">
        <v>78</v>
      </c>
      <c r="M136" s="24"/>
      <c r="N136" s="24"/>
      <c r="O136" s="24"/>
      <c r="P136" s="24"/>
      <c r="Q136" s="31" t="e">
        <f aca="false">B136</f>
        <v>#REF!</v>
      </c>
      <c r="R136" s="24"/>
      <c r="S136" s="24" t="s">
        <v>78</v>
      </c>
      <c r="T136" s="24"/>
      <c r="U136" s="24"/>
      <c r="V136" s="24"/>
      <c r="W136" s="24"/>
      <c r="X136" s="31" t="e">
        <f aca="false">B136</f>
        <v>#REF!</v>
      </c>
      <c r="Y136" s="24"/>
      <c r="Z136" s="24" t="s">
        <v>78</v>
      </c>
      <c r="AA136" s="24"/>
      <c r="AB136" s="24"/>
      <c r="AC136" s="24"/>
      <c r="AD136" s="24"/>
      <c r="AE136" s="31" t="e">
        <f aca="false">B136</f>
        <v>#REF!</v>
      </c>
      <c r="AF136" s="24"/>
      <c r="AG136" s="24"/>
      <c r="AH136" s="24"/>
      <c r="AI136" s="24"/>
      <c r="AJ136" s="24"/>
      <c r="AK136" s="24"/>
      <c r="AL136" s="24" t="e">
        <f aca="false">B136</f>
        <v>#REF!</v>
      </c>
      <c r="AM136" s="24"/>
      <c r="AN136" s="24"/>
      <c r="AO136" s="24"/>
      <c r="AP136" s="24"/>
      <c r="AQ136" s="24"/>
      <c r="AR136" s="24"/>
      <c r="AS136" s="24" t="n">
        <f aca="false">COUNTIF(E136:AQ136,"H")</f>
        <v>5</v>
      </c>
      <c r="AT136" s="24" t="n">
        <f aca="false">COUNTIF(E136:AQ136,"I")</f>
        <v>0</v>
      </c>
      <c r="AU136" s="24" t="n">
        <f aca="false">COUNTIF(E136:AQ136,"TD")</f>
        <v>0</v>
      </c>
      <c r="AV136" s="24" t="n">
        <f aca="false">COUNTIF(E136:AQ136,"S")</f>
        <v>0</v>
      </c>
      <c r="AW136" s="24" t="n">
        <f aca="false">COUNTIF(E136:AQ136,"A")</f>
        <v>0</v>
      </c>
      <c r="AX136" s="24" t="e">
        <f aca="false">B136</f>
        <v>#REF!</v>
      </c>
    </row>
    <row r="137" customFormat="false" ht="15.75" hidden="false" customHeight="false" outlineLevel="0" collapsed="false">
      <c r="A137" s="19" t="s">
        <v>56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24"/>
      <c r="AS137" s="24"/>
      <c r="AT137" s="24"/>
      <c r="AU137" s="24"/>
      <c r="AV137" s="24"/>
      <c r="AW137" s="24"/>
      <c r="AX137" s="24"/>
    </row>
    <row r="138" customFormat="false" ht="15.75" hidden="false" customHeight="fals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24"/>
      <c r="AS138" s="24"/>
      <c r="AT138" s="24"/>
      <c r="AU138" s="24"/>
      <c r="AV138" s="24"/>
      <c r="AW138" s="24"/>
      <c r="AX138" s="24"/>
    </row>
    <row r="139" customFormat="false" ht="15.75" hidden="false" customHeight="fals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24"/>
      <c r="AS139" s="24"/>
      <c r="AT139" s="24"/>
      <c r="AU139" s="24"/>
      <c r="AV139" s="24"/>
      <c r="AW139" s="24"/>
      <c r="AX139" s="24"/>
    </row>
    <row r="140" customFormat="false" ht="15.75" hidden="false" customHeight="false" outlineLevel="0" collapsed="false">
      <c r="A140" s="32" t="s">
        <v>261</v>
      </c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</row>
    <row r="141" customFormat="false" ht="15.75" hidden="false" customHeight="false" outlineLevel="0" collapsed="false">
      <c r="A141" s="21" t="s">
        <v>1</v>
      </c>
      <c r="B141" s="21" t="s">
        <v>2</v>
      </c>
      <c r="C141" s="22"/>
      <c r="D141" s="33" t="s">
        <v>262</v>
      </c>
      <c r="E141" s="33"/>
      <c r="F141" s="33"/>
      <c r="G141" s="33"/>
      <c r="H141" s="33"/>
      <c r="I141" s="33"/>
      <c r="J141" s="34"/>
      <c r="K141" s="33" t="s">
        <v>262</v>
      </c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 t="s">
        <v>65</v>
      </c>
      <c r="AT141" s="33"/>
      <c r="AU141" s="33"/>
      <c r="AV141" s="33"/>
      <c r="AW141" s="33"/>
      <c r="AX141" s="34"/>
    </row>
    <row r="142" customFormat="false" ht="15.75" hidden="false" customHeight="false" outlineLevel="0" collapsed="false">
      <c r="A142" s="21"/>
      <c r="B142" s="21"/>
      <c r="C142" s="22" t="s">
        <v>66</v>
      </c>
      <c r="D142" s="35" t="s">
        <v>67</v>
      </c>
      <c r="E142" s="35"/>
      <c r="F142" s="36" t="s">
        <v>68</v>
      </c>
      <c r="G142" s="35" t="s">
        <v>69</v>
      </c>
      <c r="H142" s="35"/>
      <c r="I142" s="36" t="s">
        <v>68</v>
      </c>
      <c r="J142" s="37"/>
      <c r="K142" s="35" t="s">
        <v>89</v>
      </c>
      <c r="L142" s="35"/>
      <c r="M142" s="36" t="s">
        <v>68</v>
      </c>
      <c r="N142" s="35" t="s">
        <v>69</v>
      </c>
      <c r="O142" s="35"/>
      <c r="P142" s="36" t="s">
        <v>68</v>
      </c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6" t="s">
        <v>70</v>
      </c>
      <c r="AT142" s="36" t="s">
        <v>71</v>
      </c>
      <c r="AU142" s="36" t="s">
        <v>72</v>
      </c>
      <c r="AV142" s="36" t="s">
        <v>73</v>
      </c>
      <c r="AW142" s="36" t="s">
        <v>74</v>
      </c>
      <c r="AX142" s="37"/>
    </row>
    <row r="143" customFormat="false" ht="15.75" hidden="false" customHeight="false" outlineLevel="0" collapsed="false">
      <c r="A143" s="24" t="n">
        <v>1</v>
      </c>
      <c r="B143" s="31" t="str">
        <f aca="false">B7</f>
        <v>AYI KOSIM HATIMI</v>
      </c>
      <c r="C143" s="24" t="n">
        <f aca="false">C7</f>
        <v>30</v>
      </c>
      <c r="D143" s="24" t="s">
        <v>263</v>
      </c>
      <c r="E143" s="24" t="s">
        <v>78</v>
      </c>
      <c r="F143" s="24" t="s">
        <v>76</v>
      </c>
      <c r="G143" s="24"/>
      <c r="H143" s="24"/>
      <c r="I143" s="24"/>
      <c r="J143" s="31" t="str">
        <f aca="false">B143</f>
        <v>AYI KOSIM HATIMI</v>
      </c>
      <c r="K143" s="24" t="s">
        <v>264</v>
      </c>
      <c r="L143" s="24" t="s">
        <v>78</v>
      </c>
      <c r="M143" s="24" t="s">
        <v>76</v>
      </c>
      <c r="N143" s="24"/>
      <c r="O143" s="24"/>
      <c r="P143" s="24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24" t="n">
        <f aca="false">COUNTIF(G143:AQ143,"H")</f>
        <v>1</v>
      </c>
      <c r="AT143" s="24" t="n">
        <f aca="false">COUNTIF(G143:AQ143,"I")</f>
        <v>0</v>
      </c>
      <c r="AU143" s="24" t="n">
        <f aca="false">COUNTIF(G143:AQ143,"TD")</f>
        <v>0</v>
      </c>
      <c r="AV143" s="24" t="n">
        <f aca="false">COUNTIF(G143:AQ143,"S")</f>
        <v>0</v>
      </c>
      <c r="AW143" s="24" t="n">
        <f aca="false">COUNTIF(G143:AQ143,"A")</f>
        <v>0</v>
      </c>
      <c r="AX143" s="24" t="str">
        <f aca="false">B143</f>
        <v>AYI KOSIM HATIMI</v>
      </c>
    </row>
    <row r="144" customFormat="false" ht="15.75" hidden="false" customHeight="false" outlineLevel="0" collapsed="false">
      <c r="A144" s="24" t="n">
        <v>2</v>
      </c>
      <c r="B144" s="31" t="str">
        <f aca="false">B8</f>
        <v>ABRURRAHMAN AFANDI</v>
      </c>
      <c r="C144" s="24" t="n">
        <f aca="false">C8</f>
        <v>30</v>
      </c>
      <c r="D144" s="24" t="s">
        <v>265</v>
      </c>
      <c r="E144" s="24" t="s">
        <v>78</v>
      </c>
      <c r="F144" s="24" t="s">
        <v>76</v>
      </c>
      <c r="G144" s="24"/>
      <c r="H144" s="24"/>
      <c r="I144" s="24"/>
      <c r="J144" s="31" t="str">
        <f aca="false">B144</f>
        <v>ABRURRAHMAN AFANDI</v>
      </c>
      <c r="K144" s="24"/>
      <c r="L144" s="24" t="s">
        <v>78</v>
      </c>
      <c r="M144" s="24"/>
      <c r="N144" s="24"/>
      <c r="O144" s="24"/>
      <c r="P144" s="24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24" t="n">
        <f aca="false">COUNTIF(G144:AQ144,"H")</f>
        <v>1</v>
      </c>
      <c r="AT144" s="24" t="n">
        <f aca="false">COUNTIF(G144:AQ144,"I")</f>
        <v>0</v>
      </c>
      <c r="AU144" s="24" t="n">
        <f aca="false">COUNTIF(G144:AQ144,"TD")</f>
        <v>0</v>
      </c>
      <c r="AV144" s="24" t="n">
        <f aca="false">COUNTIF(G144:AQ144,"S")</f>
        <v>0</v>
      </c>
      <c r="AW144" s="24" t="n">
        <f aca="false">COUNTIF(G144:AQ144,"A")</f>
        <v>0</v>
      </c>
      <c r="AX144" s="24" t="str">
        <f aca="false">B144</f>
        <v>ABRURRAHMAN AFANDI</v>
      </c>
    </row>
    <row r="145" customFormat="false" ht="15.75" hidden="false" customHeight="false" outlineLevel="0" collapsed="false">
      <c r="A145" s="24" t="n">
        <v>3</v>
      </c>
      <c r="B145" s="31" t="str">
        <f aca="false">B9</f>
        <v>CECEP ABDULATIF</v>
      </c>
      <c r="C145" s="24" t="n">
        <f aca="false">C9</f>
        <v>30</v>
      </c>
      <c r="D145" s="24"/>
      <c r="E145" s="24"/>
      <c r="F145" s="24"/>
      <c r="G145" s="24"/>
      <c r="H145" s="24"/>
      <c r="I145" s="24"/>
      <c r="J145" s="31" t="str">
        <f aca="false">B145</f>
        <v>CECEP ABDULATIF</v>
      </c>
      <c r="K145" s="24" t="s">
        <v>266</v>
      </c>
      <c r="L145" s="24" t="s">
        <v>78</v>
      </c>
      <c r="M145" s="24" t="s">
        <v>76</v>
      </c>
      <c r="N145" s="24"/>
      <c r="O145" s="24"/>
      <c r="P145" s="24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24" t="n">
        <f aca="false">COUNTIF(G145:AQ145,"H")</f>
        <v>1</v>
      </c>
      <c r="AT145" s="24" t="n">
        <f aca="false">COUNTIF(G145:AQ145,"I")</f>
        <v>0</v>
      </c>
      <c r="AU145" s="24" t="n">
        <f aca="false">COUNTIF(G145:AQ145,"TD")</f>
        <v>0</v>
      </c>
      <c r="AV145" s="24" t="n">
        <f aca="false">COUNTIF(G145:AQ145,"S")</f>
        <v>0</v>
      </c>
      <c r="AW145" s="24" t="n">
        <f aca="false">COUNTIF(G145:AQ145,"A")</f>
        <v>0</v>
      </c>
      <c r="AX145" s="24" t="str">
        <f aca="false">B145</f>
        <v>CECEP ABDULATIF</v>
      </c>
    </row>
    <row r="146" customFormat="false" ht="15.75" hidden="false" customHeight="false" outlineLevel="0" collapsed="false">
      <c r="A146" s="24" t="n">
        <v>4</v>
      </c>
      <c r="B146" s="31" t="str">
        <f aca="false">B10</f>
        <v>DONI SUPRIATNA</v>
      </c>
      <c r="C146" s="24" t="n">
        <f aca="false">C10</f>
        <v>30</v>
      </c>
      <c r="D146" s="24"/>
      <c r="E146" s="24" t="s">
        <v>78</v>
      </c>
      <c r="F146" s="24"/>
      <c r="G146" s="24"/>
      <c r="H146" s="24"/>
      <c r="I146" s="24"/>
      <c r="J146" s="31" t="str">
        <f aca="false">B146</f>
        <v>DONI SUPRIATNA</v>
      </c>
      <c r="K146" s="24"/>
      <c r="L146" s="24" t="s">
        <v>78</v>
      </c>
      <c r="M146" s="24"/>
      <c r="N146" s="24"/>
      <c r="O146" s="24"/>
      <c r="P146" s="24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24" t="n">
        <f aca="false">COUNTIF(G146:AQ146,"H")</f>
        <v>1</v>
      </c>
      <c r="AT146" s="24" t="n">
        <f aca="false">COUNTIF(G146:AQ146,"I")</f>
        <v>0</v>
      </c>
      <c r="AU146" s="24" t="n">
        <f aca="false">COUNTIF(G146:AQ146,"TD")</f>
        <v>0</v>
      </c>
      <c r="AV146" s="24" t="n">
        <f aca="false">COUNTIF(G146:AQ146,"S")</f>
        <v>0</v>
      </c>
      <c r="AW146" s="24" t="n">
        <f aca="false">COUNTIF(G146:AQ146,"A")</f>
        <v>0</v>
      </c>
      <c r="AX146" s="24" t="str">
        <f aca="false">B146</f>
        <v>DONI SUPRIATNA</v>
      </c>
    </row>
    <row r="147" customFormat="false" ht="15.75" hidden="false" customHeight="false" outlineLevel="0" collapsed="false">
      <c r="A147" s="24" t="n">
        <v>5</v>
      </c>
      <c r="B147" s="31" t="e">
        <f aca="false">B11</f>
        <v>#REF!</v>
      </c>
      <c r="C147" s="24" t="e">
        <f aca="false">C11</f>
        <v>#REF!</v>
      </c>
      <c r="D147" s="24" t="s">
        <v>267</v>
      </c>
      <c r="E147" s="24" t="s">
        <v>78</v>
      </c>
      <c r="F147" s="24" t="s">
        <v>76</v>
      </c>
      <c r="G147" s="24"/>
      <c r="H147" s="24"/>
      <c r="I147" s="24"/>
      <c r="J147" s="31" t="e">
        <f aca="false">B147</f>
        <v>#REF!</v>
      </c>
      <c r="K147" s="38"/>
      <c r="L147" s="24" t="s">
        <v>78</v>
      </c>
      <c r="M147" s="24"/>
      <c r="N147" s="24"/>
      <c r="O147" s="24"/>
      <c r="P147" s="24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24" t="n">
        <f aca="false">COUNTIF(G147:AQ147,"H")</f>
        <v>1</v>
      </c>
      <c r="AT147" s="24" t="n">
        <f aca="false">COUNTIF(G147:AQ147,"I")</f>
        <v>0</v>
      </c>
      <c r="AU147" s="24" t="n">
        <f aca="false">COUNTIF(G147:AQ147,"TD")</f>
        <v>0</v>
      </c>
      <c r="AV147" s="24" t="n">
        <f aca="false">COUNTIF(G147:AQ147,"S")</f>
        <v>0</v>
      </c>
      <c r="AW147" s="24" t="n">
        <f aca="false">COUNTIF(G147:AQ147,"A")</f>
        <v>0</v>
      </c>
      <c r="AX147" s="24" t="e">
        <f aca="false">B147</f>
        <v>#REF!</v>
      </c>
    </row>
    <row r="148" customFormat="false" ht="15.75" hidden="false" customHeight="false" outlineLevel="0" collapsed="false">
      <c r="A148" s="24" t="n">
        <v>6</v>
      </c>
      <c r="B148" s="31" t="str">
        <f aca="false">B12</f>
        <v>ZAKY AZHARI</v>
      </c>
      <c r="C148" s="24" t="n">
        <f aca="false">C12</f>
        <v>30</v>
      </c>
      <c r="D148" s="24"/>
      <c r="E148" s="24"/>
      <c r="F148" s="24"/>
      <c r="G148" s="24"/>
      <c r="H148" s="24"/>
      <c r="I148" s="24"/>
      <c r="J148" s="31" t="str">
        <f aca="false">B148</f>
        <v>ZAKY AZHARI</v>
      </c>
      <c r="K148" s="24"/>
      <c r="L148" s="24"/>
      <c r="M148" s="24"/>
      <c r="N148" s="24"/>
      <c r="O148" s="24"/>
      <c r="P148" s="24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24" t="n">
        <f aca="false">COUNTIF(G148:AQ148,"H")</f>
        <v>0</v>
      </c>
      <c r="AT148" s="24" t="n">
        <f aca="false">COUNTIF(G148:AQ148,"I")</f>
        <v>0</v>
      </c>
      <c r="AU148" s="24" t="n">
        <f aca="false">COUNTIF(G148:AQ148,"TD")</f>
        <v>0</v>
      </c>
      <c r="AV148" s="24" t="n">
        <f aca="false">COUNTIF(G148:AQ148,"S")</f>
        <v>0</v>
      </c>
      <c r="AW148" s="24" t="n">
        <f aca="false">COUNTIF(G148:AQ148,"A")</f>
        <v>0</v>
      </c>
      <c r="AX148" s="24" t="str">
        <f aca="false">B148</f>
        <v>ZAKY AZHARI</v>
      </c>
    </row>
    <row r="149" customFormat="false" ht="15.75" hidden="false" customHeight="false" outlineLevel="0" collapsed="false">
      <c r="A149" s="24" t="n">
        <v>7</v>
      </c>
      <c r="B149" s="31" t="str">
        <f aca="false">B13</f>
        <v>MUHAMMAD FAUZIL ADZIM</v>
      </c>
      <c r="C149" s="24" t="n">
        <f aca="false">C13</f>
        <v>30</v>
      </c>
      <c r="D149" s="24"/>
      <c r="E149" s="24"/>
      <c r="F149" s="24"/>
      <c r="G149" s="24"/>
      <c r="H149" s="24"/>
      <c r="I149" s="24"/>
      <c r="J149" s="31" t="str">
        <f aca="false">B149</f>
        <v>MUHAMMAD FAUZIL ADZIM</v>
      </c>
      <c r="K149" s="24"/>
      <c r="L149" s="24"/>
      <c r="M149" s="24"/>
      <c r="N149" s="24"/>
      <c r="O149" s="24"/>
      <c r="P149" s="24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24" t="n">
        <f aca="false">COUNTIF(G149:AQ149,"H")</f>
        <v>0</v>
      </c>
      <c r="AT149" s="24" t="n">
        <f aca="false">COUNTIF(G149:AQ149,"I")</f>
        <v>0</v>
      </c>
      <c r="AU149" s="24" t="n">
        <f aca="false">COUNTIF(G149:AQ149,"TD")</f>
        <v>0</v>
      </c>
      <c r="AV149" s="24" t="n">
        <f aca="false">COUNTIF(G149:AQ149,"S")</f>
        <v>0</v>
      </c>
      <c r="AW149" s="24" t="n">
        <f aca="false">COUNTIF(G149:AQ149,"A")</f>
        <v>0</v>
      </c>
      <c r="AX149" s="24" t="str">
        <f aca="false">B149</f>
        <v>MUHAMMAD FAUZIL ADZIM</v>
      </c>
    </row>
    <row r="150" customFormat="false" ht="15.75" hidden="false" customHeight="false" outlineLevel="0" collapsed="false">
      <c r="A150" s="24" t="n">
        <v>8</v>
      </c>
      <c r="B150" s="31" t="str">
        <f aca="false">B14</f>
        <v>MUHAMMAD DZIKRI HUSAENI</v>
      </c>
      <c r="C150" s="24" t="n">
        <f aca="false">C14</f>
        <v>18</v>
      </c>
      <c r="D150" s="24" t="s">
        <v>268</v>
      </c>
      <c r="E150" s="24" t="s">
        <v>78</v>
      </c>
      <c r="F150" s="24"/>
      <c r="G150" s="24"/>
      <c r="H150" s="24"/>
      <c r="I150" s="24"/>
      <c r="J150" s="31" t="str">
        <f aca="false">B150</f>
        <v>MUHAMMAD DZIKRI HUSAENI</v>
      </c>
      <c r="K150" s="24" t="s">
        <v>269</v>
      </c>
      <c r="L150" s="24" t="s">
        <v>78</v>
      </c>
      <c r="M150" s="24" t="s">
        <v>76</v>
      </c>
      <c r="N150" s="24"/>
      <c r="O150" s="24"/>
      <c r="P150" s="24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24" t="n">
        <f aca="false">COUNTIF(G150:AQ150,"H")</f>
        <v>1</v>
      </c>
      <c r="AT150" s="24" t="n">
        <f aca="false">COUNTIF(G150:AQ150,"I")</f>
        <v>0</v>
      </c>
      <c r="AU150" s="24" t="n">
        <f aca="false">COUNTIF(G150:AQ150,"TD")</f>
        <v>0</v>
      </c>
      <c r="AV150" s="24" t="n">
        <f aca="false">COUNTIF(G150:AQ150,"S")</f>
        <v>0</v>
      </c>
      <c r="AW150" s="24" t="n">
        <f aca="false">COUNTIF(G150:AQ150,"A")</f>
        <v>0</v>
      </c>
      <c r="AX150" s="24" t="str">
        <f aca="false">B150</f>
        <v>MUHAMMAD DZIKRI HUSAENI</v>
      </c>
    </row>
    <row r="151" customFormat="false" ht="15.75" hidden="false" customHeight="false" outlineLevel="0" collapsed="false">
      <c r="A151" s="24" t="n">
        <v>9</v>
      </c>
      <c r="B151" s="31" t="e">
        <f aca="false">B15</f>
        <v>#REF!</v>
      </c>
      <c r="C151" s="24" t="e">
        <f aca="false">C15</f>
        <v>#REF!</v>
      </c>
      <c r="D151" s="24"/>
      <c r="E151" s="24"/>
      <c r="F151" s="24"/>
      <c r="G151" s="24"/>
      <c r="H151" s="24"/>
      <c r="I151" s="24"/>
      <c r="J151" s="31" t="e">
        <f aca="false">B151</f>
        <v>#REF!</v>
      </c>
      <c r="K151" s="24" t="s">
        <v>270</v>
      </c>
      <c r="L151" s="24" t="s">
        <v>78</v>
      </c>
      <c r="M151" s="24" t="s">
        <v>76</v>
      </c>
      <c r="N151" s="24"/>
      <c r="O151" s="24"/>
      <c r="P151" s="24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24" t="n">
        <f aca="false">COUNTIF(G151:AQ151,"H")</f>
        <v>1</v>
      </c>
      <c r="AT151" s="24" t="n">
        <f aca="false">COUNTIF(G151:AQ151,"I")</f>
        <v>0</v>
      </c>
      <c r="AU151" s="24" t="n">
        <f aca="false">COUNTIF(G151:AQ151,"TD")</f>
        <v>0</v>
      </c>
      <c r="AV151" s="24" t="n">
        <f aca="false">COUNTIF(G151:AQ151,"S")</f>
        <v>0</v>
      </c>
      <c r="AW151" s="24" t="n">
        <f aca="false">COUNTIF(G151:AQ151,"A")</f>
        <v>0</v>
      </c>
      <c r="AX151" s="24" t="e">
        <f aca="false">B151</f>
        <v>#REF!</v>
      </c>
    </row>
    <row r="152" customFormat="false" ht="15.75" hidden="false" customHeight="false" outlineLevel="0" collapsed="false">
      <c r="A152" s="24" t="n">
        <v>10</v>
      </c>
      <c r="B152" s="31" t="str">
        <f aca="false">B16</f>
        <v>ABDUL KHOLIQ</v>
      </c>
      <c r="C152" s="24" t="n">
        <f aca="false">C16</f>
        <v>14</v>
      </c>
      <c r="D152" s="24"/>
      <c r="E152" s="24"/>
      <c r="F152" s="24"/>
      <c r="G152" s="24"/>
      <c r="H152" s="24"/>
      <c r="I152" s="24"/>
      <c r="J152" s="31" t="str">
        <f aca="false">B152</f>
        <v>ABDUL KHOLIQ</v>
      </c>
      <c r="K152" s="24"/>
      <c r="L152" s="24"/>
      <c r="M152" s="24"/>
      <c r="N152" s="24"/>
      <c r="O152" s="24"/>
      <c r="P152" s="24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24" t="n">
        <f aca="false">COUNTIF(G152:AQ152,"H")</f>
        <v>0</v>
      </c>
      <c r="AT152" s="24" t="n">
        <f aca="false">COUNTIF(G152:AQ152,"I")</f>
        <v>0</v>
      </c>
      <c r="AU152" s="24" t="n">
        <f aca="false">COUNTIF(G152:AQ152,"TD")</f>
        <v>0</v>
      </c>
      <c r="AV152" s="24" t="n">
        <f aca="false">COUNTIF(G152:AQ152,"S")</f>
        <v>0</v>
      </c>
      <c r="AW152" s="24" t="n">
        <f aca="false">COUNTIF(G152:AQ152,"A")</f>
        <v>0</v>
      </c>
      <c r="AX152" s="24" t="str">
        <f aca="false">B152</f>
        <v>ABDUL KHOLIQ</v>
      </c>
    </row>
    <row r="153" customFormat="false" ht="15.75" hidden="false" customHeight="false" outlineLevel="0" collapsed="false">
      <c r="A153" s="24" t="n">
        <v>11</v>
      </c>
      <c r="B153" s="31" t="str">
        <f aca="false">B17</f>
        <v>IYAN FARID</v>
      </c>
      <c r="C153" s="24" t="n">
        <f aca="false">C17</f>
        <v>13</v>
      </c>
      <c r="D153" s="24" t="s">
        <v>271</v>
      </c>
      <c r="E153" s="24" t="s">
        <v>78</v>
      </c>
      <c r="F153" s="24" t="s">
        <v>76</v>
      </c>
      <c r="G153" s="24"/>
      <c r="H153" s="24"/>
      <c r="I153" s="24"/>
      <c r="J153" s="31" t="str">
        <f aca="false">B153</f>
        <v>IYAN FARID</v>
      </c>
      <c r="K153" s="24"/>
      <c r="L153" s="24" t="s">
        <v>78</v>
      </c>
      <c r="M153" s="24"/>
      <c r="N153" s="24"/>
      <c r="O153" s="24"/>
      <c r="P153" s="24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24" t="n">
        <f aca="false">COUNTIF(G153:AQ153,"H")</f>
        <v>1</v>
      </c>
      <c r="AT153" s="24" t="n">
        <f aca="false">COUNTIF(G153:AQ153,"I")</f>
        <v>0</v>
      </c>
      <c r="AU153" s="24" t="n">
        <f aca="false">COUNTIF(G153:AQ153,"TD")</f>
        <v>0</v>
      </c>
      <c r="AV153" s="24" t="n">
        <f aca="false">COUNTIF(G153:AQ153,"S")</f>
        <v>0</v>
      </c>
      <c r="AW153" s="24" t="n">
        <f aca="false">COUNTIF(G153:AQ153,"A")</f>
        <v>0</v>
      </c>
      <c r="AX153" s="24" t="str">
        <f aca="false">B153</f>
        <v>IYAN FARID</v>
      </c>
    </row>
    <row r="154" customFormat="false" ht="15.75" hidden="false" customHeight="false" outlineLevel="0" collapsed="false">
      <c r="A154" s="24" t="n">
        <v>12</v>
      </c>
      <c r="B154" s="31" t="str">
        <f aca="false">B18</f>
        <v>ZAENI NURIL HIKAM</v>
      </c>
      <c r="C154" s="24" t="n">
        <f aca="false">C18</f>
        <v>12</v>
      </c>
      <c r="D154" s="24"/>
      <c r="E154" s="24"/>
      <c r="F154" s="24"/>
      <c r="G154" s="24"/>
      <c r="H154" s="24"/>
      <c r="I154" s="24"/>
      <c r="J154" s="31" t="str">
        <f aca="false">B154</f>
        <v>ZAENI NURIL HIKAM</v>
      </c>
      <c r="K154" s="24" t="s">
        <v>272</v>
      </c>
      <c r="L154" s="24" t="s">
        <v>78</v>
      </c>
      <c r="M154" s="24"/>
      <c r="N154" s="24"/>
      <c r="O154" s="24"/>
      <c r="P154" s="24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24" t="n">
        <f aca="false">COUNTIF(G154:AQ154,"H")</f>
        <v>1</v>
      </c>
      <c r="AT154" s="24" t="n">
        <f aca="false">COUNTIF(G154:AQ154,"I")</f>
        <v>0</v>
      </c>
      <c r="AU154" s="24" t="n">
        <f aca="false">COUNTIF(G154:AQ154,"TD")</f>
        <v>0</v>
      </c>
      <c r="AV154" s="24" t="n">
        <f aca="false">COUNTIF(G154:AQ154,"S")</f>
        <v>0</v>
      </c>
      <c r="AW154" s="24" t="n">
        <f aca="false">COUNTIF(G154:AQ154,"A")</f>
        <v>0</v>
      </c>
      <c r="AX154" s="24" t="str">
        <f aca="false">B154</f>
        <v>ZAENI NURIL HIKAM</v>
      </c>
    </row>
    <row r="155" customFormat="false" ht="15.75" hidden="false" customHeight="false" outlineLevel="0" collapsed="false">
      <c r="A155" s="24" t="n">
        <v>13</v>
      </c>
      <c r="B155" s="31" t="str">
        <f aca="false">B19</f>
        <v>LUCKY KURNIAWAN</v>
      </c>
      <c r="C155" s="24" t="n">
        <f aca="false">C19</f>
        <v>12</v>
      </c>
      <c r="D155" s="24" t="s">
        <v>273</v>
      </c>
      <c r="E155" s="24" t="s">
        <v>78</v>
      </c>
      <c r="F155" s="24"/>
      <c r="G155" s="24"/>
      <c r="H155" s="24"/>
      <c r="I155" s="24"/>
      <c r="J155" s="31" t="str">
        <f aca="false">B155</f>
        <v>LUCKY KURNIAWAN</v>
      </c>
      <c r="K155" s="24"/>
      <c r="L155" s="24"/>
      <c r="M155" s="24"/>
      <c r="N155" s="24"/>
      <c r="O155" s="24"/>
      <c r="P155" s="24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24" t="n">
        <f aca="false">COUNTIF(G155:AQ155,"H")</f>
        <v>0</v>
      </c>
      <c r="AT155" s="24" t="n">
        <f aca="false">COUNTIF(G155:AQ155,"I")</f>
        <v>0</v>
      </c>
      <c r="AU155" s="24" t="n">
        <f aca="false">COUNTIF(G155:AQ155,"TD")</f>
        <v>0</v>
      </c>
      <c r="AV155" s="24" t="n">
        <f aca="false">COUNTIF(G155:AQ155,"S")</f>
        <v>0</v>
      </c>
      <c r="AW155" s="24" t="n">
        <f aca="false">COUNTIF(G155:AQ155,"A")</f>
        <v>0</v>
      </c>
      <c r="AX155" s="24" t="str">
        <f aca="false">B155</f>
        <v>LUCKY KURNIAWAN</v>
      </c>
    </row>
    <row r="156" customFormat="false" ht="15.75" hidden="false" customHeight="false" outlineLevel="0" collapsed="false">
      <c r="A156" s="24" t="n">
        <v>14</v>
      </c>
      <c r="B156" s="31" t="str">
        <f aca="false">B20</f>
        <v>MUHAMMAD RAFIK MUHARAM</v>
      </c>
      <c r="C156" s="24" t="n">
        <f aca="false">C20</f>
        <v>12</v>
      </c>
      <c r="D156" s="24" t="s">
        <v>274</v>
      </c>
      <c r="E156" s="24" t="s">
        <v>78</v>
      </c>
      <c r="F156" s="24" t="s">
        <v>76</v>
      </c>
      <c r="G156" s="24"/>
      <c r="H156" s="24"/>
      <c r="I156" s="24"/>
      <c r="J156" s="31" t="str">
        <f aca="false">B156</f>
        <v>MUHAMMAD RAFIK MUHARAM</v>
      </c>
      <c r="K156" s="24" t="s">
        <v>275</v>
      </c>
      <c r="L156" s="24" t="s">
        <v>78</v>
      </c>
      <c r="M156" s="24" t="s">
        <v>76</v>
      </c>
      <c r="N156" s="24"/>
      <c r="O156" s="24"/>
      <c r="P156" s="24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24" t="n">
        <f aca="false">COUNTIF(G156:AQ156,"H")</f>
        <v>1</v>
      </c>
      <c r="AT156" s="24" t="n">
        <f aca="false">COUNTIF(G156:AQ156,"I")</f>
        <v>0</v>
      </c>
      <c r="AU156" s="24" t="n">
        <f aca="false">COUNTIF(G156:AQ156,"TD")</f>
        <v>0</v>
      </c>
      <c r="AV156" s="24" t="n">
        <f aca="false">COUNTIF(G156:AQ156,"S")</f>
        <v>0</v>
      </c>
      <c r="AW156" s="24" t="n">
        <f aca="false">COUNTIF(G156:AQ156,"A")</f>
        <v>0</v>
      </c>
      <c r="AX156" s="24" t="str">
        <f aca="false">B156</f>
        <v>MUHAMMAD RAFIK MUHARAM</v>
      </c>
    </row>
    <row r="157" customFormat="false" ht="15.75" hidden="false" customHeight="false" outlineLevel="0" collapsed="false">
      <c r="A157" s="24" t="n">
        <v>15</v>
      </c>
      <c r="B157" s="31" t="str">
        <f aca="false">B21</f>
        <v>UMAR ABDUL MALIK</v>
      </c>
      <c r="C157" s="24" t="n">
        <f aca="false">C21</f>
        <v>11</v>
      </c>
      <c r="D157" s="24" t="s">
        <v>276</v>
      </c>
      <c r="E157" s="24" t="s">
        <v>78</v>
      </c>
      <c r="F157" s="24" t="s">
        <v>76</v>
      </c>
      <c r="G157" s="24"/>
      <c r="H157" s="24"/>
      <c r="I157" s="24"/>
      <c r="J157" s="31" t="str">
        <f aca="false">B157</f>
        <v>UMAR ABDUL MALIK</v>
      </c>
      <c r="K157" s="24" t="s">
        <v>277</v>
      </c>
      <c r="L157" s="24" t="s">
        <v>78</v>
      </c>
      <c r="M157" s="24" t="s">
        <v>76</v>
      </c>
      <c r="N157" s="24"/>
      <c r="O157" s="24"/>
      <c r="P157" s="24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24" t="n">
        <f aca="false">COUNTIF(G157:AQ157,"H")</f>
        <v>1</v>
      </c>
      <c r="AT157" s="24" t="n">
        <f aca="false">COUNTIF(G157:AQ157,"I")</f>
        <v>0</v>
      </c>
      <c r="AU157" s="24" t="n">
        <f aca="false">COUNTIF(G157:AQ157,"TD")</f>
        <v>0</v>
      </c>
      <c r="AV157" s="24" t="n">
        <f aca="false">COUNTIF(G157:AQ157,"S")</f>
        <v>0</v>
      </c>
      <c r="AW157" s="24" t="n">
        <f aca="false">COUNTIF(G157:AQ157,"A")</f>
        <v>0</v>
      </c>
      <c r="AX157" s="24" t="str">
        <f aca="false">B157</f>
        <v>UMAR ABDUL MALIK</v>
      </c>
    </row>
    <row r="158" customFormat="false" ht="15.75" hidden="false" customHeight="false" outlineLevel="0" collapsed="false">
      <c r="A158" s="24" t="n">
        <v>16</v>
      </c>
      <c r="B158" s="31" t="str">
        <f aca="false">B22</f>
        <v>AHMAD HAFIDZ ALHAWARI</v>
      </c>
      <c r="C158" s="24" t="n">
        <f aca="false">C22</f>
        <v>10</v>
      </c>
      <c r="D158" s="24" t="s">
        <v>278</v>
      </c>
      <c r="E158" s="24" t="s">
        <v>78</v>
      </c>
      <c r="F158" s="24" t="s">
        <v>76</v>
      </c>
      <c r="G158" s="24"/>
      <c r="H158" s="24"/>
      <c r="I158" s="24"/>
      <c r="J158" s="31" t="str">
        <f aca="false">B158</f>
        <v>AHMAD HAFIDZ ALHAWARI</v>
      </c>
      <c r="K158" s="24" t="s">
        <v>279</v>
      </c>
      <c r="L158" s="24" t="s">
        <v>78</v>
      </c>
      <c r="M158" s="24" t="s">
        <v>76</v>
      </c>
      <c r="N158" s="24"/>
      <c r="O158" s="24"/>
      <c r="P158" s="24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24" t="n">
        <f aca="false">COUNTIF(G158:AQ158,"H")</f>
        <v>1</v>
      </c>
      <c r="AT158" s="24" t="n">
        <f aca="false">COUNTIF(G158:AQ158,"I")</f>
        <v>0</v>
      </c>
      <c r="AU158" s="24" t="n">
        <f aca="false">COUNTIF(G158:AQ158,"TD")</f>
        <v>0</v>
      </c>
      <c r="AV158" s="24" t="n">
        <f aca="false">COUNTIF(G158:AQ158,"S")</f>
        <v>0</v>
      </c>
      <c r="AW158" s="24" t="n">
        <f aca="false">COUNTIF(G158:AQ158,"A")</f>
        <v>0</v>
      </c>
      <c r="AX158" s="24" t="str">
        <f aca="false">B158</f>
        <v>AHMAD HAFIDZ ALHAWARI</v>
      </c>
    </row>
    <row r="159" customFormat="false" ht="15.75" hidden="false" customHeight="false" outlineLevel="0" collapsed="false">
      <c r="A159" s="24" t="n">
        <v>17</v>
      </c>
      <c r="B159" s="31" t="s">
        <v>280</v>
      </c>
      <c r="C159" s="24" t="n">
        <f aca="false">C23</f>
        <v>10</v>
      </c>
      <c r="D159" s="24"/>
      <c r="E159" s="24" t="s">
        <v>78</v>
      </c>
      <c r="F159" s="24"/>
      <c r="G159" s="24"/>
      <c r="H159" s="24"/>
      <c r="I159" s="24"/>
      <c r="J159" s="31" t="str">
        <f aca="false">B159</f>
        <v>ABIDZAR FAYYAD AL FARIZI</v>
      </c>
      <c r="K159" s="24"/>
      <c r="L159" s="24" t="s">
        <v>78</v>
      </c>
      <c r="M159" s="24"/>
      <c r="N159" s="24"/>
      <c r="O159" s="24"/>
      <c r="P159" s="24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24" t="n">
        <f aca="false">COUNTIF(G159:AQ159,"H")</f>
        <v>1</v>
      </c>
      <c r="AT159" s="24" t="n">
        <f aca="false">COUNTIF(G159:AQ159,"I")</f>
        <v>0</v>
      </c>
      <c r="AU159" s="24" t="n">
        <f aca="false">COUNTIF(G159:AQ159,"TD")</f>
        <v>0</v>
      </c>
      <c r="AV159" s="24" t="n">
        <f aca="false">COUNTIF(G159:AQ159,"S")</f>
        <v>0</v>
      </c>
      <c r="AW159" s="24" t="n">
        <f aca="false">COUNTIF(G159:AQ159,"A")</f>
        <v>0</v>
      </c>
      <c r="AX159" s="24" t="str">
        <f aca="false">B159</f>
        <v>ABIDZAR FAYYAD AL FARIZI</v>
      </c>
    </row>
    <row r="160" customFormat="false" ht="15.75" hidden="false" customHeight="false" outlineLevel="0" collapsed="false">
      <c r="A160" s="24" t="n">
        <v>18</v>
      </c>
      <c r="B160" s="31" t="str">
        <f aca="false">B24</f>
        <v>AKBAR RAMADAN</v>
      </c>
      <c r="C160" s="24" t="n">
        <f aca="false">C24</f>
        <v>9</v>
      </c>
      <c r="D160" s="24" t="s">
        <v>281</v>
      </c>
      <c r="E160" s="24" t="s">
        <v>78</v>
      </c>
      <c r="F160" s="24" t="s">
        <v>76</v>
      </c>
      <c r="G160" s="24"/>
      <c r="H160" s="24"/>
      <c r="I160" s="24"/>
      <c r="J160" s="31" t="str">
        <f aca="false">B160</f>
        <v>AKBAR RAMADAN</v>
      </c>
      <c r="K160" s="24" t="s">
        <v>282</v>
      </c>
      <c r="L160" s="24" t="s">
        <v>78</v>
      </c>
      <c r="M160" s="24" t="s">
        <v>76</v>
      </c>
      <c r="N160" s="24"/>
      <c r="O160" s="24"/>
      <c r="P160" s="24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24" t="n">
        <f aca="false">COUNTIF(G160:AQ160,"H")</f>
        <v>1</v>
      </c>
      <c r="AT160" s="24" t="n">
        <f aca="false">COUNTIF(G160:AQ160,"I")</f>
        <v>0</v>
      </c>
      <c r="AU160" s="24" t="n">
        <f aca="false">COUNTIF(G160:AQ160,"TD")</f>
        <v>0</v>
      </c>
      <c r="AV160" s="24" t="n">
        <f aca="false">COUNTIF(G160:AQ160,"S")</f>
        <v>0</v>
      </c>
      <c r="AW160" s="24" t="n">
        <f aca="false">COUNTIF(G160:AQ160,"A")</f>
        <v>0</v>
      </c>
      <c r="AX160" s="24" t="str">
        <f aca="false">B160</f>
        <v>AKBAR RAMADAN</v>
      </c>
    </row>
    <row r="161" customFormat="false" ht="15.75" hidden="false" customHeight="false" outlineLevel="0" collapsed="false">
      <c r="A161" s="24" t="n">
        <v>19</v>
      </c>
      <c r="B161" s="31" t="e">
        <f aca="false">B25</f>
        <v>#REF!</v>
      </c>
      <c r="C161" s="24" t="e">
        <f aca="false">C25</f>
        <v>#REF!</v>
      </c>
      <c r="D161" s="24"/>
      <c r="E161" s="24" t="s">
        <v>78</v>
      </c>
      <c r="F161" s="24"/>
      <c r="G161" s="24"/>
      <c r="H161" s="24"/>
      <c r="I161" s="24"/>
      <c r="J161" s="31" t="e">
        <f aca="false">B161</f>
        <v>#REF!</v>
      </c>
      <c r="K161" s="24"/>
      <c r="L161" s="24" t="s">
        <v>78</v>
      </c>
      <c r="M161" s="24"/>
      <c r="N161" s="24"/>
      <c r="O161" s="24"/>
      <c r="P161" s="24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24" t="n">
        <f aca="false">COUNTIF(G161:AQ161,"H")</f>
        <v>1</v>
      </c>
      <c r="AT161" s="24" t="n">
        <f aca="false">COUNTIF(G161:AQ161,"I")</f>
        <v>0</v>
      </c>
      <c r="AU161" s="24" t="n">
        <f aca="false">COUNTIF(G161:AQ161,"TD")</f>
        <v>0</v>
      </c>
      <c r="AV161" s="24" t="n">
        <f aca="false">COUNTIF(G161:AQ161,"S")</f>
        <v>0</v>
      </c>
      <c r="AW161" s="24" t="n">
        <f aca="false">COUNTIF(G161:AQ161,"A")</f>
        <v>0</v>
      </c>
      <c r="AX161" s="24" t="e">
        <f aca="false">B161</f>
        <v>#REF!</v>
      </c>
    </row>
    <row r="162" customFormat="false" ht="15.75" hidden="false" customHeight="false" outlineLevel="0" collapsed="false">
      <c r="A162" s="24" t="n">
        <v>20</v>
      </c>
      <c r="B162" s="31" t="str">
        <f aca="false">B26</f>
        <v>ABIDZAR ALGHIFARI</v>
      </c>
      <c r="C162" s="24" t="n">
        <f aca="false">C26</f>
        <v>8</v>
      </c>
      <c r="D162" s="38"/>
      <c r="E162" s="24" t="s">
        <v>78</v>
      </c>
      <c r="F162" s="24"/>
      <c r="G162" s="24"/>
      <c r="H162" s="24"/>
      <c r="I162" s="24"/>
      <c r="J162" s="31" t="str">
        <f aca="false">B162</f>
        <v>ABIDZAR ALGHIFARI</v>
      </c>
      <c r="K162" s="24" t="s">
        <v>283</v>
      </c>
      <c r="L162" s="24" t="s">
        <v>78</v>
      </c>
      <c r="M162" s="24" t="s">
        <v>76</v>
      </c>
      <c r="N162" s="24"/>
      <c r="O162" s="24"/>
      <c r="P162" s="24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24" t="n">
        <f aca="false">COUNTIF(G162:AQ162,"H")</f>
        <v>1</v>
      </c>
      <c r="AT162" s="24" t="n">
        <f aca="false">COUNTIF(G162:AQ162,"I")</f>
        <v>0</v>
      </c>
      <c r="AU162" s="24" t="n">
        <f aca="false">COUNTIF(G162:AQ162,"TD")</f>
        <v>0</v>
      </c>
      <c r="AV162" s="24" t="n">
        <f aca="false">COUNTIF(G162:AQ162,"S")</f>
        <v>0</v>
      </c>
      <c r="AW162" s="24" t="n">
        <f aca="false">COUNTIF(G162:AQ162,"A")</f>
        <v>0</v>
      </c>
      <c r="AX162" s="24" t="str">
        <f aca="false">B162</f>
        <v>ABIDZAR ALGHIFARI</v>
      </c>
    </row>
    <row r="163" customFormat="false" ht="15.75" hidden="false" customHeight="false" outlineLevel="0" collapsed="false">
      <c r="A163" s="24" t="n">
        <v>21</v>
      </c>
      <c r="B163" s="31" t="s">
        <v>284</v>
      </c>
      <c r="C163" s="24" t="n">
        <f aca="false">C27</f>
        <v>7</v>
      </c>
      <c r="D163" s="24"/>
      <c r="E163" s="24" t="s">
        <v>78</v>
      </c>
      <c r="F163" s="24"/>
      <c r="G163" s="24"/>
      <c r="H163" s="24"/>
      <c r="I163" s="24"/>
      <c r="J163" s="31" t="str">
        <f aca="false">B163</f>
        <v>MUHAMMAD ALWI ARIZKY</v>
      </c>
      <c r="K163" s="24" t="s">
        <v>285</v>
      </c>
      <c r="L163" s="24" t="s">
        <v>78</v>
      </c>
      <c r="M163" s="24"/>
      <c r="N163" s="24"/>
      <c r="O163" s="24"/>
      <c r="P163" s="24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24" t="n">
        <f aca="false">COUNTIF(G163:AQ163,"H")</f>
        <v>1</v>
      </c>
      <c r="AT163" s="24" t="n">
        <f aca="false">COUNTIF(G163:AQ163,"I")</f>
        <v>0</v>
      </c>
      <c r="AU163" s="24" t="n">
        <f aca="false">COUNTIF(G163:AQ163,"TD")</f>
        <v>0</v>
      </c>
      <c r="AV163" s="24" t="n">
        <f aca="false">COUNTIF(G163:AQ163,"S")</f>
        <v>0</v>
      </c>
      <c r="AW163" s="24" t="n">
        <f aca="false">COUNTIF(G163:AQ163,"A")</f>
        <v>0</v>
      </c>
      <c r="AX163" s="24" t="str">
        <f aca="false">B163</f>
        <v>MUHAMMAD ALWI ARIZKY</v>
      </c>
    </row>
    <row r="164" customFormat="false" ht="15.75" hidden="false" customHeight="false" outlineLevel="0" collapsed="false">
      <c r="A164" s="24" t="n">
        <v>22</v>
      </c>
      <c r="B164" s="31" t="e">
        <f aca="false">B28</f>
        <v>#REF!</v>
      </c>
      <c r="C164" s="24" t="e">
        <f aca="false">C28</f>
        <v>#REF!</v>
      </c>
      <c r="D164" s="24" t="s">
        <v>286</v>
      </c>
      <c r="E164" s="24" t="s">
        <v>78</v>
      </c>
      <c r="F164" s="24" t="s">
        <v>76</v>
      </c>
      <c r="G164" s="24"/>
      <c r="H164" s="24"/>
      <c r="I164" s="24"/>
      <c r="J164" s="31" t="e">
        <f aca="false">B164</f>
        <v>#REF!</v>
      </c>
      <c r="K164" s="24"/>
      <c r="L164" s="24" t="s">
        <v>78</v>
      </c>
      <c r="M164" s="24"/>
      <c r="N164" s="24"/>
      <c r="O164" s="24"/>
      <c r="P164" s="24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24" t="n">
        <f aca="false">COUNTIF(G164:AQ164,"H")</f>
        <v>1</v>
      </c>
      <c r="AT164" s="24" t="n">
        <f aca="false">COUNTIF(G164:AQ164,"I")</f>
        <v>0</v>
      </c>
      <c r="AU164" s="24" t="n">
        <f aca="false">COUNTIF(G164:AQ164,"TD")</f>
        <v>0</v>
      </c>
      <c r="AV164" s="24" t="n">
        <f aca="false">COUNTIF(G164:AQ164,"S")</f>
        <v>0</v>
      </c>
      <c r="AW164" s="24" t="n">
        <f aca="false">COUNTIF(G164:AQ164,"A")</f>
        <v>0</v>
      </c>
      <c r="AX164" s="24" t="e">
        <f aca="false">B164</f>
        <v>#REF!</v>
      </c>
    </row>
    <row r="165" customFormat="false" ht="15.75" hidden="false" customHeight="false" outlineLevel="0" collapsed="false">
      <c r="A165" s="24" t="n">
        <v>23</v>
      </c>
      <c r="B165" s="31" t="str">
        <f aca="false">B29</f>
        <v>MUHAMMAD MUNAWWAR KHOLIL</v>
      </c>
      <c r="C165" s="24" t="n">
        <f aca="false">C29</f>
        <v>4</v>
      </c>
      <c r="D165" s="24"/>
      <c r="E165" s="24" t="s">
        <v>78</v>
      </c>
      <c r="F165" s="24"/>
      <c r="G165" s="24"/>
      <c r="H165" s="24"/>
      <c r="I165" s="24"/>
      <c r="J165" s="31" t="str">
        <f aca="false">B165</f>
        <v>MUHAMMAD MUNAWWAR KHOLIL</v>
      </c>
      <c r="K165" s="24"/>
      <c r="L165" s="24" t="s">
        <v>78</v>
      </c>
      <c r="M165" s="24"/>
      <c r="N165" s="24"/>
      <c r="O165" s="24"/>
      <c r="P165" s="24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24" t="n">
        <f aca="false">COUNTIF(G165:AQ165,"H")</f>
        <v>1</v>
      </c>
      <c r="AT165" s="24" t="n">
        <f aca="false">COUNTIF(G165:AQ165,"I")</f>
        <v>0</v>
      </c>
      <c r="AU165" s="24" t="n">
        <f aca="false">COUNTIF(G165:AQ165,"TD")</f>
        <v>0</v>
      </c>
      <c r="AV165" s="24" t="n">
        <f aca="false">COUNTIF(G165:AQ165,"S")</f>
        <v>0</v>
      </c>
      <c r="AW165" s="24" t="n">
        <f aca="false">COUNTIF(G165:AQ165,"A")</f>
        <v>0</v>
      </c>
      <c r="AX165" s="24" t="str">
        <f aca="false">B165</f>
        <v>MUHAMMAD MUNAWWAR KHOLIL</v>
      </c>
    </row>
    <row r="166" customFormat="false" ht="15.75" hidden="false" customHeight="false" outlineLevel="0" collapsed="false">
      <c r="A166" s="24" t="n">
        <v>24</v>
      </c>
      <c r="B166" s="31" t="s">
        <v>287</v>
      </c>
      <c r="C166" s="24" t="n">
        <f aca="false">C30</f>
        <v>3</v>
      </c>
      <c r="D166" s="24"/>
      <c r="E166" s="24" t="s">
        <v>78</v>
      </c>
      <c r="F166" s="24"/>
      <c r="G166" s="24"/>
      <c r="H166" s="24"/>
      <c r="I166" s="24"/>
      <c r="J166" s="31" t="str">
        <f aca="false">B166</f>
        <v>MUHAMMAD MUNAWAR KHOLIL</v>
      </c>
      <c r="K166" s="24"/>
      <c r="L166" s="24" t="s">
        <v>78</v>
      </c>
      <c r="M166" s="24"/>
      <c r="N166" s="24"/>
      <c r="O166" s="24"/>
      <c r="P166" s="24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24" t="n">
        <f aca="false">COUNTIF(G166:AQ166,"H")</f>
        <v>1</v>
      </c>
      <c r="AT166" s="24" t="n">
        <f aca="false">COUNTIF(G166:AQ166,"I")</f>
        <v>0</v>
      </c>
      <c r="AU166" s="24" t="n">
        <f aca="false">COUNTIF(G166:AQ166,"TD")</f>
        <v>0</v>
      </c>
      <c r="AV166" s="24" t="n">
        <f aca="false">COUNTIF(G166:AQ166,"S")</f>
        <v>0</v>
      </c>
      <c r="AW166" s="24" t="n">
        <f aca="false">COUNTIF(G166:AQ166,"A")</f>
        <v>0</v>
      </c>
      <c r="AX166" s="24" t="str">
        <f aca="false">B166</f>
        <v>MUHAMMAD MUNAWAR KHOLIL</v>
      </c>
    </row>
    <row r="167" customFormat="false" ht="15.75" hidden="false" customHeight="false" outlineLevel="0" collapsed="false">
      <c r="A167" s="24" t="n">
        <v>25</v>
      </c>
      <c r="B167" s="31" t="s">
        <v>25</v>
      </c>
      <c r="C167" s="24" t="n">
        <f aca="false">C31</f>
        <v>1</v>
      </c>
      <c r="D167" s="24"/>
      <c r="E167" s="24" t="s">
        <v>78</v>
      </c>
      <c r="F167" s="24"/>
      <c r="G167" s="24"/>
      <c r="H167" s="24"/>
      <c r="I167" s="24"/>
      <c r="J167" s="31" t="str">
        <f aca="false">B167</f>
        <v>MUHAMMAD DENMAR NABAWI</v>
      </c>
      <c r="K167" s="24"/>
      <c r="L167" s="24" t="s">
        <v>78</v>
      </c>
      <c r="M167" s="24"/>
      <c r="N167" s="24"/>
      <c r="O167" s="24"/>
      <c r="P167" s="24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24" t="n">
        <f aca="false">COUNTIF(G167:AQ167,"H")</f>
        <v>1</v>
      </c>
      <c r="AT167" s="24" t="n">
        <f aca="false">COUNTIF(G167:AQ167,"I")</f>
        <v>0</v>
      </c>
      <c r="AU167" s="24" t="n">
        <f aca="false">COUNTIF(G167:AQ167,"TD")</f>
        <v>0</v>
      </c>
      <c r="AV167" s="24" t="n">
        <f aca="false">COUNTIF(G167:AQ167,"S")</f>
        <v>0</v>
      </c>
      <c r="AW167" s="24" t="n">
        <f aca="false">COUNTIF(G167:AQ167,"A")</f>
        <v>0</v>
      </c>
      <c r="AX167" s="24" t="str">
        <f aca="false">B167</f>
        <v>MUHAMMAD DENMAR NABAWI</v>
      </c>
    </row>
    <row r="168" customFormat="false" ht="15.75" hidden="false" customHeight="false" outlineLevel="0" collapsed="false">
      <c r="A168" s="24" t="n">
        <v>26</v>
      </c>
      <c r="B168" s="31" t="s">
        <v>15</v>
      </c>
      <c r="C168" s="24" t="n">
        <f aca="false">C32</f>
        <v>1</v>
      </c>
      <c r="D168" s="24"/>
      <c r="E168" s="24" t="s">
        <v>78</v>
      </c>
      <c r="F168" s="24"/>
      <c r="G168" s="24"/>
      <c r="H168" s="24"/>
      <c r="I168" s="24"/>
      <c r="J168" s="31" t="str">
        <f aca="false">B168</f>
        <v>MUHAMMAD RAFIK MUHARAM</v>
      </c>
      <c r="K168" s="24"/>
      <c r="L168" s="24"/>
      <c r="M168" s="24"/>
      <c r="N168" s="24"/>
      <c r="O168" s="24"/>
      <c r="P168" s="24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24" t="n">
        <f aca="false">COUNTIF(G168:AQ168,"H")</f>
        <v>0</v>
      </c>
      <c r="AT168" s="24" t="n">
        <f aca="false">COUNTIF(G168:AQ168,"I")</f>
        <v>0</v>
      </c>
      <c r="AU168" s="24" t="n">
        <f aca="false">COUNTIF(G168:AQ168,"TD")</f>
        <v>0</v>
      </c>
      <c r="AV168" s="24" t="n">
        <f aca="false">COUNTIF(G168:AQ168,"S")</f>
        <v>0</v>
      </c>
      <c r="AW168" s="24" t="n">
        <f aca="false">COUNTIF(G168:AQ168,"A")</f>
        <v>0</v>
      </c>
      <c r="AX168" s="24" t="str">
        <f aca="false">B168</f>
        <v>MUHAMMAD RAFIK MUHARAM</v>
      </c>
    </row>
    <row r="169" customFormat="false" ht="15.75" hidden="false" customHeight="false" outlineLevel="0" collapsed="false">
      <c r="A169" s="24" t="n">
        <v>27</v>
      </c>
      <c r="B169" s="31" t="s">
        <v>288</v>
      </c>
      <c r="C169" s="24" t="e">
        <f aca="false">C33</f>
        <v>#REF!</v>
      </c>
      <c r="D169" s="24"/>
      <c r="E169" s="24" t="s">
        <v>78</v>
      </c>
      <c r="F169" s="24"/>
      <c r="G169" s="24"/>
      <c r="H169" s="24"/>
      <c r="I169" s="24"/>
      <c r="J169" s="31" t="str">
        <f aca="false">B169</f>
        <v>FATRAH MUHAMMAD RAMADAN</v>
      </c>
      <c r="K169" s="24"/>
      <c r="L169" s="24" t="s">
        <v>78</v>
      </c>
      <c r="M169" s="24"/>
      <c r="N169" s="24"/>
      <c r="O169" s="24"/>
      <c r="P169" s="24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24" t="n">
        <f aca="false">COUNTIF(G169:AQ169,"H")</f>
        <v>1</v>
      </c>
      <c r="AT169" s="24" t="n">
        <f aca="false">COUNTIF(G169:AQ169,"I")</f>
        <v>0</v>
      </c>
      <c r="AU169" s="24" t="n">
        <f aca="false">COUNTIF(G169:AQ169,"TD")</f>
        <v>0</v>
      </c>
      <c r="AV169" s="24" t="n">
        <f aca="false">COUNTIF(G169:AQ169,"S")</f>
        <v>0</v>
      </c>
      <c r="AW169" s="24" t="n">
        <f aca="false">COUNTIF(G169:AQ169,"A")</f>
        <v>0</v>
      </c>
      <c r="AX169" s="24" t="str">
        <f aca="false">B169</f>
        <v>FATRAH MUHAMMAD RAMADAN</v>
      </c>
    </row>
    <row r="170" customFormat="false" ht="15.75" hidden="false" customHeight="false" outlineLevel="0" collapsed="false">
      <c r="A170" s="24" t="n">
        <v>28</v>
      </c>
      <c r="B170" s="31" t="e">
        <f aca="false">B34</f>
        <v>#REF!</v>
      </c>
      <c r="C170" s="24" t="e">
        <f aca="false">C34</f>
        <v>#REF!</v>
      </c>
      <c r="D170" s="24"/>
      <c r="E170" s="24"/>
      <c r="F170" s="24"/>
      <c r="G170" s="24"/>
      <c r="H170" s="24"/>
      <c r="I170" s="24"/>
      <c r="J170" s="31" t="e">
        <f aca="false">B170</f>
        <v>#REF!</v>
      </c>
      <c r="K170" s="24"/>
      <c r="L170" s="24"/>
      <c r="M170" s="24"/>
      <c r="N170" s="24"/>
      <c r="O170" s="24"/>
      <c r="P170" s="24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24" t="n">
        <f aca="false">COUNTIF(G170:AQ170,"H")</f>
        <v>0</v>
      </c>
      <c r="AT170" s="24" t="n">
        <f aca="false">COUNTIF(G170:AQ170,"I")</f>
        <v>0</v>
      </c>
      <c r="AU170" s="24" t="n">
        <f aca="false">COUNTIF(G170:AQ170,"TD")</f>
        <v>0</v>
      </c>
      <c r="AV170" s="24" t="n">
        <f aca="false">COUNTIF(G170:AQ170,"S")</f>
        <v>0</v>
      </c>
      <c r="AW170" s="24" t="n">
        <f aca="false">COUNTIF(G170:AQ170,"A")</f>
        <v>0</v>
      </c>
      <c r="AX170" s="24" t="e">
        <f aca="false">B170</f>
        <v>#REF!</v>
      </c>
    </row>
    <row r="171" customFormat="false" ht="15.75" hidden="false" customHeight="false" outlineLevel="0" collapsed="false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</row>
    <row r="172" customFormat="false" ht="15.75" hidden="false" customHeight="false" outlineLevel="0" collapsed="false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</row>
    <row r="173" customFormat="false" ht="15.75" hidden="false" customHeight="false" outlineLevel="0" collapsed="false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</row>
    <row r="174" customFormat="false" ht="15.75" hidden="false" customHeight="false" outlineLevel="0" collapsed="false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</row>
    <row r="175" customFormat="false" ht="15.75" hidden="false" customHeight="false" outlineLevel="0" collapsed="false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</row>
    <row r="176" customFormat="false" ht="15.75" hidden="false" customHeight="false" outlineLevel="0" collapsed="false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</row>
    <row r="177" customFormat="false" ht="15.75" hidden="false" customHeight="false" outlineLevel="0" collapsed="false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</row>
    <row r="178" customFormat="false" ht="15.75" hidden="false" customHeight="false" outlineLevel="0" collapsed="false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</row>
    <row r="179" customFormat="false" ht="15.75" hidden="false" customHeight="false" outlineLevel="0" collapsed="false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</row>
    <row r="180" customFormat="false" ht="15.75" hidden="false" customHeight="false" outlineLevel="0" collapsed="false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</row>
    <row r="181" customFormat="false" ht="15.75" hidden="false" customHeight="false" outlineLevel="0" collapsed="false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</row>
    <row r="182" customFormat="false" ht="15.75" hidden="false" customHeight="false" outlineLevel="0" collapsed="false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</row>
    <row r="183" customFormat="false" ht="15.75" hidden="false" customHeight="false" outlineLevel="0" collapsed="false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</row>
    <row r="184" customFormat="false" ht="15.75" hidden="false" customHeight="false" outlineLevel="0" collapsed="false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</row>
    <row r="185" customFormat="false" ht="15.75" hidden="false" customHeight="false" outlineLevel="0" collapsed="false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</row>
    <row r="186" customFormat="false" ht="15.75" hidden="false" customHeight="false" outlineLevel="0" collapsed="false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</row>
    <row r="187" customFormat="false" ht="15.75" hidden="false" customHeight="false" outlineLevel="0" collapsed="false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</row>
    <row r="188" customFormat="false" ht="15.75" hidden="false" customHeight="false" outlineLevel="0" collapsed="false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</row>
    <row r="189" customFormat="false" ht="15.75" hidden="false" customHeight="false" outlineLevel="0" collapsed="false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</row>
    <row r="190" customFormat="false" ht="15.75" hidden="false" customHeight="false" outlineLevel="0" collapsed="false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</row>
    <row r="191" customFormat="false" ht="15.75" hidden="false" customHeight="false" outlineLevel="0" collapsed="false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</row>
    <row r="192" customFormat="false" ht="15.75" hidden="false" customHeight="false" outlineLevel="0" collapsed="false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</row>
    <row r="193" customFormat="false" ht="15.75" hidden="false" customHeight="false" outlineLevel="0" collapsed="false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</row>
    <row r="194" customFormat="false" ht="15.75" hidden="false" customHeight="false" outlineLevel="0" collapsed="false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</row>
    <row r="195" customFormat="false" ht="15.75" hidden="false" customHeight="false" outlineLevel="0" collapsed="false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</row>
    <row r="196" customFormat="false" ht="15.75" hidden="false" customHeight="false" outlineLevel="0" collapsed="false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</row>
    <row r="197" customFormat="false" ht="15.75" hidden="false" customHeight="false" outlineLevel="0" collapsed="false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</row>
    <row r="198" customFormat="false" ht="15.75" hidden="false" customHeight="false" outlineLevel="0" collapsed="false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</row>
    <row r="199" customFormat="false" ht="15.75" hidden="false" customHeight="false" outlineLevel="0" collapsed="false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</row>
    <row r="200" customFormat="false" ht="15.75" hidden="false" customHeight="false" outlineLevel="0" collapsed="false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</row>
    <row r="201" customFormat="false" ht="15.75" hidden="false" customHeight="false" outlineLevel="0" collapsed="false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</row>
    <row r="202" customFormat="false" ht="15.75" hidden="false" customHeight="false" outlineLevel="0" collapsed="false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</row>
    <row r="203" customFormat="false" ht="15.75" hidden="false" customHeight="false" outlineLevel="0" collapsed="false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</row>
    <row r="204" customFormat="false" ht="15.75" hidden="false" customHeight="false" outlineLevel="0" collapsed="false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</row>
    <row r="205" customFormat="false" ht="15.75" hidden="false" customHeight="false" outlineLevel="0" collapsed="false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</row>
    <row r="206" customFormat="false" ht="15.75" hidden="false" customHeight="false" outlineLevel="0" collapsed="false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</row>
    <row r="207" customFormat="false" ht="15.75" hidden="false" customHeight="false" outlineLevel="0" collapsed="false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</row>
    <row r="208" customFormat="false" ht="15.75" hidden="false" customHeight="false" outlineLevel="0" collapsed="false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</row>
    <row r="209" customFormat="false" ht="15.75" hidden="false" customHeight="false" outlineLevel="0" collapsed="false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</row>
    <row r="210" customFormat="false" ht="15.75" hidden="false" customHeight="false" outlineLevel="0" collapsed="false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</row>
    <row r="211" customFormat="false" ht="15.75" hidden="false" customHeight="false" outlineLevel="0" collapsed="false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</row>
    <row r="212" customFormat="false" ht="15.75" hidden="false" customHeight="false" outlineLevel="0" collapsed="false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</row>
    <row r="213" customFormat="false" ht="15.75" hidden="false" customHeight="false" outlineLevel="0" collapsed="false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</row>
    <row r="214" customFormat="false" ht="15.75" hidden="false" customHeight="false" outlineLevel="0" collapsed="false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</row>
    <row r="215" customFormat="false" ht="15.75" hidden="false" customHeight="false" outlineLevel="0" collapsed="false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</row>
    <row r="216" customFormat="false" ht="15.75" hidden="false" customHeight="false" outlineLevel="0" collapsed="false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</row>
    <row r="217" customFormat="false" ht="15.75" hidden="false" customHeight="false" outlineLevel="0" collapsed="false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</row>
    <row r="218" customFormat="false" ht="15.75" hidden="false" customHeight="false" outlineLevel="0" collapsed="false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</row>
    <row r="219" customFormat="false" ht="15.75" hidden="false" customHeight="false" outlineLevel="0" collapsed="false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</row>
    <row r="220" customFormat="false" ht="15.75" hidden="false" customHeight="false" outlineLevel="0" collapsed="false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</row>
    <row r="221" customFormat="false" ht="15.75" hidden="false" customHeight="false" outlineLevel="0" collapsed="false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</row>
    <row r="222" customFormat="false" ht="15.75" hidden="false" customHeight="false" outlineLevel="0" collapsed="false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</row>
    <row r="223" customFormat="false" ht="15.75" hidden="false" customHeight="false" outlineLevel="0" collapsed="false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</row>
    <row r="224" customFormat="false" ht="15.75" hidden="false" customHeight="false" outlineLevel="0" collapsed="false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</row>
    <row r="225" customFormat="false" ht="15.75" hidden="false" customHeight="false" outlineLevel="0" collapsed="false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</row>
    <row r="226" customFormat="false" ht="15.75" hidden="false" customHeight="false" outlineLevel="0" collapsed="false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</row>
    <row r="227" customFormat="false" ht="15.75" hidden="false" customHeight="false" outlineLevel="0" collapsed="false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</row>
    <row r="228" customFormat="false" ht="15.75" hidden="false" customHeight="false" outlineLevel="0" collapsed="false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</row>
    <row r="229" customFormat="false" ht="15.75" hidden="false" customHeight="false" outlineLevel="0" collapsed="false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</row>
    <row r="230" customFormat="false" ht="15.75" hidden="false" customHeight="false" outlineLevel="0" collapsed="false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</row>
    <row r="231" customFormat="false" ht="15.75" hidden="false" customHeight="false" outlineLevel="0" collapsed="false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</row>
    <row r="232" customFormat="false" ht="15.75" hidden="false" customHeight="false" outlineLevel="0" collapsed="false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</row>
    <row r="233" customFormat="false" ht="15.75" hidden="false" customHeight="false" outlineLevel="0" collapsed="false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</row>
    <row r="234" customFormat="false" ht="15.75" hidden="false" customHeight="false" outlineLevel="0" collapsed="false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</row>
    <row r="235" customFormat="false" ht="15.75" hidden="false" customHeight="false" outlineLevel="0" collapsed="false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</row>
    <row r="236" customFormat="false" ht="15.75" hidden="false" customHeight="false" outlineLevel="0" collapsed="false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</row>
    <row r="237" customFormat="false" ht="15.75" hidden="false" customHeight="false" outlineLevel="0" collapsed="false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</row>
    <row r="238" customFormat="false" ht="15.75" hidden="false" customHeight="false" outlineLevel="0" collapsed="false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</row>
    <row r="239" customFormat="false" ht="15.75" hidden="false" customHeight="false" outlineLevel="0" collapsed="false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</row>
    <row r="240" customFormat="false" ht="15.75" hidden="false" customHeight="false" outlineLevel="0" collapsed="false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</row>
    <row r="241" customFormat="false" ht="15.75" hidden="false" customHeight="false" outlineLevel="0" collapsed="false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</row>
    <row r="242" customFormat="false" ht="15.75" hidden="false" customHeight="false" outlineLevel="0" collapsed="false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</row>
    <row r="243" customFormat="false" ht="15.75" hidden="false" customHeight="false" outlineLevel="0" collapsed="false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</row>
    <row r="244" customFormat="false" ht="15.75" hidden="false" customHeight="false" outlineLevel="0" collapsed="false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</row>
    <row r="245" customFormat="false" ht="15.75" hidden="false" customHeight="false" outlineLevel="0" collapsed="false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</row>
    <row r="246" customFormat="false" ht="15.75" hidden="false" customHeight="false" outlineLevel="0" collapsed="false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</row>
    <row r="247" customFormat="false" ht="15.75" hidden="false" customHeight="false" outlineLevel="0" collapsed="false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</row>
    <row r="248" customFormat="false" ht="15.75" hidden="false" customHeight="false" outlineLevel="0" collapsed="false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</row>
    <row r="249" customFormat="false" ht="15.75" hidden="false" customHeight="false" outlineLevel="0" collapsed="false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</row>
    <row r="250" customFormat="false" ht="15.75" hidden="false" customHeight="false" outlineLevel="0" collapsed="false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</row>
    <row r="251" customFormat="false" ht="15.75" hidden="false" customHeight="false" outlineLevel="0" collapsed="false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</row>
    <row r="252" customFormat="false" ht="15.75" hidden="false" customHeight="false" outlineLevel="0" collapsed="false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</row>
    <row r="253" customFormat="false" ht="15.75" hidden="false" customHeight="false" outlineLevel="0" collapsed="false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</row>
    <row r="254" customFormat="false" ht="15.75" hidden="false" customHeight="false" outlineLevel="0" collapsed="false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</row>
    <row r="255" customFormat="false" ht="15.75" hidden="false" customHeight="false" outlineLevel="0" collapsed="false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</row>
    <row r="256" customFormat="false" ht="15.75" hidden="false" customHeight="false" outlineLevel="0" collapsed="false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</row>
    <row r="257" customFormat="false" ht="15.75" hidden="false" customHeight="false" outlineLevel="0" collapsed="false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</row>
    <row r="258" customFormat="false" ht="15.75" hidden="false" customHeight="false" outlineLevel="0" collapsed="false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</row>
    <row r="259" customFormat="false" ht="15.75" hidden="false" customHeight="false" outlineLevel="0" collapsed="false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</row>
    <row r="260" customFormat="false" ht="15.75" hidden="false" customHeight="false" outlineLevel="0" collapsed="false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</row>
    <row r="261" customFormat="false" ht="15.75" hidden="false" customHeight="false" outlineLevel="0" collapsed="false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</row>
    <row r="262" customFormat="false" ht="15.75" hidden="false" customHeight="false" outlineLevel="0" collapsed="false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</row>
    <row r="263" customFormat="false" ht="15.75" hidden="false" customHeight="false" outlineLevel="0" collapsed="false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</row>
    <row r="264" customFormat="false" ht="15.75" hidden="false" customHeight="false" outlineLevel="0" collapsed="false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</row>
    <row r="265" customFormat="false" ht="15.75" hidden="false" customHeight="false" outlineLevel="0" collapsed="false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</row>
    <row r="266" customFormat="false" ht="15.75" hidden="false" customHeight="false" outlineLevel="0" collapsed="false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</row>
    <row r="267" customFormat="false" ht="15.75" hidden="false" customHeight="false" outlineLevel="0" collapsed="false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</row>
    <row r="268" customFormat="false" ht="15.75" hidden="false" customHeight="false" outlineLevel="0" collapsed="false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</row>
    <row r="269" customFormat="false" ht="15.75" hidden="false" customHeight="false" outlineLevel="0" collapsed="false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</row>
    <row r="270" customFormat="false" ht="15.75" hidden="false" customHeight="false" outlineLevel="0" collapsed="false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</row>
    <row r="271" customFormat="false" ht="15.75" hidden="false" customHeight="false" outlineLevel="0" collapsed="false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</row>
    <row r="272" customFormat="false" ht="15.75" hidden="false" customHeight="false" outlineLevel="0" collapsed="false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</row>
    <row r="273" customFormat="false" ht="15.75" hidden="false" customHeight="false" outlineLevel="0" collapsed="false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</row>
    <row r="274" customFormat="false" ht="15.75" hidden="false" customHeight="false" outlineLevel="0" collapsed="false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</row>
    <row r="275" customFormat="false" ht="15.75" hidden="false" customHeight="false" outlineLevel="0" collapsed="false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</row>
    <row r="276" customFormat="false" ht="15.75" hidden="false" customHeight="false" outlineLevel="0" collapsed="false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</row>
    <row r="277" customFormat="false" ht="15.75" hidden="false" customHeight="false" outlineLevel="0" collapsed="false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</row>
    <row r="278" customFormat="false" ht="15.75" hidden="false" customHeight="false" outlineLevel="0" collapsed="false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</row>
    <row r="279" customFormat="false" ht="15.75" hidden="false" customHeight="false" outlineLevel="0" collapsed="false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</row>
    <row r="280" customFormat="false" ht="15.75" hidden="false" customHeight="false" outlineLevel="0" collapsed="false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</row>
    <row r="281" customFormat="false" ht="15.75" hidden="false" customHeight="false" outlineLevel="0" collapsed="false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</row>
    <row r="282" customFormat="false" ht="15.75" hidden="false" customHeight="false" outlineLevel="0" collapsed="false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</row>
    <row r="283" customFormat="false" ht="15.75" hidden="false" customHeight="false" outlineLevel="0" collapsed="false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</row>
    <row r="284" customFormat="false" ht="15.75" hidden="false" customHeight="false" outlineLevel="0" collapsed="false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</row>
    <row r="285" customFormat="false" ht="15.75" hidden="false" customHeight="false" outlineLevel="0" collapsed="false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</row>
    <row r="286" customFormat="false" ht="15.75" hidden="false" customHeight="false" outlineLevel="0" collapsed="false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</row>
    <row r="287" customFormat="false" ht="15.75" hidden="false" customHeight="false" outlineLevel="0" collapsed="false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</row>
    <row r="288" customFormat="false" ht="15.75" hidden="false" customHeight="false" outlineLevel="0" collapsed="false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</row>
    <row r="289" customFormat="false" ht="15.75" hidden="false" customHeight="false" outlineLevel="0" collapsed="false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</row>
    <row r="290" customFormat="false" ht="15.75" hidden="false" customHeight="false" outlineLevel="0" collapsed="false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</row>
    <row r="291" customFormat="false" ht="15.75" hidden="false" customHeight="false" outlineLevel="0" collapsed="false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</row>
    <row r="292" customFormat="false" ht="15.75" hidden="false" customHeight="false" outlineLevel="0" collapsed="false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</row>
    <row r="293" customFormat="false" ht="15.75" hidden="false" customHeight="false" outlineLevel="0" collapsed="false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</row>
    <row r="294" customFormat="false" ht="15.75" hidden="false" customHeight="false" outlineLevel="0" collapsed="false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</row>
    <row r="295" customFormat="false" ht="15.75" hidden="false" customHeight="false" outlineLevel="0" collapsed="false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</row>
    <row r="296" customFormat="false" ht="15.75" hidden="false" customHeight="false" outlineLevel="0" collapsed="false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</row>
    <row r="297" customFormat="false" ht="15.75" hidden="false" customHeight="false" outlineLevel="0" collapsed="false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</row>
    <row r="298" customFormat="false" ht="15.75" hidden="false" customHeight="false" outlineLevel="0" collapsed="false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</row>
    <row r="299" customFormat="false" ht="15.75" hidden="false" customHeight="false" outlineLevel="0" collapsed="false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</row>
    <row r="300" customFormat="false" ht="15.75" hidden="false" customHeight="false" outlineLevel="0" collapsed="false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</row>
    <row r="301" customFormat="false" ht="15.75" hidden="false" customHeight="false" outlineLevel="0" collapsed="false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</row>
    <row r="302" customFormat="false" ht="15.75" hidden="false" customHeight="false" outlineLevel="0" collapsed="false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</row>
    <row r="303" customFormat="false" ht="15.75" hidden="false" customHeight="false" outlineLevel="0" collapsed="false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</row>
    <row r="304" customFormat="false" ht="15.75" hidden="false" customHeight="false" outlineLevel="0" collapsed="false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</row>
    <row r="305" customFormat="false" ht="15.75" hidden="false" customHeight="false" outlineLevel="0" collapsed="false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</row>
    <row r="306" customFormat="false" ht="15.75" hidden="false" customHeight="false" outlineLevel="0" collapsed="false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</row>
    <row r="307" customFormat="false" ht="15.75" hidden="false" customHeight="false" outlineLevel="0" collapsed="false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</row>
    <row r="308" customFormat="false" ht="15.75" hidden="false" customHeight="false" outlineLevel="0" collapsed="false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</row>
    <row r="309" customFormat="false" ht="15.75" hidden="false" customHeight="false" outlineLevel="0" collapsed="false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</row>
    <row r="310" customFormat="false" ht="15.75" hidden="false" customHeight="false" outlineLevel="0" collapsed="false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</row>
    <row r="311" customFormat="false" ht="15.75" hidden="false" customHeight="false" outlineLevel="0" collapsed="false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</row>
    <row r="312" customFormat="false" ht="15.75" hidden="false" customHeight="false" outlineLevel="0" collapsed="false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</row>
    <row r="313" customFormat="false" ht="15.75" hidden="false" customHeight="false" outlineLevel="0" collapsed="false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</row>
    <row r="314" customFormat="false" ht="15.75" hidden="false" customHeight="false" outlineLevel="0" collapsed="false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</row>
    <row r="315" customFormat="false" ht="15.75" hidden="false" customHeight="false" outlineLevel="0" collapsed="false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</row>
    <row r="316" customFormat="false" ht="15.75" hidden="false" customHeight="false" outlineLevel="0" collapsed="false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</row>
    <row r="317" customFormat="false" ht="15.75" hidden="false" customHeight="false" outlineLevel="0" collapsed="false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</row>
    <row r="318" customFormat="false" ht="15.75" hidden="false" customHeight="false" outlineLevel="0" collapsed="false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</row>
    <row r="319" customFormat="false" ht="15.75" hidden="false" customHeight="false" outlineLevel="0" collapsed="false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</row>
    <row r="320" customFormat="false" ht="15.75" hidden="false" customHeight="false" outlineLevel="0" collapsed="false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</row>
    <row r="321" customFormat="false" ht="15.75" hidden="false" customHeight="false" outlineLevel="0" collapsed="false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</row>
    <row r="322" customFormat="false" ht="15.75" hidden="false" customHeight="false" outlineLevel="0" collapsed="false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</row>
    <row r="323" customFormat="false" ht="15.75" hidden="false" customHeight="false" outlineLevel="0" collapsed="false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</row>
    <row r="324" customFormat="false" ht="15.75" hidden="false" customHeight="false" outlineLevel="0" collapsed="false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</row>
    <row r="325" customFormat="false" ht="15.75" hidden="false" customHeight="false" outlineLevel="0" collapsed="false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</row>
    <row r="326" customFormat="false" ht="15.75" hidden="false" customHeight="false" outlineLevel="0" collapsed="false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</row>
    <row r="327" customFormat="false" ht="15.75" hidden="false" customHeight="false" outlineLevel="0" collapsed="false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</row>
    <row r="328" customFormat="false" ht="15.75" hidden="false" customHeight="false" outlineLevel="0" collapsed="false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</row>
    <row r="329" customFormat="false" ht="15.75" hidden="false" customHeight="false" outlineLevel="0" collapsed="false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</row>
    <row r="330" customFormat="false" ht="15.75" hidden="false" customHeight="false" outlineLevel="0" collapsed="false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</row>
    <row r="331" customFormat="false" ht="15.75" hidden="false" customHeight="false" outlineLevel="0" collapsed="false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</row>
    <row r="332" customFormat="false" ht="15.75" hidden="false" customHeight="false" outlineLevel="0" collapsed="false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</row>
    <row r="333" customFormat="false" ht="15.75" hidden="false" customHeight="false" outlineLevel="0" collapsed="false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</row>
    <row r="334" customFormat="false" ht="15.75" hidden="false" customHeight="false" outlineLevel="0" collapsed="false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</row>
    <row r="335" customFormat="false" ht="15.75" hidden="false" customHeight="false" outlineLevel="0" collapsed="false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</row>
    <row r="336" customFormat="false" ht="15.75" hidden="false" customHeight="false" outlineLevel="0" collapsed="false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</row>
    <row r="337" customFormat="false" ht="15.75" hidden="false" customHeight="false" outlineLevel="0" collapsed="false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</row>
    <row r="338" customFormat="false" ht="15.75" hidden="false" customHeight="false" outlineLevel="0" collapsed="false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</row>
    <row r="339" customFormat="false" ht="15.75" hidden="false" customHeight="false" outlineLevel="0" collapsed="false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</row>
    <row r="340" customFormat="false" ht="15.75" hidden="false" customHeight="false" outlineLevel="0" collapsed="false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</row>
    <row r="341" customFormat="false" ht="15.75" hidden="false" customHeight="false" outlineLevel="0" collapsed="false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</row>
    <row r="342" customFormat="false" ht="15.75" hidden="false" customHeight="false" outlineLevel="0" collapsed="false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</row>
    <row r="343" customFormat="false" ht="15.75" hidden="false" customHeight="false" outlineLevel="0" collapsed="false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</row>
    <row r="344" customFormat="false" ht="15.75" hidden="false" customHeight="false" outlineLevel="0" collapsed="false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</row>
    <row r="345" customFormat="false" ht="15.75" hidden="false" customHeight="false" outlineLevel="0" collapsed="false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</row>
    <row r="346" customFormat="false" ht="15.75" hidden="false" customHeight="false" outlineLevel="0" collapsed="false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</row>
    <row r="347" customFormat="false" ht="15.75" hidden="false" customHeight="false" outlineLevel="0" collapsed="false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</row>
    <row r="348" customFormat="false" ht="15.75" hidden="false" customHeight="false" outlineLevel="0" collapsed="false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</row>
    <row r="349" customFormat="false" ht="15.75" hidden="false" customHeight="false" outlineLevel="0" collapsed="false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</row>
    <row r="350" customFormat="false" ht="15.75" hidden="false" customHeight="false" outlineLevel="0" collapsed="false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</row>
    <row r="351" customFormat="false" ht="15.75" hidden="false" customHeight="false" outlineLevel="0" collapsed="false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</row>
    <row r="352" customFormat="false" ht="15.75" hidden="false" customHeight="false" outlineLevel="0" collapsed="false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</row>
    <row r="353" customFormat="false" ht="15.75" hidden="false" customHeight="false" outlineLevel="0" collapsed="false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</row>
    <row r="354" customFormat="false" ht="15.75" hidden="false" customHeight="false" outlineLevel="0" collapsed="false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</row>
    <row r="355" customFormat="false" ht="15.75" hidden="false" customHeight="false" outlineLevel="0" collapsed="false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</row>
    <row r="356" customFormat="false" ht="15.75" hidden="false" customHeight="false" outlineLevel="0" collapsed="false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</row>
    <row r="357" customFormat="false" ht="15.75" hidden="false" customHeight="false" outlineLevel="0" collapsed="false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</row>
    <row r="358" customFormat="false" ht="15.75" hidden="false" customHeight="false" outlineLevel="0" collapsed="false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</row>
    <row r="359" customFormat="false" ht="15.75" hidden="false" customHeight="false" outlineLevel="0" collapsed="false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</row>
    <row r="360" customFormat="false" ht="15.75" hidden="false" customHeight="false" outlineLevel="0" collapsed="false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</row>
    <row r="361" customFormat="false" ht="15.75" hidden="false" customHeight="false" outlineLevel="0" collapsed="false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</row>
    <row r="362" customFormat="false" ht="15.75" hidden="false" customHeight="false" outlineLevel="0" collapsed="false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</row>
    <row r="363" customFormat="false" ht="15.75" hidden="false" customHeight="false" outlineLevel="0" collapsed="false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</row>
    <row r="364" customFormat="false" ht="15.75" hidden="false" customHeight="false" outlineLevel="0" collapsed="false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</row>
    <row r="365" customFormat="false" ht="15.75" hidden="false" customHeight="false" outlineLevel="0" collapsed="false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</row>
    <row r="366" customFormat="false" ht="15.75" hidden="false" customHeight="false" outlineLevel="0" collapsed="false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</row>
    <row r="367" customFormat="false" ht="15.75" hidden="false" customHeight="false" outlineLevel="0" collapsed="false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</row>
    <row r="368" customFormat="false" ht="15.75" hidden="false" customHeight="false" outlineLevel="0" collapsed="false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</row>
    <row r="369" customFormat="false" ht="15.75" hidden="false" customHeight="false" outlineLevel="0" collapsed="false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</row>
    <row r="370" customFormat="false" ht="15.75" hidden="false" customHeight="false" outlineLevel="0" collapsed="false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</row>
    <row r="371" customFormat="false" ht="15.75" hidden="false" customHeight="false" outlineLevel="0" collapsed="false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</row>
    <row r="372" customFormat="false" ht="15.75" hidden="false" customHeight="false" outlineLevel="0" collapsed="false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</row>
    <row r="373" customFormat="false" ht="15.75" hidden="false" customHeight="false" outlineLevel="0" collapsed="false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</row>
    <row r="374" customFormat="false" ht="15.75" hidden="false" customHeight="false" outlineLevel="0" collapsed="false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</row>
    <row r="375" customFormat="false" ht="15.75" hidden="false" customHeight="false" outlineLevel="0" collapsed="false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</row>
    <row r="376" customFormat="false" ht="15.75" hidden="false" customHeight="false" outlineLevel="0" collapsed="false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</row>
    <row r="377" customFormat="false" ht="15.75" hidden="false" customHeight="false" outlineLevel="0" collapsed="false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</row>
    <row r="378" customFormat="false" ht="15.75" hidden="false" customHeight="false" outlineLevel="0" collapsed="false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</row>
    <row r="379" customFormat="false" ht="15.75" hidden="false" customHeight="false" outlineLevel="0" collapsed="false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</row>
    <row r="380" customFormat="false" ht="15.75" hidden="false" customHeight="false" outlineLevel="0" collapsed="false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</row>
    <row r="381" customFormat="false" ht="15.75" hidden="false" customHeight="false" outlineLevel="0" collapsed="false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</row>
    <row r="382" customFormat="false" ht="15.75" hidden="false" customHeight="false" outlineLevel="0" collapsed="false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</row>
    <row r="383" customFormat="false" ht="15.75" hidden="false" customHeight="false" outlineLevel="0" collapsed="false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</row>
    <row r="384" customFormat="false" ht="15.75" hidden="false" customHeight="false" outlineLevel="0" collapsed="false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</row>
    <row r="385" customFormat="false" ht="15.75" hidden="false" customHeight="false" outlineLevel="0" collapsed="false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</row>
    <row r="386" customFormat="false" ht="15.75" hidden="false" customHeight="false" outlineLevel="0" collapsed="false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</row>
    <row r="387" customFormat="false" ht="15.75" hidden="false" customHeight="false" outlineLevel="0" collapsed="false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</row>
    <row r="388" customFormat="false" ht="15.75" hidden="false" customHeight="false" outlineLevel="0" collapsed="false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</row>
    <row r="389" customFormat="false" ht="15.75" hidden="false" customHeight="false" outlineLevel="0" collapsed="false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</row>
    <row r="390" customFormat="false" ht="15.75" hidden="false" customHeight="false" outlineLevel="0" collapsed="false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</row>
    <row r="391" customFormat="false" ht="15.75" hidden="false" customHeight="false" outlineLevel="0" collapsed="false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</row>
    <row r="392" customFormat="false" ht="15.75" hidden="false" customHeight="false" outlineLevel="0" collapsed="false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</row>
    <row r="393" customFormat="false" ht="15.75" hidden="false" customHeight="false" outlineLevel="0" collapsed="false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</row>
    <row r="394" customFormat="false" ht="15.75" hidden="false" customHeight="false" outlineLevel="0" collapsed="false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</row>
    <row r="395" customFormat="false" ht="15.75" hidden="false" customHeight="false" outlineLevel="0" collapsed="false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</row>
    <row r="396" customFormat="false" ht="15.75" hidden="false" customHeight="false" outlineLevel="0" collapsed="false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</row>
    <row r="397" customFormat="false" ht="15.75" hidden="false" customHeight="false" outlineLevel="0" collapsed="false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</row>
    <row r="398" customFormat="false" ht="15.75" hidden="false" customHeight="false" outlineLevel="0" collapsed="false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</row>
    <row r="399" customFormat="false" ht="15.75" hidden="false" customHeight="false" outlineLevel="0" collapsed="false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</row>
    <row r="400" customFormat="false" ht="15.75" hidden="false" customHeight="false" outlineLevel="0" collapsed="false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</row>
    <row r="401" customFormat="false" ht="15.75" hidden="false" customHeight="false" outlineLevel="0" collapsed="false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</row>
    <row r="402" customFormat="false" ht="15.75" hidden="false" customHeight="false" outlineLevel="0" collapsed="false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</row>
    <row r="403" customFormat="false" ht="15.75" hidden="false" customHeight="false" outlineLevel="0" collapsed="false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</row>
    <row r="404" customFormat="false" ht="15.75" hidden="false" customHeight="false" outlineLevel="0" collapsed="false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</row>
    <row r="405" customFormat="false" ht="15.75" hidden="false" customHeight="false" outlineLevel="0" collapsed="false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</row>
    <row r="406" customFormat="false" ht="15.75" hidden="false" customHeight="false" outlineLevel="0" collapsed="false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</row>
    <row r="407" customFormat="false" ht="15.75" hidden="false" customHeight="false" outlineLevel="0" collapsed="false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</row>
    <row r="408" customFormat="false" ht="15.75" hidden="false" customHeight="false" outlineLevel="0" collapsed="false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</row>
    <row r="409" customFormat="false" ht="15.75" hidden="false" customHeight="false" outlineLevel="0" collapsed="false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</row>
    <row r="410" customFormat="false" ht="15.75" hidden="false" customHeight="false" outlineLevel="0" collapsed="false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</row>
    <row r="411" customFormat="false" ht="15.75" hidden="false" customHeight="false" outlineLevel="0" collapsed="false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</row>
    <row r="412" customFormat="false" ht="15.75" hidden="false" customHeight="false" outlineLevel="0" collapsed="false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</row>
    <row r="413" customFormat="false" ht="15.75" hidden="false" customHeight="false" outlineLevel="0" collapsed="false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</row>
    <row r="414" customFormat="false" ht="15.75" hidden="false" customHeight="false" outlineLevel="0" collapsed="false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</row>
    <row r="415" customFormat="false" ht="15.75" hidden="false" customHeight="false" outlineLevel="0" collapsed="false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</row>
    <row r="416" customFormat="false" ht="15.75" hidden="false" customHeight="false" outlineLevel="0" collapsed="false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</row>
    <row r="417" customFormat="false" ht="15.75" hidden="false" customHeight="false" outlineLevel="0" collapsed="false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</row>
    <row r="418" customFormat="false" ht="15.75" hidden="false" customHeight="false" outlineLevel="0" collapsed="false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</row>
    <row r="419" customFormat="false" ht="15.75" hidden="false" customHeight="false" outlineLevel="0" collapsed="false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</row>
    <row r="420" customFormat="false" ht="15.75" hidden="false" customHeight="false" outlineLevel="0" collapsed="false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</row>
    <row r="421" customFormat="false" ht="15.75" hidden="false" customHeight="false" outlineLevel="0" collapsed="false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</row>
    <row r="422" customFormat="false" ht="15.75" hidden="false" customHeight="false" outlineLevel="0" collapsed="false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</row>
    <row r="423" customFormat="false" ht="15.75" hidden="false" customHeight="false" outlineLevel="0" collapsed="false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</row>
    <row r="424" customFormat="false" ht="15.75" hidden="false" customHeight="false" outlineLevel="0" collapsed="false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</row>
    <row r="425" customFormat="false" ht="15.75" hidden="false" customHeight="false" outlineLevel="0" collapsed="false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</row>
    <row r="426" customFormat="false" ht="15.75" hidden="false" customHeight="false" outlineLevel="0" collapsed="false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</row>
    <row r="427" customFormat="false" ht="15.75" hidden="false" customHeight="false" outlineLevel="0" collapsed="false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</row>
    <row r="428" customFormat="false" ht="15.75" hidden="false" customHeight="false" outlineLevel="0" collapsed="false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</row>
    <row r="429" customFormat="false" ht="15.75" hidden="false" customHeight="false" outlineLevel="0" collapsed="false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</row>
    <row r="430" customFormat="false" ht="15.75" hidden="false" customHeight="false" outlineLevel="0" collapsed="false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</row>
    <row r="431" customFormat="false" ht="15.75" hidden="false" customHeight="false" outlineLevel="0" collapsed="false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</row>
    <row r="432" customFormat="false" ht="15.75" hidden="false" customHeight="false" outlineLevel="0" collapsed="false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</row>
    <row r="433" customFormat="false" ht="15.75" hidden="false" customHeight="false" outlineLevel="0" collapsed="false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</row>
    <row r="434" customFormat="false" ht="15.75" hidden="false" customHeight="false" outlineLevel="0" collapsed="false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</row>
    <row r="435" customFormat="false" ht="15.75" hidden="false" customHeight="false" outlineLevel="0" collapsed="false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</row>
    <row r="436" customFormat="false" ht="15.75" hidden="false" customHeight="false" outlineLevel="0" collapsed="false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</row>
    <row r="437" customFormat="false" ht="15.75" hidden="false" customHeight="false" outlineLevel="0" collapsed="false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</row>
    <row r="438" customFormat="false" ht="15.75" hidden="false" customHeight="false" outlineLevel="0" collapsed="false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</row>
    <row r="439" customFormat="false" ht="15.75" hidden="false" customHeight="false" outlineLevel="0" collapsed="false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</row>
    <row r="440" customFormat="false" ht="15.75" hidden="false" customHeight="false" outlineLevel="0" collapsed="false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</row>
    <row r="441" customFormat="false" ht="15.75" hidden="false" customHeight="false" outlineLevel="0" collapsed="false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</row>
    <row r="442" customFormat="false" ht="15.75" hidden="false" customHeight="false" outlineLevel="0" collapsed="false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</row>
    <row r="443" customFormat="false" ht="15.75" hidden="false" customHeight="false" outlineLevel="0" collapsed="false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</row>
    <row r="444" customFormat="false" ht="15.75" hidden="false" customHeight="false" outlineLevel="0" collapsed="false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</row>
    <row r="445" customFormat="false" ht="15.75" hidden="false" customHeight="false" outlineLevel="0" collapsed="false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</row>
    <row r="446" customFormat="false" ht="15.75" hidden="false" customHeight="false" outlineLevel="0" collapsed="false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</row>
    <row r="447" customFormat="false" ht="15.75" hidden="false" customHeight="false" outlineLevel="0" collapsed="false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</row>
    <row r="448" customFormat="false" ht="15.75" hidden="false" customHeight="false" outlineLevel="0" collapsed="false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</row>
    <row r="449" customFormat="false" ht="15.75" hidden="false" customHeight="false" outlineLevel="0" collapsed="false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</row>
    <row r="450" customFormat="false" ht="15.75" hidden="false" customHeight="false" outlineLevel="0" collapsed="false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</row>
    <row r="451" customFormat="false" ht="15.75" hidden="false" customHeight="false" outlineLevel="0" collapsed="false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</row>
    <row r="452" customFormat="false" ht="15.75" hidden="false" customHeight="false" outlineLevel="0" collapsed="false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</row>
    <row r="453" customFormat="false" ht="15.75" hidden="false" customHeight="false" outlineLevel="0" collapsed="false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</row>
    <row r="454" customFormat="false" ht="15.75" hidden="false" customHeight="false" outlineLevel="0" collapsed="false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</row>
    <row r="455" customFormat="false" ht="15.75" hidden="false" customHeight="false" outlineLevel="0" collapsed="false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</row>
    <row r="456" customFormat="false" ht="15.75" hidden="false" customHeight="false" outlineLevel="0" collapsed="false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</row>
    <row r="457" customFormat="false" ht="15.75" hidden="false" customHeight="false" outlineLevel="0" collapsed="false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</row>
    <row r="458" customFormat="false" ht="15.75" hidden="false" customHeight="false" outlineLevel="0" collapsed="false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</row>
    <row r="459" customFormat="false" ht="15.75" hidden="false" customHeight="false" outlineLevel="0" collapsed="false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</row>
    <row r="460" customFormat="false" ht="15.75" hidden="false" customHeight="false" outlineLevel="0" collapsed="false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</row>
    <row r="461" customFormat="false" ht="15.75" hidden="false" customHeight="false" outlineLevel="0" collapsed="false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</row>
    <row r="462" customFormat="false" ht="15.75" hidden="false" customHeight="false" outlineLevel="0" collapsed="false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</row>
    <row r="463" customFormat="false" ht="15.75" hidden="false" customHeight="false" outlineLevel="0" collapsed="false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</row>
    <row r="464" customFormat="false" ht="15.75" hidden="false" customHeight="false" outlineLevel="0" collapsed="false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</row>
    <row r="465" customFormat="false" ht="15.75" hidden="false" customHeight="false" outlineLevel="0" collapsed="false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</row>
    <row r="466" customFormat="false" ht="15.75" hidden="false" customHeight="false" outlineLevel="0" collapsed="false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</row>
    <row r="467" customFormat="false" ht="15.75" hidden="false" customHeight="false" outlineLevel="0" collapsed="false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</row>
    <row r="468" customFormat="false" ht="15.75" hidden="false" customHeight="false" outlineLevel="0" collapsed="false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</row>
    <row r="469" customFormat="false" ht="15.75" hidden="false" customHeight="false" outlineLevel="0" collapsed="false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</row>
    <row r="470" customFormat="false" ht="15.75" hidden="false" customHeight="false" outlineLevel="0" collapsed="false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</row>
    <row r="471" customFormat="false" ht="15.75" hidden="false" customHeight="false" outlineLevel="0" collapsed="false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</row>
    <row r="472" customFormat="false" ht="15.75" hidden="false" customHeight="false" outlineLevel="0" collapsed="false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</row>
    <row r="473" customFormat="false" ht="15.75" hidden="false" customHeight="false" outlineLevel="0" collapsed="false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</row>
    <row r="474" customFormat="false" ht="15.75" hidden="false" customHeight="false" outlineLevel="0" collapsed="false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</row>
    <row r="475" customFormat="false" ht="15.75" hidden="false" customHeight="false" outlineLevel="0" collapsed="false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</row>
    <row r="476" customFormat="false" ht="15.75" hidden="false" customHeight="false" outlineLevel="0" collapsed="false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</row>
    <row r="477" customFormat="false" ht="15.75" hidden="false" customHeight="false" outlineLevel="0" collapsed="false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</row>
    <row r="478" customFormat="false" ht="15.75" hidden="false" customHeight="false" outlineLevel="0" collapsed="false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</row>
    <row r="479" customFormat="false" ht="15.75" hidden="false" customHeight="false" outlineLevel="0" collapsed="false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</row>
    <row r="480" customFormat="false" ht="15.75" hidden="false" customHeight="false" outlineLevel="0" collapsed="false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</row>
    <row r="481" customFormat="false" ht="15.75" hidden="false" customHeight="false" outlineLevel="0" collapsed="false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</row>
    <row r="482" customFormat="false" ht="15.75" hidden="false" customHeight="false" outlineLevel="0" collapsed="false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</row>
    <row r="483" customFormat="false" ht="15.75" hidden="false" customHeight="false" outlineLevel="0" collapsed="false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</row>
    <row r="484" customFormat="false" ht="15.75" hidden="false" customHeight="false" outlineLevel="0" collapsed="false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</row>
    <row r="485" customFormat="false" ht="15.75" hidden="false" customHeight="false" outlineLevel="0" collapsed="false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</row>
    <row r="486" customFormat="false" ht="15.75" hidden="false" customHeight="false" outlineLevel="0" collapsed="false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</row>
    <row r="487" customFormat="false" ht="15.75" hidden="false" customHeight="false" outlineLevel="0" collapsed="false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</row>
    <row r="488" customFormat="false" ht="15.75" hidden="false" customHeight="false" outlineLevel="0" collapsed="false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</row>
    <row r="489" customFormat="false" ht="15.75" hidden="false" customHeight="false" outlineLevel="0" collapsed="false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</row>
    <row r="490" customFormat="false" ht="15.75" hidden="false" customHeight="false" outlineLevel="0" collapsed="false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</row>
    <row r="491" customFormat="false" ht="15.75" hidden="false" customHeight="false" outlineLevel="0" collapsed="false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</row>
    <row r="492" customFormat="false" ht="15.75" hidden="false" customHeight="false" outlineLevel="0" collapsed="false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</row>
    <row r="493" customFormat="false" ht="15.75" hidden="false" customHeight="false" outlineLevel="0" collapsed="false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</row>
    <row r="494" customFormat="false" ht="15.75" hidden="false" customHeight="false" outlineLevel="0" collapsed="false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</row>
    <row r="495" customFormat="false" ht="15.75" hidden="false" customHeight="false" outlineLevel="0" collapsed="false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</row>
    <row r="496" customFormat="false" ht="15.75" hidden="false" customHeight="false" outlineLevel="0" collapsed="false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</row>
    <row r="497" customFormat="false" ht="15.75" hidden="false" customHeight="false" outlineLevel="0" collapsed="false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</row>
    <row r="498" customFormat="false" ht="15.75" hidden="false" customHeight="false" outlineLevel="0" collapsed="false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</row>
    <row r="499" customFormat="false" ht="15.75" hidden="false" customHeight="false" outlineLevel="0" collapsed="false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</row>
    <row r="500" customFormat="false" ht="15.75" hidden="false" customHeight="false" outlineLevel="0" collapsed="false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</row>
    <row r="501" customFormat="false" ht="15.75" hidden="false" customHeight="false" outlineLevel="0" collapsed="false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</row>
    <row r="502" customFormat="false" ht="15.75" hidden="false" customHeight="false" outlineLevel="0" collapsed="false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</row>
    <row r="503" customFormat="false" ht="15.75" hidden="false" customHeight="false" outlineLevel="0" collapsed="false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</row>
    <row r="504" customFormat="false" ht="15.75" hidden="false" customHeight="false" outlineLevel="0" collapsed="false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</row>
    <row r="505" customFormat="false" ht="15.75" hidden="false" customHeight="false" outlineLevel="0" collapsed="false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</row>
    <row r="506" customFormat="false" ht="15.75" hidden="false" customHeight="false" outlineLevel="0" collapsed="false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</row>
    <row r="507" customFormat="false" ht="15.75" hidden="false" customHeight="false" outlineLevel="0" collapsed="false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</row>
    <row r="508" customFormat="false" ht="15.75" hidden="false" customHeight="false" outlineLevel="0" collapsed="false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</row>
    <row r="509" customFormat="false" ht="15.75" hidden="false" customHeight="false" outlineLevel="0" collapsed="false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</row>
    <row r="510" customFormat="false" ht="15.75" hidden="false" customHeight="false" outlineLevel="0" collapsed="false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</row>
    <row r="511" customFormat="false" ht="15.75" hidden="false" customHeight="false" outlineLevel="0" collapsed="false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</row>
    <row r="512" customFormat="false" ht="15.75" hidden="false" customHeight="false" outlineLevel="0" collapsed="false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</row>
    <row r="513" customFormat="false" ht="15.75" hidden="false" customHeight="false" outlineLevel="0" collapsed="false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</row>
    <row r="514" customFormat="false" ht="15.75" hidden="false" customHeight="false" outlineLevel="0" collapsed="false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</row>
    <row r="515" customFormat="false" ht="15.75" hidden="false" customHeight="false" outlineLevel="0" collapsed="false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</row>
    <row r="516" customFormat="false" ht="15.75" hidden="false" customHeight="false" outlineLevel="0" collapsed="false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</row>
    <row r="517" customFormat="false" ht="15.75" hidden="false" customHeight="false" outlineLevel="0" collapsed="false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</row>
    <row r="518" customFormat="false" ht="15.75" hidden="false" customHeight="false" outlineLevel="0" collapsed="false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</row>
    <row r="519" customFormat="false" ht="15.75" hidden="false" customHeight="false" outlineLevel="0" collapsed="false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</row>
    <row r="520" customFormat="false" ht="15.75" hidden="false" customHeight="false" outlineLevel="0" collapsed="false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</row>
    <row r="521" customFormat="false" ht="15.75" hidden="false" customHeight="false" outlineLevel="0" collapsed="false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</row>
    <row r="522" customFormat="false" ht="15.75" hidden="false" customHeight="false" outlineLevel="0" collapsed="false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</row>
    <row r="523" customFormat="false" ht="15.75" hidden="false" customHeight="false" outlineLevel="0" collapsed="false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</row>
    <row r="524" customFormat="false" ht="15.75" hidden="false" customHeight="false" outlineLevel="0" collapsed="false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</row>
    <row r="525" customFormat="false" ht="15.75" hidden="false" customHeight="false" outlineLevel="0" collapsed="false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</row>
    <row r="526" customFormat="false" ht="15.75" hidden="false" customHeight="false" outlineLevel="0" collapsed="false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</row>
    <row r="527" customFormat="false" ht="15.75" hidden="false" customHeight="false" outlineLevel="0" collapsed="false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</row>
    <row r="528" customFormat="false" ht="15.75" hidden="false" customHeight="false" outlineLevel="0" collapsed="false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</row>
    <row r="529" customFormat="false" ht="15.75" hidden="false" customHeight="false" outlineLevel="0" collapsed="false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</row>
    <row r="530" customFormat="false" ht="15.75" hidden="false" customHeight="false" outlineLevel="0" collapsed="false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</row>
    <row r="531" customFormat="false" ht="15.75" hidden="false" customHeight="false" outlineLevel="0" collapsed="false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</row>
    <row r="532" customFormat="false" ht="15.75" hidden="false" customHeight="false" outlineLevel="0" collapsed="false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</row>
    <row r="533" customFormat="false" ht="15.75" hidden="false" customHeight="false" outlineLevel="0" collapsed="false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</row>
    <row r="534" customFormat="false" ht="15.75" hidden="false" customHeight="false" outlineLevel="0" collapsed="false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</row>
    <row r="535" customFormat="false" ht="15.75" hidden="false" customHeight="false" outlineLevel="0" collapsed="false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</row>
    <row r="536" customFormat="false" ht="15.75" hidden="false" customHeight="false" outlineLevel="0" collapsed="false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</row>
    <row r="537" customFormat="false" ht="15.75" hidden="false" customHeight="false" outlineLevel="0" collapsed="false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</row>
    <row r="538" customFormat="false" ht="15.75" hidden="false" customHeight="false" outlineLevel="0" collapsed="false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</row>
    <row r="539" customFormat="false" ht="15.75" hidden="false" customHeight="false" outlineLevel="0" collapsed="false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</row>
    <row r="540" customFormat="false" ht="15.75" hidden="false" customHeight="false" outlineLevel="0" collapsed="false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</row>
    <row r="541" customFormat="false" ht="15.75" hidden="false" customHeight="false" outlineLevel="0" collapsed="false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</row>
    <row r="542" customFormat="false" ht="15.75" hidden="false" customHeight="false" outlineLevel="0" collapsed="false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</row>
    <row r="543" customFormat="false" ht="15.75" hidden="false" customHeight="false" outlineLevel="0" collapsed="false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</row>
    <row r="544" customFormat="false" ht="15.75" hidden="false" customHeight="false" outlineLevel="0" collapsed="false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</row>
    <row r="545" customFormat="false" ht="15.75" hidden="false" customHeight="false" outlineLevel="0" collapsed="false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</row>
    <row r="546" customFormat="false" ht="15.75" hidden="false" customHeight="false" outlineLevel="0" collapsed="false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</row>
    <row r="547" customFormat="false" ht="15.75" hidden="false" customHeight="false" outlineLevel="0" collapsed="false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</row>
    <row r="548" customFormat="false" ht="15.75" hidden="false" customHeight="false" outlineLevel="0" collapsed="false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</row>
    <row r="549" customFormat="false" ht="15.75" hidden="false" customHeight="false" outlineLevel="0" collapsed="false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</row>
    <row r="550" customFormat="false" ht="15.75" hidden="false" customHeight="false" outlineLevel="0" collapsed="false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</row>
    <row r="551" customFormat="false" ht="15.75" hidden="false" customHeight="false" outlineLevel="0" collapsed="false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</row>
    <row r="552" customFormat="false" ht="15.75" hidden="false" customHeight="false" outlineLevel="0" collapsed="false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</row>
    <row r="553" customFormat="false" ht="15.75" hidden="false" customHeight="false" outlineLevel="0" collapsed="false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</row>
    <row r="554" customFormat="false" ht="15.75" hidden="false" customHeight="false" outlineLevel="0" collapsed="false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</row>
    <row r="555" customFormat="false" ht="15.75" hidden="false" customHeight="false" outlineLevel="0" collapsed="false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</row>
    <row r="556" customFormat="false" ht="15.75" hidden="false" customHeight="false" outlineLevel="0" collapsed="false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</row>
    <row r="557" customFormat="false" ht="15.75" hidden="false" customHeight="false" outlineLevel="0" collapsed="false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</row>
    <row r="558" customFormat="false" ht="15.75" hidden="false" customHeight="false" outlineLevel="0" collapsed="false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</row>
    <row r="559" customFormat="false" ht="15.75" hidden="false" customHeight="false" outlineLevel="0" collapsed="false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</row>
    <row r="560" customFormat="false" ht="15.75" hidden="false" customHeight="false" outlineLevel="0" collapsed="false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</row>
    <row r="561" customFormat="false" ht="15.75" hidden="false" customHeight="false" outlineLevel="0" collapsed="false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</row>
    <row r="562" customFormat="false" ht="15.75" hidden="false" customHeight="false" outlineLevel="0" collapsed="false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</row>
    <row r="563" customFormat="false" ht="15.75" hidden="false" customHeight="false" outlineLevel="0" collapsed="false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</row>
    <row r="564" customFormat="false" ht="15.75" hidden="false" customHeight="false" outlineLevel="0" collapsed="false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</row>
    <row r="565" customFormat="false" ht="15.75" hidden="false" customHeight="false" outlineLevel="0" collapsed="false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</row>
    <row r="566" customFormat="false" ht="15.75" hidden="false" customHeight="false" outlineLevel="0" collapsed="false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</row>
    <row r="567" customFormat="false" ht="15.75" hidden="false" customHeight="false" outlineLevel="0" collapsed="false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</row>
    <row r="568" customFormat="false" ht="15.75" hidden="false" customHeight="false" outlineLevel="0" collapsed="false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</row>
    <row r="569" customFormat="false" ht="15.75" hidden="false" customHeight="false" outlineLevel="0" collapsed="false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</row>
    <row r="570" customFormat="false" ht="15.75" hidden="false" customHeight="false" outlineLevel="0" collapsed="false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</row>
    <row r="571" customFormat="false" ht="15.75" hidden="false" customHeight="false" outlineLevel="0" collapsed="false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</row>
    <row r="572" customFormat="false" ht="15.75" hidden="false" customHeight="false" outlineLevel="0" collapsed="false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</row>
    <row r="573" customFormat="false" ht="15.75" hidden="false" customHeight="false" outlineLevel="0" collapsed="false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</row>
    <row r="574" customFormat="false" ht="15.75" hidden="false" customHeight="false" outlineLevel="0" collapsed="false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</row>
    <row r="575" customFormat="false" ht="15.75" hidden="false" customHeight="false" outlineLevel="0" collapsed="false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</row>
    <row r="576" customFormat="false" ht="15.75" hidden="false" customHeight="false" outlineLevel="0" collapsed="false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</row>
    <row r="577" customFormat="false" ht="15.75" hidden="false" customHeight="false" outlineLevel="0" collapsed="false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</row>
    <row r="578" customFormat="false" ht="15.75" hidden="false" customHeight="false" outlineLevel="0" collapsed="false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</row>
    <row r="579" customFormat="false" ht="15.75" hidden="false" customHeight="false" outlineLevel="0" collapsed="false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</row>
    <row r="580" customFormat="false" ht="15.75" hidden="false" customHeight="false" outlineLevel="0" collapsed="false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</row>
    <row r="581" customFormat="false" ht="15.75" hidden="false" customHeight="false" outlineLevel="0" collapsed="false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</row>
    <row r="582" customFormat="false" ht="15.75" hidden="false" customHeight="false" outlineLevel="0" collapsed="false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</row>
    <row r="583" customFormat="false" ht="15.75" hidden="false" customHeight="false" outlineLevel="0" collapsed="false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</row>
    <row r="584" customFormat="false" ht="15.75" hidden="false" customHeight="false" outlineLevel="0" collapsed="false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</row>
    <row r="585" customFormat="false" ht="15.75" hidden="false" customHeight="false" outlineLevel="0" collapsed="false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</row>
    <row r="586" customFormat="false" ht="15.75" hidden="false" customHeight="false" outlineLevel="0" collapsed="false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</row>
    <row r="587" customFormat="false" ht="15.75" hidden="false" customHeight="false" outlineLevel="0" collapsed="false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</row>
    <row r="588" customFormat="false" ht="15.75" hidden="false" customHeight="false" outlineLevel="0" collapsed="false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</row>
    <row r="589" customFormat="false" ht="15.75" hidden="false" customHeight="false" outlineLevel="0" collapsed="false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</row>
    <row r="590" customFormat="false" ht="15.75" hidden="false" customHeight="false" outlineLevel="0" collapsed="false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</row>
    <row r="591" customFormat="false" ht="15.75" hidden="false" customHeight="false" outlineLevel="0" collapsed="false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</row>
    <row r="592" customFormat="false" ht="15.75" hidden="false" customHeight="false" outlineLevel="0" collapsed="false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</row>
    <row r="593" customFormat="false" ht="15.75" hidden="false" customHeight="false" outlineLevel="0" collapsed="false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</row>
    <row r="594" customFormat="false" ht="15.75" hidden="false" customHeight="false" outlineLevel="0" collapsed="false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</row>
    <row r="595" customFormat="false" ht="15.75" hidden="false" customHeight="false" outlineLevel="0" collapsed="false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</row>
    <row r="596" customFormat="false" ht="15.75" hidden="false" customHeight="false" outlineLevel="0" collapsed="false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</row>
    <row r="597" customFormat="false" ht="15.75" hidden="false" customHeight="false" outlineLevel="0" collapsed="false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</row>
    <row r="598" customFormat="false" ht="15.75" hidden="false" customHeight="false" outlineLevel="0" collapsed="false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</row>
    <row r="599" customFormat="false" ht="15.75" hidden="false" customHeight="false" outlineLevel="0" collapsed="false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</row>
    <row r="600" customFormat="false" ht="15.75" hidden="false" customHeight="false" outlineLevel="0" collapsed="false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</row>
    <row r="601" customFormat="false" ht="15.75" hidden="false" customHeight="false" outlineLevel="0" collapsed="false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</row>
    <row r="602" customFormat="false" ht="15.75" hidden="false" customHeight="false" outlineLevel="0" collapsed="false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</row>
    <row r="603" customFormat="false" ht="15.75" hidden="false" customHeight="false" outlineLevel="0" collapsed="false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</row>
    <row r="604" customFormat="false" ht="15.75" hidden="false" customHeight="false" outlineLevel="0" collapsed="false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</row>
    <row r="605" customFormat="false" ht="15.75" hidden="false" customHeight="false" outlineLevel="0" collapsed="false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</row>
    <row r="606" customFormat="false" ht="15.75" hidden="false" customHeight="false" outlineLevel="0" collapsed="false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</row>
    <row r="607" customFormat="false" ht="15.75" hidden="false" customHeight="false" outlineLevel="0" collapsed="false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</row>
    <row r="608" customFormat="false" ht="15.75" hidden="false" customHeight="false" outlineLevel="0" collapsed="false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</row>
    <row r="609" customFormat="false" ht="15.75" hidden="false" customHeight="false" outlineLevel="0" collapsed="false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</row>
    <row r="610" customFormat="false" ht="15.75" hidden="false" customHeight="false" outlineLevel="0" collapsed="false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</row>
    <row r="611" customFormat="false" ht="15.75" hidden="false" customHeight="false" outlineLevel="0" collapsed="false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</row>
    <row r="612" customFormat="false" ht="15.75" hidden="false" customHeight="false" outlineLevel="0" collapsed="false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</row>
    <row r="613" customFormat="false" ht="15.75" hidden="false" customHeight="false" outlineLevel="0" collapsed="false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</row>
    <row r="614" customFormat="false" ht="15.75" hidden="false" customHeight="false" outlineLevel="0" collapsed="false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</row>
    <row r="615" customFormat="false" ht="15.75" hidden="false" customHeight="false" outlineLevel="0" collapsed="false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</row>
    <row r="616" customFormat="false" ht="15.75" hidden="false" customHeight="false" outlineLevel="0" collapsed="false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</row>
    <row r="617" customFormat="false" ht="15.75" hidden="false" customHeight="false" outlineLevel="0" collapsed="false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</row>
    <row r="618" customFormat="false" ht="15.75" hidden="false" customHeight="false" outlineLevel="0" collapsed="false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</row>
    <row r="619" customFormat="false" ht="15.75" hidden="false" customHeight="false" outlineLevel="0" collapsed="false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</row>
    <row r="620" customFormat="false" ht="15.75" hidden="false" customHeight="false" outlineLevel="0" collapsed="false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</row>
    <row r="621" customFormat="false" ht="15.75" hidden="false" customHeight="false" outlineLevel="0" collapsed="false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</row>
    <row r="622" customFormat="false" ht="15.75" hidden="false" customHeight="false" outlineLevel="0" collapsed="false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</row>
    <row r="623" customFormat="false" ht="15.75" hidden="false" customHeight="false" outlineLevel="0" collapsed="false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</row>
    <row r="624" customFormat="false" ht="15.75" hidden="false" customHeight="false" outlineLevel="0" collapsed="false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</row>
    <row r="625" customFormat="false" ht="15.75" hidden="false" customHeight="false" outlineLevel="0" collapsed="false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</row>
    <row r="626" customFormat="false" ht="15.75" hidden="false" customHeight="false" outlineLevel="0" collapsed="false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</row>
    <row r="627" customFormat="false" ht="15.75" hidden="false" customHeight="false" outlineLevel="0" collapsed="false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</row>
    <row r="628" customFormat="false" ht="15.75" hidden="false" customHeight="false" outlineLevel="0" collapsed="false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</row>
    <row r="629" customFormat="false" ht="15.75" hidden="false" customHeight="false" outlineLevel="0" collapsed="false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</row>
    <row r="630" customFormat="false" ht="15.75" hidden="false" customHeight="false" outlineLevel="0" collapsed="false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</row>
    <row r="631" customFormat="false" ht="15.75" hidden="false" customHeight="false" outlineLevel="0" collapsed="false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</row>
    <row r="632" customFormat="false" ht="15.75" hidden="false" customHeight="false" outlineLevel="0" collapsed="false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</row>
    <row r="633" customFormat="false" ht="15.75" hidden="false" customHeight="false" outlineLevel="0" collapsed="false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</row>
    <row r="634" customFormat="false" ht="15.75" hidden="false" customHeight="false" outlineLevel="0" collapsed="false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</row>
    <row r="635" customFormat="false" ht="15.75" hidden="false" customHeight="false" outlineLevel="0" collapsed="false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</row>
    <row r="636" customFormat="false" ht="15.75" hidden="false" customHeight="false" outlineLevel="0" collapsed="false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</row>
    <row r="637" customFormat="false" ht="15.75" hidden="false" customHeight="false" outlineLevel="0" collapsed="false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</row>
    <row r="638" customFormat="false" ht="15.75" hidden="false" customHeight="false" outlineLevel="0" collapsed="false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</row>
    <row r="639" customFormat="false" ht="15.75" hidden="false" customHeight="false" outlineLevel="0" collapsed="false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</row>
    <row r="640" customFormat="false" ht="15.75" hidden="false" customHeight="false" outlineLevel="0" collapsed="false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</row>
    <row r="641" customFormat="false" ht="15.75" hidden="false" customHeight="false" outlineLevel="0" collapsed="false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</row>
    <row r="642" customFormat="false" ht="15.75" hidden="false" customHeight="false" outlineLevel="0" collapsed="false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</row>
    <row r="643" customFormat="false" ht="15.75" hidden="false" customHeight="false" outlineLevel="0" collapsed="false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</row>
    <row r="644" customFormat="false" ht="15.75" hidden="false" customHeight="false" outlineLevel="0" collapsed="false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</row>
    <row r="645" customFormat="false" ht="15.75" hidden="false" customHeight="false" outlineLevel="0" collapsed="false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</row>
    <row r="646" customFormat="false" ht="15.75" hidden="false" customHeight="false" outlineLevel="0" collapsed="false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</row>
    <row r="647" customFormat="false" ht="15.75" hidden="false" customHeight="false" outlineLevel="0" collapsed="false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</row>
    <row r="648" customFormat="false" ht="15.75" hidden="false" customHeight="false" outlineLevel="0" collapsed="false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</row>
    <row r="649" customFormat="false" ht="15.75" hidden="false" customHeight="false" outlineLevel="0" collapsed="false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</row>
    <row r="650" customFormat="false" ht="15.75" hidden="false" customHeight="false" outlineLevel="0" collapsed="false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</row>
    <row r="651" customFormat="false" ht="15.75" hidden="false" customHeight="false" outlineLevel="0" collapsed="false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</row>
    <row r="652" customFormat="false" ht="15.75" hidden="false" customHeight="false" outlineLevel="0" collapsed="false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</row>
    <row r="653" customFormat="false" ht="15.75" hidden="false" customHeight="false" outlineLevel="0" collapsed="false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</row>
    <row r="654" customFormat="false" ht="15.75" hidden="false" customHeight="false" outlineLevel="0" collapsed="false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</row>
    <row r="655" customFormat="false" ht="15.75" hidden="false" customHeight="false" outlineLevel="0" collapsed="false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</row>
    <row r="656" customFormat="false" ht="15.75" hidden="false" customHeight="false" outlineLevel="0" collapsed="false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</row>
    <row r="657" customFormat="false" ht="15.75" hidden="false" customHeight="false" outlineLevel="0" collapsed="false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</row>
    <row r="658" customFormat="false" ht="15.75" hidden="false" customHeight="false" outlineLevel="0" collapsed="false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</row>
    <row r="659" customFormat="false" ht="15.75" hidden="false" customHeight="false" outlineLevel="0" collapsed="false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</row>
    <row r="660" customFormat="false" ht="15.75" hidden="false" customHeight="false" outlineLevel="0" collapsed="false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</row>
    <row r="661" customFormat="false" ht="15.75" hidden="false" customHeight="false" outlineLevel="0" collapsed="false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</row>
    <row r="662" customFormat="false" ht="15.75" hidden="false" customHeight="false" outlineLevel="0" collapsed="false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</row>
    <row r="663" customFormat="false" ht="15.75" hidden="false" customHeight="false" outlineLevel="0" collapsed="false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</row>
    <row r="664" customFormat="false" ht="15.75" hidden="false" customHeight="false" outlineLevel="0" collapsed="false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</row>
    <row r="665" customFormat="false" ht="15.75" hidden="false" customHeight="false" outlineLevel="0" collapsed="false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</row>
    <row r="666" customFormat="false" ht="15.75" hidden="false" customHeight="false" outlineLevel="0" collapsed="false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</row>
    <row r="667" customFormat="false" ht="15.75" hidden="false" customHeight="false" outlineLevel="0" collapsed="false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</row>
    <row r="668" customFormat="false" ht="15.75" hidden="false" customHeight="false" outlineLevel="0" collapsed="false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</row>
    <row r="669" customFormat="false" ht="15.75" hidden="false" customHeight="false" outlineLevel="0" collapsed="false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</row>
    <row r="670" customFormat="false" ht="15.75" hidden="false" customHeight="false" outlineLevel="0" collapsed="false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</row>
    <row r="671" customFormat="false" ht="15.75" hidden="false" customHeight="false" outlineLevel="0" collapsed="false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</row>
    <row r="672" customFormat="false" ht="15.75" hidden="false" customHeight="false" outlineLevel="0" collapsed="false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</row>
    <row r="673" customFormat="false" ht="15.75" hidden="false" customHeight="false" outlineLevel="0" collapsed="false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</row>
    <row r="674" customFormat="false" ht="15.75" hidden="false" customHeight="false" outlineLevel="0" collapsed="false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</row>
    <row r="675" customFormat="false" ht="15.75" hidden="false" customHeight="false" outlineLevel="0" collapsed="false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</row>
    <row r="676" customFormat="false" ht="15.75" hidden="false" customHeight="false" outlineLevel="0" collapsed="false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</row>
    <row r="677" customFormat="false" ht="15.75" hidden="false" customHeight="false" outlineLevel="0" collapsed="false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</row>
    <row r="678" customFormat="false" ht="15.75" hidden="false" customHeight="false" outlineLevel="0" collapsed="false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</row>
    <row r="679" customFormat="false" ht="15.75" hidden="false" customHeight="false" outlineLevel="0" collapsed="false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</row>
    <row r="680" customFormat="false" ht="15.75" hidden="false" customHeight="false" outlineLevel="0" collapsed="false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</row>
    <row r="681" customFormat="false" ht="15.75" hidden="false" customHeight="false" outlineLevel="0" collapsed="false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</row>
    <row r="682" customFormat="false" ht="15.75" hidden="false" customHeight="false" outlineLevel="0" collapsed="false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</row>
    <row r="683" customFormat="false" ht="15.75" hidden="false" customHeight="false" outlineLevel="0" collapsed="false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</row>
    <row r="684" customFormat="false" ht="15.75" hidden="false" customHeight="false" outlineLevel="0" collapsed="false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</row>
    <row r="685" customFormat="false" ht="15.75" hidden="false" customHeight="false" outlineLevel="0" collapsed="false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</row>
    <row r="686" customFormat="false" ht="15.75" hidden="false" customHeight="false" outlineLevel="0" collapsed="false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</row>
    <row r="687" customFormat="false" ht="15.75" hidden="false" customHeight="false" outlineLevel="0" collapsed="false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</row>
    <row r="688" customFormat="false" ht="15.75" hidden="false" customHeight="false" outlineLevel="0" collapsed="false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</row>
    <row r="689" customFormat="false" ht="15.75" hidden="false" customHeight="false" outlineLevel="0" collapsed="false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</row>
    <row r="690" customFormat="false" ht="15.75" hidden="false" customHeight="false" outlineLevel="0" collapsed="false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</row>
    <row r="691" customFormat="false" ht="15.75" hidden="false" customHeight="false" outlineLevel="0" collapsed="false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</row>
    <row r="692" customFormat="false" ht="15.75" hidden="false" customHeight="false" outlineLevel="0" collapsed="false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</row>
    <row r="693" customFormat="false" ht="15.75" hidden="false" customHeight="false" outlineLevel="0" collapsed="false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</row>
    <row r="694" customFormat="false" ht="15.75" hidden="false" customHeight="false" outlineLevel="0" collapsed="false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</row>
    <row r="695" customFormat="false" ht="15.75" hidden="false" customHeight="false" outlineLevel="0" collapsed="false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</row>
    <row r="696" customFormat="false" ht="15.75" hidden="false" customHeight="false" outlineLevel="0" collapsed="false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</row>
    <row r="697" customFormat="false" ht="15.75" hidden="false" customHeight="false" outlineLevel="0" collapsed="false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</row>
    <row r="698" customFormat="false" ht="15.75" hidden="false" customHeight="false" outlineLevel="0" collapsed="false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</row>
    <row r="699" customFormat="false" ht="15.75" hidden="false" customHeight="false" outlineLevel="0" collapsed="false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</row>
    <row r="700" customFormat="false" ht="15.75" hidden="false" customHeight="false" outlineLevel="0" collapsed="false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</row>
    <row r="701" customFormat="false" ht="15.75" hidden="false" customHeight="false" outlineLevel="0" collapsed="false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</row>
  </sheetData>
  <mergeCells count="104">
    <mergeCell ref="A1:AQ3"/>
    <mergeCell ref="A4:AX4"/>
    <mergeCell ref="A5:A6"/>
    <mergeCell ref="B5:B6"/>
    <mergeCell ref="D5:I5"/>
    <mergeCell ref="K5:P5"/>
    <mergeCell ref="R5:W5"/>
    <mergeCell ref="Y5:AD5"/>
    <mergeCell ref="AF5:AK5"/>
    <mergeCell ref="AM5:AR5"/>
    <mergeCell ref="AS5:AW5"/>
    <mergeCell ref="D6:E6"/>
    <mergeCell ref="G6:H6"/>
    <mergeCell ref="K6:L6"/>
    <mergeCell ref="N6:O6"/>
    <mergeCell ref="R6:S6"/>
    <mergeCell ref="U6:V6"/>
    <mergeCell ref="Y6:Z6"/>
    <mergeCell ref="AB6:AC6"/>
    <mergeCell ref="AF6:AG6"/>
    <mergeCell ref="AI6:AJ6"/>
    <mergeCell ref="AM6:AN6"/>
    <mergeCell ref="AP6:AQ6"/>
    <mergeCell ref="A35:AQ37"/>
    <mergeCell ref="A38:AX38"/>
    <mergeCell ref="A39:A40"/>
    <mergeCell ref="B39:B40"/>
    <mergeCell ref="D39:I39"/>
    <mergeCell ref="K39:P39"/>
    <mergeCell ref="R39:W39"/>
    <mergeCell ref="Y39:AD39"/>
    <mergeCell ref="AF39:AK39"/>
    <mergeCell ref="AM39:AR39"/>
    <mergeCell ref="AS39:AW39"/>
    <mergeCell ref="D40:E40"/>
    <mergeCell ref="G40:H40"/>
    <mergeCell ref="K40:L40"/>
    <mergeCell ref="N40:O40"/>
    <mergeCell ref="R40:S40"/>
    <mergeCell ref="U40:V40"/>
    <mergeCell ref="Y40:Z40"/>
    <mergeCell ref="AB40:AC40"/>
    <mergeCell ref="AF40:AG40"/>
    <mergeCell ref="AI40:AJ40"/>
    <mergeCell ref="AM40:AN40"/>
    <mergeCell ref="AP40:AQ40"/>
    <mergeCell ref="A69:AQ71"/>
    <mergeCell ref="A72:AX72"/>
    <mergeCell ref="A73:A74"/>
    <mergeCell ref="B73:B74"/>
    <mergeCell ref="D73:I73"/>
    <mergeCell ref="K73:P73"/>
    <mergeCell ref="R73:W73"/>
    <mergeCell ref="Y73:AD73"/>
    <mergeCell ref="AF73:AK73"/>
    <mergeCell ref="AM73:AR73"/>
    <mergeCell ref="AS73:AW73"/>
    <mergeCell ref="D74:E74"/>
    <mergeCell ref="G74:H74"/>
    <mergeCell ref="K74:L74"/>
    <mergeCell ref="N74:O74"/>
    <mergeCell ref="R74:S74"/>
    <mergeCell ref="U74:V74"/>
    <mergeCell ref="Y74:Z74"/>
    <mergeCell ref="AB74:AC74"/>
    <mergeCell ref="AF74:AG74"/>
    <mergeCell ref="AI74:AJ74"/>
    <mergeCell ref="AM74:AN74"/>
    <mergeCell ref="AP74:AQ74"/>
    <mergeCell ref="A103:AQ105"/>
    <mergeCell ref="A106:AX106"/>
    <mergeCell ref="A107:A108"/>
    <mergeCell ref="B107:B108"/>
    <mergeCell ref="D107:I107"/>
    <mergeCell ref="K107:P107"/>
    <mergeCell ref="R107:W107"/>
    <mergeCell ref="Y107:AD107"/>
    <mergeCell ref="AF107:AK107"/>
    <mergeCell ref="AM107:AR107"/>
    <mergeCell ref="AS107:AW107"/>
    <mergeCell ref="D108:E108"/>
    <mergeCell ref="G108:H108"/>
    <mergeCell ref="K108:L108"/>
    <mergeCell ref="N108:O108"/>
    <mergeCell ref="R108:S108"/>
    <mergeCell ref="U108:V108"/>
    <mergeCell ref="Y108:Z108"/>
    <mergeCell ref="AB108:AC108"/>
    <mergeCell ref="AF108:AG108"/>
    <mergeCell ref="AI108:AJ108"/>
    <mergeCell ref="AM108:AN108"/>
    <mergeCell ref="AP108:AQ108"/>
    <mergeCell ref="A137:AQ139"/>
    <mergeCell ref="A140:AX140"/>
    <mergeCell ref="A141:A142"/>
    <mergeCell ref="B141:B142"/>
    <mergeCell ref="D141:I141"/>
    <mergeCell ref="K141:P141"/>
    <mergeCell ref="Q141:AR170"/>
    <mergeCell ref="AS141:AW141"/>
    <mergeCell ref="D142:E142"/>
    <mergeCell ref="G142:H142"/>
    <mergeCell ref="K142:L142"/>
    <mergeCell ref="N142:O142"/>
  </mergeCells>
  <dataValidations count="3">
    <dataValidation allowBlank="true" errorStyle="stop" operator="between" showDropDown="false" showErrorMessage="true" showInputMessage="false" sqref="F7:F34 I7:I34 M7:M34 P7:P34 T7:T34 W7:W34 AA7:AA34 AD7:AD34 AH7:AH34 AK7:AK34 AO7:AO34 AR7:AR34 F41:F68 I41:I68 M41:M68 P41:P68 T41:T68 W41:W68 AA41:AA68 AD41:AD68 AH41:AH68 AK41:AK68 AO41:AO68 AR41:AR68 F75:F102 I75:I102 M75:M102 P75:P102 T75:T102 W75:W102 AA75:AA102 AD75:AD102 AH75:AH102 AK75:AK102 AO75:AO102 AR75:AR102 F109:F136 I109:I136 M109:M136 P109:P136 T109:T136 W109:W136 AA109:AA136 AD109:AD136 AH109:AH136 AK109:AK136 AO109:AO136 AR109:AR136 F143:F170 I143:I170 M143:M170 P143:P170" type="list">
      <formula1>"A Rifqi,Syakir ,Faliq"</formula1>
      <formula2>0</formula2>
    </dataValidation>
    <dataValidation allowBlank="true" errorStyle="stop" operator="between" showDropDown="false" showErrorMessage="true" showInputMessage="false" sqref="E7:E34 H7:H34 L7:L34 O7:O34 V7:V34 Z7:Z34 AC7:AC34 AG7:AG34 AJ7:AJ34 AN7:AN34 AQ7:AQ34 E41:E68 H41:H68 L41:L68 O41:O68 V41:V68 Z41:Z68 AC41:AC68 AG41:AG68 AJ41:AJ68 AN41:AN68 AQ41:AQ68 E75:E102 H75:H102 L75:L102 O75:O102 V75:V102 Z75:Z102 AC75:AC102 AG75:AG102 AJ75:AJ102 AN75:AN102 AQ75:AQ102 E109:E136 H109:H136 L109:L136 O109:O136 V109:V136 Z109:Z136 AC109:AC136 AG109:AG136 AJ109:AJ136 AN109:AN136 AQ109:AQ136 E143:E170 H143:H170 L143:L170 O143:O170" type="list">
      <formula1>"H,ST,I,P,TS,SH,M,A"</formula1>
      <formula2>0</formula2>
    </dataValidation>
    <dataValidation allowBlank="true" errorStyle="stop" operator="between" showDropDown="false" showErrorMessage="true" showInputMessage="false" sqref="S7:S34 S41:S68 S75:S102 S109:S136" type="list">
      <formula1>"H,S,I,P,M,TS,ST,A"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999"/>
  <sheetViews>
    <sheetView showFormulas="false" showGridLines="true" showRowColHeaders="true" showZeros="true" rightToLeft="false" tabSelected="false" showOutlineSymbols="true" defaultGridColor="true" view="normal" topLeftCell="A1" colorId="64" zoomScale="61" zoomScaleNormal="61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5.25"/>
    <col collapsed="false" customWidth="true" hidden="false" outlineLevel="0" max="2" min="2" style="0" width="25.75"/>
    <col collapsed="false" customWidth="true" hidden="false" outlineLevel="0" max="3" min="3" style="0" width="9"/>
    <col collapsed="false" customWidth="true" hidden="false" outlineLevel="0" max="6" min="6" style="0" width="25.75"/>
    <col collapsed="false" customWidth="true" hidden="false" outlineLevel="0" max="9" min="9" style="0" width="25.75"/>
    <col collapsed="false" customWidth="true" hidden="false" outlineLevel="0" max="12" min="12" style="0" width="25.75"/>
    <col collapsed="false" customWidth="true" hidden="false" outlineLevel="0" max="15" min="15" style="0" width="25.75"/>
    <col collapsed="false" customWidth="true" hidden="false" outlineLevel="0" max="18" min="18" style="0" width="25.75"/>
    <col collapsed="false" customWidth="true" hidden="false" outlineLevel="0" max="26" min="26" style="0" width="25.75"/>
  </cols>
  <sheetData>
    <row r="1" customFormat="false" ht="15.75" hidden="false" customHeight="false" outlineLevel="0" collapsed="false">
      <c r="A1" s="19" t="s">
        <v>48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24"/>
    </row>
    <row r="2" customFormat="false" ht="15.75" hidden="false" customHeight="false" outlineLevel="0" collapsed="false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4"/>
    </row>
    <row r="3" customFormat="false" ht="15.75" hidden="false" customHeight="false" outlineLevel="0" collapsed="false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4"/>
    </row>
    <row r="4" customFormat="false" ht="15.75" hidden="false" customHeight="false" outlineLevel="0" collapsed="false">
      <c r="A4" s="20" t="s">
        <v>289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4"/>
    </row>
    <row r="5" customFormat="false" ht="15.75" hidden="false" customHeight="false" outlineLevel="0" collapsed="false">
      <c r="A5" s="21" t="s">
        <v>1</v>
      </c>
      <c r="B5" s="21" t="s">
        <v>2</v>
      </c>
      <c r="C5" s="22"/>
      <c r="D5" s="21" t="s">
        <v>290</v>
      </c>
      <c r="E5" s="21"/>
      <c r="F5" s="21" t="s">
        <v>2</v>
      </c>
      <c r="G5" s="21" t="s">
        <v>291</v>
      </c>
      <c r="H5" s="21"/>
      <c r="I5" s="21" t="s">
        <v>2</v>
      </c>
      <c r="J5" s="21" t="s">
        <v>292</v>
      </c>
      <c r="K5" s="21"/>
      <c r="L5" s="21" t="s">
        <v>2</v>
      </c>
      <c r="M5" s="21" t="s">
        <v>293</v>
      </c>
      <c r="N5" s="21"/>
      <c r="O5" s="21" t="s">
        <v>2</v>
      </c>
      <c r="P5" s="21" t="s">
        <v>294</v>
      </c>
      <c r="Q5" s="21"/>
      <c r="R5" s="21" t="s">
        <v>2</v>
      </c>
      <c r="S5" s="21" t="s">
        <v>295</v>
      </c>
      <c r="T5" s="21"/>
      <c r="U5" s="39" t="s">
        <v>49</v>
      </c>
      <c r="V5" s="39"/>
      <c r="W5" s="39"/>
      <c r="X5" s="39"/>
      <c r="Y5" s="39"/>
      <c r="Z5" s="39"/>
      <c r="AA5" s="24"/>
    </row>
    <row r="6" customFormat="false" ht="15.75" hidden="false" customHeight="false" outlineLevel="0" collapsed="false">
      <c r="A6" s="21"/>
      <c r="B6" s="21"/>
      <c r="C6" s="22" t="s">
        <v>50</v>
      </c>
      <c r="D6" s="40" t="s">
        <v>296</v>
      </c>
      <c r="E6" s="40" t="s">
        <v>67</v>
      </c>
      <c r="F6" s="21"/>
      <c r="G6" s="40" t="s">
        <v>296</v>
      </c>
      <c r="H6" s="40" t="s">
        <v>67</v>
      </c>
      <c r="I6" s="21"/>
      <c r="J6" s="40" t="s">
        <v>296</v>
      </c>
      <c r="K6" s="40" t="s">
        <v>67</v>
      </c>
      <c r="L6" s="21"/>
      <c r="M6" s="40" t="s">
        <v>296</v>
      </c>
      <c r="N6" s="40" t="s">
        <v>67</v>
      </c>
      <c r="O6" s="21"/>
      <c r="P6" s="40" t="s">
        <v>296</v>
      </c>
      <c r="Q6" s="40" t="s">
        <v>67</v>
      </c>
      <c r="R6" s="21"/>
      <c r="S6" s="40" t="s">
        <v>296</v>
      </c>
      <c r="T6" s="40" t="s">
        <v>67</v>
      </c>
      <c r="U6" s="24" t="s">
        <v>51</v>
      </c>
      <c r="V6" s="24" t="s">
        <v>52</v>
      </c>
      <c r="W6" s="24" t="s">
        <v>53</v>
      </c>
      <c r="X6" s="24" t="s">
        <v>54</v>
      </c>
      <c r="Y6" s="24" t="s">
        <v>55</v>
      </c>
      <c r="Z6" s="24"/>
      <c r="AA6" s="24"/>
    </row>
    <row r="7" customFormat="false" ht="15.75" hidden="false" customHeight="false" outlineLevel="0" collapsed="false">
      <c r="A7" s="24" t="n">
        <v>1</v>
      </c>
      <c r="B7" s="24" t="str">
        <f aca="false">'absensi setoran'!B7</f>
        <v>AYI KOSIM HATIMI</v>
      </c>
      <c r="C7" s="24" t="n">
        <f aca="false">'absensi setoran'!C7</f>
        <v>30</v>
      </c>
      <c r="D7" s="24"/>
      <c r="E7" s="24"/>
      <c r="F7" s="24" t="str">
        <f aca="false">B7</f>
        <v>AYI KOSIM HATIMI</v>
      </c>
      <c r="G7" s="24"/>
      <c r="H7" s="24"/>
      <c r="I7" s="24" t="str">
        <f aca="false">B7</f>
        <v>AYI KOSIM HATIMI</v>
      </c>
      <c r="J7" s="24" t="s">
        <v>75</v>
      </c>
      <c r="K7" s="24"/>
      <c r="L7" s="24" t="str">
        <f aca="false">B7</f>
        <v>AYI KOSIM HATIMI</v>
      </c>
      <c r="M7" s="24" t="s">
        <v>75</v>
      </c>
      <c r="N7" s="24"/>
      <c r="O7" s="24" t="str">
        <f aca="false">B7</f>
        <v>AYI KOSIM HATIMI</v>
      </c>
      <c r="P7" s="24"/>
      <c r="Q7" s="24"/>
      <c r="R7" s="24" t="str">
        <f aca="false">B7</f>
        <v>AYI KOSIM HATIMI</v>
      </c>
      <c r="S7" s="24"/>
      <c r="T7" s="24"/>
      <c r="U7" s="24" t="n">
        <f aca="false">COUNTIF(B7:T7,"H")</f>
        <v>0</v>
      </c>
      <c r="V7" s="24" t="n">
        <f aca="false">COUNTIF(B7:T7,"ST")</f>
        <v>0</v>
      </c>
      <c r="W7" s="24" t="n">
        <f aca="false">COUNTIF(B7:T7,"I")</f>
        <v>0</v>
      </c>
      <c r="X7" s="24" t="n">
        <f aca="false">COUNTIF(B7:T7,"S")</f>
        <v>0</v>
      </c>
      <c r="Y7" s="24" t="n">
        <f aca="false">COUNTIF(B7:T7,"A")</f>
        <v>2</v>
      </c>
      <c r="Z7" s="24" t="str">
        <f aca="false">B7</f>
        <v>AYI KOSIM HATIMI</v>
      </c>
      <c r="AA7" s="24"/>
    </row>
    <row r="8" customFormat="false" ht="15.75" hidden="false" customHeight="false" outlineLevel="0" collapsed="false">
      <c r="A8" s="24" t="n">
        <v>2</v>
      </c>
      <c r="B8" s="24" t="str">
        <f aca="false">'absensi setoran'!B8</f>
        <v>ABRURRAHMAN AFANDI</v>
      </c>
      <c r="C8" s="24" t="n">
        <f aca="false">'absensi setoran'!C8</f>
        <v>30</v>
      </c>
      <c r="D8" s="24"/>
      <c r="E8" s="24"/>
      <c r="F8" s="24" t="str">
        <f aca="false">B8</f>
        <v>ABRURRAHMAN AFANDI</v>
      </c>
      <c r="G8" s="24"/>
      <c r="H8" s="24"/>
      <c r="I8" s="24" t="str">
        <f aca="false">B8</f>
        <v>ABRURRAHMAN AFANDI</v>
      </c>
      <c r="J8" s="24"/>
      <c r="K8" s="24"/>
      <c r="L8" s="24" t="str">
        <f aca="false">B8</f>
        <v>ABRURRAHMAN AFANDI</v>
      </c>
      <c r="M8" s="24"/>
      <c r="N8" s="24"/>
      <c r="O8" s="24" t="str">
        <f aca="false">B8</f>
        <v>ABRURRAHMAN AFANDI</v>
      </c>
      <c r="P8" s="24"/>
      <c r="Q8" s="24"/>
      <c r="R8" s="24" t="str">
        <f aca="false">B8</f>
        <v>ABRURRAHMAN AFANDI</v>
      </c>
      <c r="S8" s="24"/>
      <c r="T8" s="24"/>
      <c r="U8" s="24" t="n">
        <f aca="false">COUNTIF(B8:T8,"H")</f>
        <v>0</v>
      </c>
      <c r="V8" s="24" t="n">
        <f aca="false">COUNTIF(B8:T8,"ST")</f>
        <v>0</v>
      </c>
      <c r="W8" s="24" t="n">
        <f aca="false">COUNTIF(B8:T8,"I")</f>
        <v>0</v>
      </c>
      <c r="X8" s="24" t="n">
        <f aca="false">COUNTIF(B8:T8,"S")</f>
        <v>0</v>
      </c>
      <c r="Y8" s="24" t="n">
        <f aca="false">COUNTIF(B8:T8,"A")</f>
        <v>0</v>
      </c>
      <c r="Z8" s="24" t="str">
        <f aca="false">B8</f>
        <v>ABRURRAHMAN AFANDI</v>
      </c>
      <c r="AA8" s="24"/>
    </row>
    <row r="9" customFormat="false" ht="15.75" hidden="false" customHeight="false" outlineLevel="0" collapsed="false">
      <c r="A9" s="24" t="n">
        <v>3</v>
      </c>
      <c r="B9" s="24" t="str">
        <f aca="false">'absensi setoran'!B9</f>
        <v>CECEP ABDULATIF</v>
      </c>
      <c r="C9" s="24" t="n">
        <f aca="false">'absensi setoran'!C9</f>
        <v>30</v>
      </c>
      <c r="D9" s="24"/>
      <c r="E9" s="24"/>
      <c r="F9" s="24" t="str">
        <f aca="false">B9</f>
        <v>CECEP ABDULATIF</v>
      </c>
      <c r="G9" s="24"/>
      <c r="H9" s="24"/>
      <c r="I9" s="24" t="str">
        <f aca="false">B9</f>
        <v>CECEP ABDULATIF</v>
      </c>
      <c r="J9" s="24" t="s">
        <v>78</v>
      </c>
      <c r="K9" s="24"/>
      <c r="L9" s="24" t="str">
        <f aca="false">B9</f>
        <v>CECEP ABDULATIF</v>
      </c>
      <c r="M9" s="24" t="s">
        <v>78</v>
      </c>
      <c r="N9" s="24"/>
      <c r="O9" s="24" t="str">
        <f aca="false">B9</f>
        <v>CECEP ABDULATIF</v>
      </c>
      <c r="P9" s="24"/>
      <c r="Q9" s="24"/>
      <c r="R9" s="24" t="str">
        <f aca="false">B9</f>
        <v>CECEP ABDULATIF</v>
      </c>
      <c r="S9" s="24"/>
      <c r="T9" s="24"/>
      <c r="U9" s="24" t="n">
        <f aca="false">COUNTIF(B9:T9,"H")</f>
        <v>2</v>
      </c>
      <c r="V9" s="24" t="n">
        <f aca="false">COUNTIF(B9:T9,"ST")</f>
        <v>0</v>
      </c>
      <c r="W9" s="24" t="n">
        <f aca="false">COUNTIF(B9:T9,"I")</f>
        <v>0</v>
      </c>
      <c r="X9" s="24" t="n">
        <f aca="false">COUNTIF(B9:T9,"S")</f>
        <v>0</v>
      </c>
      <c r="Y9" s="24" t="n">
        <f aca="false">COUNTIF(B9:T9,"A")</f>
        <v>0</v>
      </c>
      <c r="Z9" s="24" t="str">
        <f aca="false">B9</f>
        <v>CECEP ABDULATIF</v>
      </c>
      <c r="AA9" s="24"/>
    </row>
    <row r="10" customFormat="false" ht="15.75" hidden="false" customHeight="false" outlineLevel="0" collapsed="false">
      <c r="A10" s="24" t="n">
        <v>4</v>
      </c>
      <c r="B10" s="24" t="str">
        <f aca="false">'absensi setoran'!B10</f>
        <v>DONI SUPRIATNA</v>
      </c>
      <c r="C10" s="24" t="n">
        <f aca="false">'absensi setoran'!C10</f>
        <v>30</v>
      </c>
      <c r="D10" s="24"/>
      <c r="E10" s="24"/>
      <c r="F10" s="24" t="str">
        <f aca="false">B10</f>
        <v>DONI SUPRIATNA</v>
      </c>
      <c r="G10" s="24"/>
      <c r="H10" s="24"/>
      <c r="I10" s="24" t="str">
        <f aca="false">B10</f>
        <v>DONI SUPRIATNA</v>
      </c>
      <c r="J10" s="24"/>
      <c r="K10" s="24"/>
      <c r="L10" s="24" t="str">
        <f aca="false">B10</f>
        <v>DONI SUPRIATNA</v>
      </c>
      <c r="M10" s="24" t="s">
        <v>78</v>
      </c>
      <c r="N10" s="24"/>
      <c r="O10" s="24" t="str">
        <f aca="false">B10</f>
        <v>DONI SUPRIATNA</v>
      </c>
      <c r="P10" s="24"/>
      <c r="Q10" s="24"/>
      <c r="R10" s="24" t="str">
        <f aca="false">B10</f>
        <v>DONI SUPRIATNA</v>
      </c>
      <c r="S10" s="24"/>
      <c r="T10" s="24"/>
      <c r="U10" s="24" t="n">
        <f aca="false">COUNTIF(B10:T10,"H")</f>
        <v>1</v>
      </c>
      <c r="V10" s="24" t="n">
        <f aca="false">COUNTIF(B10:T10,"ST")</f>
        <v>0</v>
      </c>
      <c r="W10" s="24" t="n">
        <f aca="false">COUNTIF(B10:T10,"I")</f>
        <v>0</v>
      </c>
      <c r="X10" s="24" t="n">
        <f aca="false">COUNTIF(B10:T10,"S")</f>
        <v>0</v>
      </c>
      <c r="Y10" s="24" t="n">
        <f aca="false">COUNTIF(B10:T10,"A")</f>
        <v>0</v>
      </c>
      <c r="Z10" s="24" t="str">
        <f aca="false">B10</f>
        <v>DONI SUPRIATNA</v>
      </c>
      <c r="AA10" s="24"/>
    </row>
    <row r="11" customFormat="false" ht="15.75" hidden="false" customHeight="false" outlineLevel="0" collapsed="false">
      <c r="A11" s="24" t="n">
        <v>5</v>
      </c>
      <c r="B11" s="24" t="e">
        <f aca="false">'absensi setoran'!B11</f>
        <v>#REF!</v>
      </c>
      <c r="C11" s="24" t="e">
        <f aca="false">'absensi setoran'!C11</f>
        <v>#REF!</v>
      </c>
      <c r="D11" s="24"/>
      <c r="E11" s="24"/>
      <c r="F11" s="24" t="e">
        <f aca="false">B11</f>
        <v>#REF!</v>
      </c>
      <c r="G11" s="24"/>
      <c r="H11" s="24"/>
      <c r="I11" s="24" t="e">
        <f aca="false">B11</f>
        <v>#REF!</v>
      </c>
      <c r="J11" s="24" t="s">
        <v>78</v>
      </c>
      <c r="K11" s="24"/>
      <c r="L11" s="24" t="e">
        <f aca="false">B11</f>
        <v>#REF!</v>
      </c>
      <c r="M11" s="24" t="s">
        <v>78</v>
      </c>
      <c r="N11" s="24"/>
      <c r="O11" s="24" t="e">
        <f aca="false">B11</f>
        <v>#REF!</v>
      </c>
      <c r="P11" s="24"/>
      <c r="Q11" s="24"/>
      <c r="R11" s="24" t="e">
        <f aca="false">B11</f>
        <v>#REF!</v>
      </c>
      <c r="S11" s="24"/>
      <c r="T11" s="24"/>
      <c r="U11" s="24" t="n">
        <f aca="false">COUNTIF(B11:T11,"H")</f>
        <v>2</v>
      </c>
      <c r="V11" s="24" t="n">
        <f aca="false">COUNTIF(B11:T11,"ST")</f>
        <v>0</v>
      </c>
      <c r="W11" s="24" t="n">
        <f aca="false">COUNTIF(B11:T11,"I")</f>
        <v>0</v>
      </c>
      <c r="X11" s="24" t="n">
        <f aca="false">COUNTIF(B11:T11,"S")</f>
        <v>0</v>
      </c>
      <c r="Y11" s="24" t="n">
        <f aca="false">COUNTIF(B11:T11,"A")</f>
        <v>0</v>
      </c>
      <c r="Z11" s="24" t="e">
        <f aca="false">B11</f>
        <v>#REF!</v>
      </c>
      <c r="AA11" s="24"/>
    </row>
    <row r="12" customFormat="false" ht="15.75" hidden="false" customHeight="false" outlineLevel="0" collapsed="false">
      <c r="A12" s="24" t="n">
        <v>6</v>
      </c>
      <c r="B12" s="24" t="str">
        <f aca="false">'absensi setoran'!B12</f>
        <v>ZAKY AZHARI</v>
      </c>
      <c r="C12" s="24" t="n">
        <f aca="false">'absensi setoran'!C12</f>
        <v>30</v>
      </c>
      <c r="D12" s="24"/>
      <c r="E12" s="24"/>
      <c r="F12" s="24" t="str">
        <f aca="false">B12</f>
        <v>ZAKY AZHARI</v>
      </c>
      <c r="G12" s="24"/>
      <c r="H12" s="24"/>
      <c r="I12" s="24" t="str">
        <f aca="false">B12</f>
        <v>ZAKY AZHARI</v>
      </c>
      <c r="J12" s="24" t="s">
        <v>75</v>
      </c>
      <c r="K12" s="24"/>
      <c r="L12" s="24" t="str">
        <f aca="false">B12</f>
        <v>ZAKY AZHARI</v>
      </c>
      <c r="M12" s="24" t="s">
        <v>75</v>
      </c>
      <c r="N12" s="24"/>
      <c r="O12" s="24" t="str">
        <f aca="false">B12</f>
        <v>ZAKY AZHARI</v>
      </c>
      <c r="P12" s="24"/>
      <c r="Q12" s="24"/>
      <c r="R12" s="24" t="str">
        <f aca="false">B12</f>
        <v>ZAKY AZHARI</v>
      </c>
      <c r="S12" s="24"/>
      <c r="T12" s="24"/>
      <c r="U12" s="24" t="n">
        <f aca="false">COUNTIF(B12:T12,"H")</f>
        <v>0</v>
      </c>
      <c r="V12" s="24" t="n">
        <f aca="false">COUNTIF(B12:T12,"ST")</f>
        <v>0</v>
      </c>
      <c r="W12" s="24" t="n">
        <f aca="false">COUNTIF(B12:T12,"I")</f>
        <v>0</v>
      </c>
      <c r="X12" s="24" t="n">
        <f aca="false">COUNTIF(B12:T12,"S")</f>
        <v>0</v>
      </c>
      <c r="Y12" s="24" t="n">
        <f aca="false">COUNTIF(B12:T12,"A")</f>
        <v>2</v>
      </c>
      <c r="Z12" s="24" t="str">
        <f aca="false">B12</f>
        <v>ZAKY AZHARI</v>
      </c>
      <c r="AA12" s="24"/>
    </row>
    <row r="13" customFormat="false" ht="15.75" hidden="false" customHeight="false" outlineLevel="0" collapsed="false">
      <c r="A13" s="24" t="n">
        <v>7</v>
      </c>
      <c r="B13" s="24" t="str">
        <f aca="false">'absensi setoran'!B13</f>
        <v>MUHAMMAD FAUZIL ADZIM</v>
      </c>
      <c r="C13" s="24" t="n">
        <f aca="false">'absensi setoran'!C13</f>
        <v>30</v>
      </c>
      <c r="D13" s="24"/>
      <c r="E13" s="24"/>
      <c r="F13" s="24" t="str">
        <f aca="false">B13</f>
        <v>MUHAMMAD FAUZIL ADZIM</v>
      </c>
      <c r="G13" s="24"/>
      <c r="H13" s="24"/>
      <c r="I13" s="24" t="str">
        <f aca="false">B13</f>
        <v>MUHAMMAD FAUZIL ADZIM</v>
      </c>
      <c r="J13" s="24" t="s">
        <v>78</v>
      </c>
      <c r="K13" s="24"/>
      <c r="L13" s="24" t="str">
        <f aca="false">B13</f>
        <v>MUHAMMAD FAUZIL ADZIM</v>
      </c>
      <c r="M13" s="24" t="s">
        <v>78</v>
      </c>
      <c r="N13" s="24"/>
      <c r="O13" s="24" t="str">
        <f aca="false">B13</f>
        <v>MUHAMMAD FAUZIL ADZIM</v>
      </c>
      <c r="P13" s="24"/>
      <c r="Q13" s="24"/>
      <c r="R13" s="24" t="str">
        <f aca="false">B13</f>
        <v>MUHAMMAD FAUZIL ADZIM</v>
      </c>
      <c r="S13" s="24"/>
      <c r="T13" s="24"/>
      <c r="U13" s="24" t="n">
        <f aca="false">COUNTIF(B13:T13,"H")</f>
        <v>2</v>
      </c>
      <c r="V13" s="24" t="n">
        <f aca="false">COUNTIF(B13:T13,"ST")</f>
        <v>0</v>
      </c>
      <c r="W13" s="24" t="n">
        <f aca="false">COUNTIF(B13:T13,"I")</f>
        <v>0</v>
      </c>
      <c r="X13" s="24" t="n">
        <f aca="false">COUNTIF(B13:T13,"S")</f>
        <v>0</v>
      </c>
      <c r="Y13" s="24" t="n">
        <f aca="false">COUNTIF(B13:T13,"A")</f>
        <v>0</v>
      </c>
      <c r="Z13" s="24" t="str">
        <f aca="false">B13</f>
        <v>MUHAMMAD FAUZIL ADZIM</v>
      </c>
      <c r="AA13" s="24"/>
    </row>
    <row r="14" customFormat="false" ht="15.75" hidden="false" customHeight="false" outlineLevel="0" collapsed="false">
      <c r="A14" s="24" t="n">
        <v>8</v>
      </c>
      <c r="B14" s="24" t="str">
        <f aca="false">'absensi setoran'!B14</f>
        <v>MUHAMMAD DZIKRI HUSAENI</v>
      </c>
      <c r="C14" s="24" t="n">
        <f aca="false">'absensi setoran'!C14</f>
        <v>18</v>
      </c>
      <c r="D14" s="24"/>
      <c r="E14" s="24"/>
      <c r="F14" s="24" t="str">
        <f aca="false">B14</f>
        <v>MUHAMMAD DZIKRI HUSAENI</v>
      </c>
      <c r="G14" s="24"/>
      <c r="H14" s="24"/>
      <c r="I14" s="24" t="str">
        <f aca="false">B14</f>
        <v>MUHAMMAD DZIKRI HUSAENI</v>
      </c>
      <c r="J14" s="24" t="s">
        <v>78</v>
      </c>
      <c r="K14" s="24"/>
      <c r="L14" s="24" t="str">
        <f aca="false">B14</f>
        <v>MUHAMMAD DZIKRI HUSAENI</v>
      </c>
      <c r="M14" s="24" t="s">
        <v>78</v>
      </c>
      <c r="N14" s="24"/>
      <c r="O14" s="24" t="str">
        <f aca="false">B14</f>
        <v>MUHAMMAD DZIKRI HUSAENI</v>
      </c>
      <c r="P14" s="24"/>
      <c r="Q14" s="24"/>
      <c r="R14" s="24" t="str">
        <f aca="false">B14</f>
        <v>MUHAMMAD DZIKRI HUSAENI</v>
      </c>
      <c r="S14" s="24"/>
      <c r="T14" s="24"/>
      <c r="U14" s="24" t="n">
        <f aca="false">COUNTIF(B14:T14,"H")</f>
        <v>2</v>
      </c>
      <c r="V14" s="24" t="n">
        <f aca="false">COUNTIF(B14:T14,"ST")</f>
        <v>0</v>
      </c>
      <c r="W14" s="24" t="n">
        <f aca="false">COUNTIF(B14:T14,"I")</f>
        <v>0</v>
      </c>
      <c r="X14" s="24" t="n">
        <f aca="false">COUNTIF(B14:T14,"S")</f>
        <v>0</v>
      </c>
      <c r="Y14" s="24" t="n">
        <f aca="false">COUNTIF(B14:T14,"A")</f>
        <v>0</v>
      </c>
      <c r="Z14" s="24" t="str">
        <f aca="false">B14</f>
        <v>MUHAMMAD DZIKRI HUSAENI</v>
      </c>
      <c r="AA14" s="24"/>
    </row>
    <row r="15" customFormat="false" ht="15.75" hidden="false" customHeight="false" outlineLevel="0" collapsed="false">
      <c r="A15" s="24" t="n">
        <v>9</v>
      </c>
      <c r="B15" s="24" t="e">
        <f aca="false">'absensi setoran'!B15</f>
        <v>#REF!</v>
      </c>
      <c r="C15" s="24" t="e">
        <f aca="false">'absensi setoran'!C15</f>
        <v>#REF!</v>
      </c>
      <c r="D15" s="24"/>
      <c r="E15" s="24"/>
      <c r="F15" s="24" t="e">
        <f aca="false">B15</f>
        <v>#REF!</v>
      </c>
      <c r="G15" s="24"/>
      <c r="H15" s="24"/>
      <c r="I15" s="24" t="e">
        <f aca="false">B15</f>
        <v>#REF!</v>
      </c>
      <c r="J15" s="24" t="s">
        <v>78</v>
      </c>
      <c r="K15" s="24"/>
      <c r="L15" s="24" t="e">
        <f aca="false">B15</f>
        <v>#REF!</v>
      </c>
      <c r="M15" s="24" t="s">
        <v>97</v>
      </c>
      <c r="N15" s="24"/>
      <c r="O15" s="24" t="e">
        <f aca="false">B15</f>
        <v>#REF!</v>
      </c>
      <c r="P15" s="24"/>
      <c r="Q15" s="24"/>
      <c r="R15" s="24" t="e">
        <f aca="false">B15</f>
        <v>#REF!</v>
      </c>
      <c r="S15" s="24"/>
      <c r="T15" s="24"/>
      <c r="U15" s="24" t="n">
        <f aca="false">COUNTIF(B15:T15,"H")</f>
        <v>1</v>
      </c>
      <c r="V15" s="24" t="n">
        <f aca="false">COUNTIF(B15:T15,"ST")</f>
        <v>0</v>
      </c>
      <c r="W15" s="24" t="n">
        <f aca="false">COUNTIF(B15:T15,"I")</f>
        <v>1</v>
      </c>
      <c r="X15" s="24" t="n">
        <f aca="false">COUNTIF(B15:T15,"S")</f>
        <v>0</v>
      </c>
      <c r="Y15" s="24" t="n">
        <f aca="false">COUNTIF(B15:T15,"A")</f>
        <v>0</v>
      </c>
      <c r="Z15" s="24" t="e">
        <f aca="false">B15</f>
        <v>#REF!</v>
      </c>
      <c r="AA15" s="24"/>
    </row>
    <row r="16" customFormat="false" ht="15.75" hidden="false" customHeight="false" outlineLevel="0" collapsed="false">
      <c r="A16" s="24" t="n">
        <v>10</v>
      </c>
      <c r="B16" s="24" t="str">
        <f aca="false">'absensi setoran'!B16</f>
        <v>ABDUL KHOLIQ</v>
      </c>
      <c r="C16" s="24" t="n">
        <f aca="false">'absensi setoran'!C16</f>
        <v>14</v>
      </c>
      <c r="D16" s="24"/>
      <c r="E16" s="24"/>
      <c r="F16" s="24" t="str">
        <f aca="false">B16</f>
        <v>ABDUL KHOLIQ</v>
      </c>
      <c r="G16" s="24"/>
      <c r="H16" s="24"/>
      <c r="I16" s="24" t="str">
        <f aca="false">B16</f>
        <v>ABDUL KHOLIQ</v>
      </c>
      <c r="J16" s="24" t="s">
        <v>78</v>
      </c>
      <c r="K16" s="24"/>
      <c r="L16" s="24" t="str">
        <f aca="false">B16</f>
        <v>ABDUL KHOLIQ</v>
      </c>
      <c r="M16" s="24" t="s">
        <v>78</v>
      </c>
      <c r="N16" s="24"/>
      <c r="O16" s="24" t="str">
        <f aca="false">B16</f>
        <v>ABDUL KHOLIQ</v>
      </c>
      <c r="P16" s="24"/>
      <c r="Q16" s="24"/>
      <c r="R16" s="24" t="str">
        <f aca="false">B16</f>
        <v>ABDUL KHOLIQ</v>
      </c>
      <c r="S16" s="24"/>
      <c r="T16" s="24"/>
      <c r="U16" s="24" t="n">
        <f aca="false">COUNTIF(B16:T16,"H")</f>
        <v>2</v>
      </c>
      <c r="V16" s="24" t="n">
        <f aca="false">COUNTIF(B16:T16,"ST")</f>
        <v>0</v>
      </c>
      <c r="W16" s="24" t="n">
        <f aca="false">COUNTIF(B16:T16,"I")</f>
        <v>0</v>
      </c>
      <c r="X16" s="24" t="n">
        <f aca="false">COUNTIF(B16:T16,"S")</f>
        <v>0</v>
      </c>
      <c r="Y16" s="24" t="n">
        <f aca="false">COUNTIF(B16:T16,"A")</f>
        <v>0</v>
      </c>
      <c r="Z16" s="24" t="str">
        <f aca="false">B16</f>
        <v>ABDUL KHOLIQ</v>
      </c>
      <c r="AA16" s="24"/>
    </row>
    <row r="17" customFormat="false" ht="15.75" hidden="false" customHeight="false" outlineLevel="0" collapsed="false">
      <c r="A17" s="24" t="n">
        <v>11</v>
      </c>
      <c r="B17" s="24" t="str">
        <f aca="false">'absensi setoran'!B17</f>
        <v>IYAN FARID</v>
      </c>
      <c r="C17" s="24" t="n">
        <f aca="false">'absensi setoran'!C17</f>
        <v>13</v>
      </c>
      <c r="D17" s="24"/>
      <c r="E17" s="24"/>
      <c r="F17" s="24" t="str">
        <f aca="false">B17</f>
        <v>IYAN FARID</v>
      </c>
      <c r="G17" s="24"/>
      <c r="H17" s="24"/>
      <c r="I17" s="24" t="str">
        <f aca="false">B17</f>
        <v>IYAN FARID</v>
      </c>
      <c r="J17" s="24" t="s">
        <v>78</v>
      </c>
      <c r="K17" s="24"/>
      <c r="L17" s="24" t="str">
        <f aca="false">B17</f>
        <v>IYAN FARID</v>
      </c>
      <c r="M17" s="24" t="s">
        <v>78</v>
      </c>
      <c r="N17" s="24"/>
      <c r="O17" s="24" t="str">
        <f aca="false">B17</f>
        <v>IYAN FARID</v>
      </c>
      <c r="P17" s="24"/>
      <c r="Q17" s="24"/>
      <c r="R17" s="24" t="str">
        <f aca="false">B17</f>
        <v>IYAN FARID</v>
      </c>
      <c r="S17" s="24"/>
      <c r="T17" s="24"/>
      <c r="U17" s="24" t="n">
        <f aca="false">COUNTIF(B17:T17,"H")</f>
        <v>2</v>
      </c>
      <c r="V17" s="24" t="n">
        <f aca="false">COUNTIF(B17:T17,"ST")</f>
        <v>0</v>
      </c>
      <c r="W17" s="24" t="n">
        <f aca="false">COUNTIF(B17:T17,"I")</f>
        <v>0</v>
      </c>
      <c r="X17" s="24" t="n">
        <f aca="false">COUNTIF(B17:T17,"S")</f>
        <v>0</v>
      </c>
      <c r="Y17" s="24" t="n">
        <f aca="false">COUNTIF(B17:T17,"A")</f>
        <v>0</v>
      </c>
      <c r="Z17" s="24" t="str">
        <f aca="false">B17</f>
        <v>IYAN FARID</v>
      </c>
      <c r="AA17" s="24"/>
    </row>
    <row r="18" customFormat="false" ht="15.75" hidden="false" customHeight="false" outlineLevel="0" collapsed="false">
      <c r="A18" s="24" t="n">
        <v>12</v>
      </c>
      <c r="B18" s="24" t="str">
        <f aca="false">'absensi setoran'!B18</f>
        <v>ZAENI NURIL HIKAM</v>
      </c>
      <c r="C18" s="24" t="n">
        <f aca="false">'absensi setoran'!C18</f>
        <v>12</v>
      </c>
      <c r="D18" s="24"/>
      <c r="E18" s="24"/>
      <c r="F18" s="24" t="str">
        <f aca="false">B18</f>
        <v>ZAENI NURIL HIKAM</v>
      </c>
      <c r="G18" s="24"/>
      <c r="H18" s="24"/>
      <c r="I18" s="24" t="str">
        <f aca="false">B18</f>
        <v>ZAENI NURIL HIKAM</v>
      </c>
      <c r="J18" s="24" t="s">
        <v>78</v>
      </c>
      <c r="K18" s="24"/>
      <c r="L18" s="24" t="str">
        <f aca="false">B18</f>
        <v>ZAENI NURIL HIKAM</v>
      </c>
      <c r="M18" s="24" t="s">
        <v>78</v>
      </c>
      <c r="N18" s="24"/>
      <c r="O18" s="24" t="str">
        <f aca="false">B18</f>
        <v>ZAENI NURIL HIKAM</v>
      </c>
      <c r="P18" s="24"/>
      <c r="Q18" s="24"/>
      <c r="R18" s="24" t="str">
        <f aca="false">B18</f>
        <v>ZAENI NURIL HIKAM</v>
      </c>
      <c r="S18" s="24"/>
      <c r="T18" s="24"/>
      <c r="U18" s="24" t="n">
        <f aca="false">COUNTIF(B18:T18,"H")</f>
        <v>2</v>
      </c>
      <c r="V18" s="24" t="n">
        <f aca="false">COUNTIF(B18:T18,"ST")</f>
        <v>0</v>
      </c>
      <c r="W18" s="24" t="n">
        <f aca="false">COUNTIF(B18:T18,"I")</f>
        <v>0</v>
      </c>
      <c r="X18" s="24" t="n">
        <f aca="false">COUNTIF(B18:T18,"S")</f>
        <v>0</v>
      </c>
      <c r="Y18" s="24" t="n">
        <f aca="false">COUNTIF(B18:T18,"A")</f>
        <v>0</v>
      </c>
      <c r="Z18" s="24" t="str">
        <f aca="false">B18</f>
        <v>ZAENI NURIL HIKAM</v>
      </c>
      <c r="AA18" s="24"/>
    </row>
    <row r="19" customFormat="false" ht="15.75" hidden="false" customHeight="false" outlineLevel="0" collapsed="false">
      <c r="A19" s="24" t="n">
        <v>13</v>
      </c>
      <c r="B19" s="24" t="str">
        <f aca="false">'absensi setoran'!B19</f>
        <v>LUCKY KURNIAWAN</v>
      </c>
      <c r="C19" s="24" t="n">
        <f aca="false">'absensi setoran'!C19</f>
        <v>12</v>
      </c>
      <c r="D19" s="24"/>
      <c r="E19" s="24"/>
      <c r="F19" s="24" t="str">
        <f aca="false">B19</f>
        <v>LUCKY KURNIAWAN</v>
      </c>
      <c r="G19" s="24"/>
      <c r="H19" s="24"/>
      <c r="I19" s="24" t="str">
        <f aca="false">B19</f>
        <v>LUCKY KURNIAWAN</v>
      </c>
      <c r="J19" s="24" t="s">
        <v>78</v>
      </c>
      <c r="K19" s="24"/>
      <c r="L19" s="24" t="str">
        <f aca="false">B19</f>
        <v>LUCKY KURNIAWAN</v>
      </c>
      <c r="M19" s="24" t="s">
        <v>78</v>
      </c>
      <c r="N19" s="24"/>
      <c r="O19" s="24" t="str">
        <f aca="false">B19</f>
        <v>LUCKY KURNIAWAN</v>
      </c>
      <c r="P19" s="24"/>
      <c r="Q19" s="24"/>
      <c r="R19" s="24" t="str">
        <f aca="false">B19</f>
        <v>LUCKY KURNIAWAN</v>
      </c>
      <c r="S19" s="24"/>
      <c r="T19" s="24"/>
      <c r="U19" s="24" t="n">
        <f aca="false">COUNTIF(B19:T19,"H")</f>
        <v>2</v>
      </c>
      <c r="V19" s="24" t="n">
        <f aca="false">COUNTIF(B19:T19,"ST")</f>
        <v>0</v>
      </c>
      <c r="W19" s="24" t="n">
        <f aca="false">COUNTIF(B19:T19,"I")</f>
        <v>0</v>
      </c>
      <c r="X19" s="24" t="n">
        <f aca="false">COUNTIF(B19:T19,"S")</f>
        <v>0</v>
      </c>
      <c r="Y19" s="24" t="n">
        <f aca="false">COUNTIF(B19:T19,"A")</f>
        <v>0</v>
      </c>
      <c r="Z19" s="24" t="str">
        <f aca="false">B19</f>
        <v>LUCKY KURNIAWAN</v>
      </c>
      <c r="AA19" s="24"/>
    </row>
    <row r="20" customFormat="false" ht="15.75" hidden="false" customHeight="false" outlineLevel="0" collapsed="false">
      <c r="A20" s="24" t="n">
        <v>14</v>
      </c>
      <c r="B20" s="24" t="str">
        <f aca="false">'absensi setoran'!B20</f>
        <v>MUHAMMAD RAFIK MUHARAM</v>
      </c>
      <c r="C20" s="24" t="n">
        <f aca="false">'absensi setoran'!C20</f>
        <v>12</v>
      </c>
      <c r="D20" s="24"/>
      <c r="E20" s="24"/>
      <c r="F20" s="24" t="str">
        <f aca="false">B20</f>
        <v>MUHAMMAD RAFIK MUHARAM</v>
      </c>
      <c r="G20" s="24"/>
      <c r="H20" s="24"/>
      <c r="I20" s="24" t="str">
        <f aca="false">B20</f>
        <v>MUHAMMAD RAFIK MUHARAM</v>
      </c>
      <c r="J20" s="24" t="s">
        <v>78</v>
      </c>
      <c r="K20" s="24"/>
      <c r="L20" s="24" t="str">
        <f aca="false">B20</f>
        <v>MUHAMMAD RAFIK MUHARAM</v>
      </c>
      <c r="M20" s="24" t="s">
        <v>78</v>
      </c>
      <c r="N20" s="24"/>
      <c r="O20" s="24" t="str">
        <f aca="false">B20</f>
        <v>MUHAMMAD RAFIK MUHARAM</v>
      </c>
      <c r="P20" s="24"/>
      <c r="Q20" s="24"/>
      <c r="R20" s="24" t="str">
        <f aca="false">B20</f>
        <v>MUHAMMAD RAFIK MUHARAM</v>
      </c>
      <c r="S20" s="24"/>
      <c r="T20" s="24"/>
      <c r="U20" s="24" t="n">
        <f aca="false">COUNTIF(B20:T20,"H")</f>
        <v>2</v>
      </c>
      <c r="V20" s="24" t="n">
        <f aca="false">COUNTIF(B20:T20,"ST")</f>
        <v>0</v>
      </c>
      <c r="W20" s="24" t="n">
        <f aca="false">COUNTIF(B20:T20,"I")</f>
        <v>0</v>
      </c>
      <c r="X20" s="24" t="n">
        <f aca="false">COUNTIF(B20:T20,"S")</f>
        <v>0</v>
      </c>
      <c r="Y20" s="24" t="n">
        <f aca="false">COUNTIF(B20:T20,"A")</f>
        <v>0</v>
      </c>
      <c r="Z20" s="24" t="str">
        <f aca="false">B20</f>
        <v>MUHAMMAD RAFIK MUHARAM</v>
      </c>
      <c r="AA20" s="24"/>
    </row>
    <row r="21" customFormat="false" ht="15.75" hidden="false" customHeight="false" outlineLevel="0" collapsed="false">
      <c r="A21" s="24" t="n">
        <v>15</v>
      </c>
      <c r="B21" s="24" t="str">
        <f aca="false">'absensi setoran'!B21</f>
        <v>UMAR ABDUL MALIK</v>
      </c>
      <c r="C21" s="24" t="n">
        <f aca="false">'absensi setoran'!C21</f>
        <v>11</v>
      </c>
      <c r="D21" s="24"/>
      <c r="E21" s="24"/>
      <c r="F21" s="24" t="str">
        <f aca="false">B21</f>
        <v>UMAR ABDUL MALIK</v>
      </c>
      <c r="G21" s="24"/>
      <c r="H21" s="24"/>
      <c r="I21" s="24" t="str">
        <f aca="false">B21</f>
        <v>UMAR ABDUL MALIK</v>
      </c>
      <c r="J21" s="24" t="s">
        <v>78</v>
      </c>
      <c r="K21" s="24"/>
      <c r="L21" s="24" t="str">
        <f aca="false">B21</f>
        <v>UMAR ABDUL MALIK</v>
      </c>
      <c r="M21" s="24" t="s">
        <v>78</v>
      </c>
      <c r="N21" s="24"/>
      <c r="O21" s="24" t="str">
        <f aca="false">B21</f>
        <v>UMAR ABDUL MALIK</v>
      </c>
      <c r="P21" s="24"/>
      <c r="Q21" s="24"/>
      <c r="R21" s="24" t="str">
        <f aca="false">B21</f>
        <v>UMAR ABDUL MALIK</v>
      </c>
      <c r="S21" s="24"/>
      <c r="T21" s="24"/>
      <c r="U21" s="24" t="n">
        <f aca="false">COUNTIF(B21:T21,"H")</f>
        <v>2</v>
      </c>
      <c r="V21" s="24" t="n">
        <f aca="false">COUNTIF(B21:T21,"ST")</f>
        <v>0</v>
      </c>
      <c r="W21" s="24" t="n">
        <f aca="false">COUNTIF(B21:T21,"I")</f>
        <v>0</v>
      </c>
      <c r="X21" s="24" t="n">
        <f aca="false">COUNTIF(B21:T21,"S")</f>
        <v>0</v>
      </c>
      <c r="Y21" s="24" t="n">
        <f aca="false">COUNTIF(B21:T21,"A")</f>
        <v>0</v>
      </c>
      <c r="Z21" s="24" t="str">
        <f aca="false">B21</f>
        <v>UMAR ABDUL MALIK</v>
      </c>
      <c r="AA21" s="24"/>
    </row>
    <row r="22" customFormat="false" ht="15.75" hidden="false" customHeight="false" outlineLevel="0" collapsed="false">
      <c r="A22" s="24" t="n">
        <v>16</v>
      </c>
      <c r="B22" s="24" t="str">
        <f aca="false">'absensi setoran'!B22</f>
        <v>AHMAD HAFIDZ ALHAWARI</v>
      </c>
      <c r="C22" s="24" t="n">
        <f aca="false">'absensi setoran'!C22</f>
        <v>10</v>
      </c>
      <c r="D22" s="24"/>
      <c r="E22" s="24"/>
      <c r="F22" s="24" t="str">
        <f aca="false">B22</f>
        <v>AHMAD HAFIDZ ALHAWARI</v>
      </c>
      <c r="G22" s="24"/>
      <c r="H22" s="24"/>
      <c r="I22" s="24" t="str">
        <f aca="false">B22</f>
        <v>AHMAD HAFIDZ ALHAWARI</v>
      </c>
      <c r="J22" s="24" t="s">
        <v>78</v>
      </c>
      <c r="K22" s="24"/>
      <c r="L22" s="24" t="str">
        <f aca="false">B22</f>
        <v>AHMAD HAFIDZ ALHAWARI</v>
      </c>
      <c r="M22" s="24" t="s">
        <v>78</v>
      </c>
      <c r="N22" s="24"/>
      <c r="O22" s="24" t="str">
        <f aca="false">B22</f>
        <v>AHMAD HAFIDZ ALHAWARI</v>
      </c>
      <c r="P22" s="24"/>
      <c r="Q22" s="24"/>
      <c r="R22" s="24" t="str">
        <f aca="false">B22</f>
        <v>AHMAD HAFIDZ ALHAWARI</v>
      </c>
      <c r="S22" s="24"/>
      <c r="T22" s="24"/>
      <c r="U22" s="24" t="n">
        <f aca="false">COUNTIF(B22:T22,"H")</f>
        <v>2</v>
      </c>
      <c r="V22" s="24" t="n">
        <f aca="false">COUNTIF(B22:T22,"ST")</f>
        <v>0</v>
      </c>
      <c r="W22" s="24" t="n">
        <f aca="false">COUNTIF(B22:T22,"I")</f>
        <v>0</v>
      </c>
      <c r="X22" s="24" t="n">
        <f aca="false">COUNTIF(B22:T22,"S")</f>
        <v>0</v>
      </c>
      <c r="Y22" s="24" t="n">
        <f aca="false">COUNTIF(B22:T22,"A")</f>
        <v>0</v>
      </c>
      <c r="Z22" s="24" t="str">
        <f aca="false">B22</f>
        <v>AHMAD HAFIDZ ALHAWARI</v>
      </c>
      <c r="AA22" s="24"/>
    </row>
    <row r="23" customFormat="false" ht="15.75" hidden="false" customHeight="false" outlineLevel="0" collapsed="false">
      <c r="A23" s="24" t="n">
        <v>17</v>
      </c>
      <c r="B23" s="24" t="str">
        <f aca="false">'absensi setoran'!B23</f>
        <v>MUHAMMAD FAUZAN</v>
      </c>
      <c r="C23" s="24" t="n">
        <f aca="false">'absensi setoran'!C23</f>
        <v>10</v>
      </c>
      <c r="D23" s="24"/>
      <c r="E23" s="24"/>
      <c r="F23" s="24" t="str">
        <f aca="false">B23</f>
        <v>MUHAMMAD FAUZAN</v>
      </c>
      <c r="G23" s="24"/>
      <c r="H23" s="24"/>
      <c r="I23" s="24" t="str">
        <f aca="false">B23</f>
        <v>MUHAMMAD FAUZAN</v>
      </c>
      <c r="J23" s="24" t="s">
        <v>78</v>
      </c>
      <c r="K23" s="24"/>
      <c r="L23" s="24" t="str">
        <f aca="false">B23</f>
        <v>MUHAMMAD FAUZAN</v>
      </c>
      <c r="M23" s="24" t="s">
        <v>78</v>
      </c>
      <c r="N23" s="24"/>
      <c r="O23" s="24" t="str">
        <f aca="false">B23</f>
        <v>MUHAMMAD FAUZAN</v>
      </c>
      <c r="P23" s="24"/>
      <c r="Q23" s="24"/>
      <c r="R23" s="24" t="str">
        <f aca="false">B23</f>
        <v>MUHAMMAD FAUZAN</v>
      </c>
      <c r="S23" s="24"/>
      <c r="T23" s="24"/>
      <c r="U23" s="24" t="n">
        <f aca="false">COUNTIF(B23:T23,"H")</f>
        <v>2</v>
      </c>
      <c r="V23" s="24" t="n">
        <f aca="false">COUNTIF(B23:T23,"ST")</f>
        <v>0</v>
      </c>
      <c r="W23" s="24" t="n">
        <f aca="false">COUNTIF(B23:T23,"I")</f>
        <v>0</v>
      </c>
      <c r="X23" s="24" t="n">
        <f aca="false">COUNTIF(B23:T23,"S")</f>
        <v>0</v>
      </c>
      <c r="Y23" s="24" t="n">
        <f aca="false">COUNTIF(B23:T23,"A")</f>
        <v>0</v>
      </c>
      <c r="Z23" s="24" t="str">
        <f aca="false">B23</f>
        <v>MUHAMMAD FAUZAN</v>
      </c>
      <c r="AA23" s="24"/>
    </row>
    <row r="24" customFormat="false" ht="15.75" hidden="false" customHeight="false" outlineLevel="0" collapsed="false">
      <c r="A24" s="24" t="n">
        <v>18</v>
      </c>
      <c r="B24" s="24" t="str">
        <f aca="false">'absensi setoran'!B24</f>
        <v>AKBAR RAMADAN</v>
      </c>
      <c r="C24" s="24" t="n">
        <f aca="false">'absensi setoran'!C24</f>
        <v>9</v>
      </c>
      <c r="D24" s="24"/>
      <c r="E24" s="24"/>
      <c r="F24" s="24" t="str">
        <f aca="false">B24</f>
        <v>AKBAR RAMADAN</v>
      </c>
      <c r="G24" s="24"/>
      <c r="H24" s="24"/>
      <c r="I24" s="24" t="str">
        <f aca="false">B24</f>
        <v>AKBAR RAMADAN</v>
      </c>
      <c r="J24" s="24" t="s">
        <v>78</v>
      </c>
      <c r="K24" s="24"/>
      <c r="L24" s="24" t="str">
        <f aca="false">B24</f>
        <v>AKBAR RAMADAN</v>
      </c>
      <c r="M24" s="24" t="s">
        <v>78</v>
      </c>
      <c r="N24" s="24"/>
      <c r="O24" s="24" t="str">
        <f aca="false">B24</f>
        <v>AKBAR RAMADAN</v>
      </c>
      <c r="P24" s="24"/>
      <c r="Q24" s="24"/>
      <c r="R24" s="24" t="str">
        <f aca="false">B24</f>
        <v>AKBAR RAMADAN</v>
      </c>
      <c r="S24" s="24"/>
      <c r="T24" s="24"/>
      <c r="U24" s="24" t="n">
        <f aca="false">COUNTIF(B24:T24,"H")</f>
        <v>2</v>
      </c>
      <c r="V24" s="24" t="n">
        <f aca="false">COUNTIF(B24:T24,"ST")</f>
        <v>0</v>
      </c>
      <c r="W24" s="24" t="n">
        <f aca="false">COUNTIF(B24:T24,"I")</f>
        <v>0</v>
      </c>
      <c r="X24" s="24" t="n">
        <f aca="false">COUNTIF(B24:T24,"S")</f>
        <v>0</v>
      </c>
      <c r="Y24" s="24" t="n">
        <f aca="false">COUNTIF(B24:T24,"A")</f>
        <v>0</v>
      </c>
      <c r="Z24" s="24" t="str">
        <f aca="false">B24</f>
        <v>AKBAR RAMADAN</v>
      </c>
      <c r="AA24" s="24"/>
    </row>
    <row r="25" customFormat="false" ht="15.75" hidden="false" customHeight="false" outlineLevel="0" collapsed="false">
      <c r="A25" s="24" t="n">
        <v>19</v>
      </c>
      <c r="B25" s="24" t="e">
        <f aca="false">'absensi setoran'!B25</f>
        <v>#REF!</v>
      </c>
      <c r="C25" s="24" t="e">
        <f aca="false">'absensi setoran'!C25</f>
        <v>#REF!</v>
      </c>
      <c r="D25" s="24"/>
      <c r="E25" s="24"/>
      <c r="F25" s="24" t="e">
        <f aca="false">B25</f>
        <v>#REF!</v>
      </c>
      <c r="G25" s="24"/>
      <c r="H25" s="24"/>
      <c r="I25" s="24" t="e">
        <f aca="false">B25</f>
        <v>#REF!</v>
      </c>
      <c r="J25" s="24" t="s">
        <v>75</v>
      </c>
      <c r="K25" s="24"/>
      <c r="L25" s="24" t="e">
        <f aca="false">B25</f>
        <v>#REF!</v>
      </c>
      <c r="M25" s="24" t="s">
        <v>78</v>
      </c>
      <c r="N25" s="24"/>
      <c r="O25" s="24" t="e">
        <f aca="false">B25</f>
        <v>#REF!</v>
      </c>
      <c r="P25" s="24"/>
      <c r="Q25" s="24"/>
      <c r="R25" s="24" t="e">
        <f aca="false">B25</f>
        <v>#REF!</v>
      </c>
      <c r="S25" s="24"/>
      <c r="T25" s="24"/>
      <c r="U25" s="24" t="n">
        <f aca="false">COUNTIF(B25:T25,"H")</f>
        <v>1</v>
      </c>
      <c r="V25" s="24" t="n">
        <f aca="false">COUNTIF(B25:T25,"ST")</f>
        <v>0</v>
      </c>
      <c r="W25" s="24" t="n">
        <f aca="false">COUNTIF(B25:T25,"I")</f>
        <v>0</v>
      </c>
      <c r="X25" s="24" t="n">
        <f aca="false">COUNTIF(B25:T25,"S")</f>
        <v>0</v>
      </c>
      <c r="Y25" s="24" t="n">
        <f aca="false">COUNTIF(B25:T25,"A")</f>
        <v>1</v>
      </c>
      <c r="Z25" s="24" t="e">
        <f aca="false">B25</f>
        <v>#REF!</v>
      </c>
      <c r="AA25" s="24"/>
    </row>
    <row r="26" customFormat="false" ht="15.75" hidden="false" customHeight="false" outlineLevel="0" collapsed="false">
      <c r="A26" s="24" t="n">
        <v>20</v>
      </c>
      <c r="B26" s="24" t="str">
        <f aca="false">'absensi setoran'!B26</f>
        <v>ABIDZAR ALGHIFARI</v>
      </c>
      <c r="C26" s="24" t="n">
        <f aca="false">'absensi setoran'!C26</f>
        <v>8</v>
      </c>
      <c r="D26" s="24"/>
      <c r="E26" s="24"/>
      <c r="F26" s="24" t="str">
        <f aca="false">B26</f>
        <v>ABIDZAR ALGHIFARI</v>
      </c>
      <c r="G26" s="24"/>
      <c r="H26" s="24"/>
      <c r="I26" s="24" t="str">
        <f aca="false">B26</f>
        <v>ABIDZAR ALGHIFARI</v>
      </c>
      <c r="J26" s="24" t="s">
        <v>78</v>
      </c>
      <c r="K26" s="24"/>
      <c r="L26" s="24" t="str">
        <f aca="false">B26</f>
        <v>ABIDZAR ALGHIFARI</v>
      </c>
      <c r="M26" s="24" t="s">
        <v>78</v>
      </c>
      <c r="N26" s="24"/>
      <c r="O26" s="24" t="str">
        <f aca="false">B26</f>
        <v>ABIDZAR ALGHIFARI</v>
      </c>
      <c r="P26" s="24"/>
      <c r="Q26" s="24"/>
      <c r="R26" s="24" t="str">
        <f aca="false">B26</f>
        <v>ABIDZAR ALGHIFARI</v>
      </c>
      <c r="S26" s="24"/>
      <c r="T26" s="24"/>
      <c r="U26" s="24" t="n">
        <f aca="false">COUNTIF(B26:T26,"H")</f>
        <v>2</v>
      </c>
      <c r="V26" s="24" t="n">
        <f aca="false">COUNTIF(B26:T26,"ST")</f>
        <v>0</v>
      </c>
      <c r="W26" s="24" t="n">
        <f aca="false">COUNTIF(B26:T26,"I")</f>
        <v>0</v>
      </c>
      <c r="X26" s="24" t="n">
        <f aca="false">COUNTIF(B26:T26,"S")</f>
        <v>0</v>
      </c>
      <c r="Y26" s="24" t="n">
        <f aca="false">COUNTIF(B26:T26,"A")</f>
        <v>0</v>
      </c>
      <c r="Z26" s="24" t="str">
        <f aca="false">B26</f>
        <v>ABIDZAR ALGHIFARI</v>
      </c>
      <c r="AA26" s="24"/>
    </row>
    <row r="27" customFormat="false" ht="15.75" hidden="false" customHeight="false" outlineLevel="0" collapsed="false">
      <c r="A27" s="24" t="n">
        <v>21</v>
      </c>
      <c r="B27" s="24" t="str">
        <f aca="false">'absensi setoran'!B27</f>
        <v>KAFY MUHAMMAD AZIZY</v>
      </c>
      <c r="C27" s="24" t="n">
        <f aca="false">'absensi setoran'!C27</f>
        <v>7</v>
      </c>
      <c r="D27" s="24"/>
      <c r="E27" s="24"/>
      <c r="F27" s="24" t="str">
        <f aca="false">B27</f>
        <v>KAFY MUHAMMAD AZIZY</v>
      </c>
      <c r="G27" s="24"/>
      <c r="H27" s="24"/>
      <c r="I27" s="24" t="str">
        <f aca="false">B27</f>
        <v>KAFY MUHAMMAD AZIZY</v>
      </c>
      <c r="J27" s="24" t="s">
        <v>78</v>
      </c>
      <c r="K27" s="24"/>
      <c r="L27" s="24" t="str">
        <f aca="false">B27</f>
        <v>KAFY MUHAMMAD AZIZY</v>
      </c>
      <c r="M27" s="24" t="s">
        <v>78</v>
      </c>
      <c r="N27" s="24"/>
      <c r="O27" s="24" t="str">
        <f aca="false">B27</f>
        <v>KAFY MUHAMMAD AZIZY</v>
      </c>
      <c r="P27" s="24"/>
      <c r="Q27" s="24"/>
      <c r="R27" s="24" t="str">
        <f aca="false">B27</f>
        <v>KAFY MUHAMMAD AZIZY</v>
      </c>
      <c r="S27" s="24"/>
      <c r="T27" s="24"/>
      <c r="U27" s="24" t="n">
        <f aca="false">COUNTIF(B27:T27,"H")</f>
        <v>2</v>
      </c>
      <c r="V27" s="24" t="n">
        <f aca="false">COUNTIF(B27:T27,"ST")</f>
        <v>0</v>
      </c>
      <c r="W27" s="24" t="n">
        <f aca="false">COUNTIF(B27:T27,"I")</f>
        <v>0</v>
      </c>
      <c r="X27" s="24" t="n">
        <f aca="false">COUNTIF(B27:T27,"S")</f>
        <v>0</v>
      </c>
      <c r="Y27" s="24" t="n">
        <f aca="false">COUNTIF(B27:T27,"A")</f>
        <v>0</v>
      </c>
      <c r="Z27" s="24" t="str">
        <f aca="false">B27</f>
        <v>KAFY MUHAMMAD AZIZY</v>
      </c>
      <c r="AA27" s="24"/>
    </row>
    <row r="28" customFormat="false" ht="15.75" hidden="false" customHeight="false" outlineLevel="0" collapsed="false">
      <c r="A28" s="24" t="n">
        <v>22</v>
      </c>
      <c r="B28" s="24" t="e">
        <f aca="false">'absensi setoran'!B28</f>
        <v>#REF!</v>
      </c>
      <c r="C28" s="24" t="e">
        <f aca="false">'absensi setoran'!C28</f>
        <v>#REF!</v>
      </c>
      <c r="D28" s="24"/>
      <c r="E28" s="24"/>
      <c r="F28" s="24" t="e">
        <f aca="false">B28</f>
        <v>#REF!</v>
      </c>
      <c r="G28" s="24"/>
      <c r="H28" s="24"/>
      <c r="I28" s="24" t="e">
        <f aca="false">B28</f>
        <v>#REF!</v>
      </c>
      <c r="J28" s="24" t="s">
        <v>78</v>
      </c>
      <c r="K28" s="24"/>
      <c r="L28" s="24" t="e">
        <f aca="false">B28</f>
        <v>#REF!</v>
      </c>
      <c r="M28" s="24" t="s">
        <v>78</v>
      </c>
      <c r="N28" s="24"/>
      <c r="O28" s="24" t="e">
        <f aca="false">B28</f>
        <v>#REF!</v>
      </c>
      <c r="P28" s="24"/>
      <c r="Q28" s="24"/>
      <c r="R28" s="24" t="e">
        <f aca="false">B28</f>
        <v>#REF!</v>
      </c>
      <c r="S28" s="24"/>
      <c r="T28" s="24"/>
      <c r="U28" s="24" t="n">
        <f aca="false">COUNTIF(B28:T28,"H")</f>
        <v>2</v>
      </c>
      <c r="V28" s="24" t="n">
        <f aca="false">COUNTIF(B28:T28,"ST")</f>
        <v>0</v>
      </c>
      <c r="W28" s="24" t="n">
        <f aca="false">COUNTIF(B28:T28,"I")</f>
        <v>0</v>
      </c>
      <c r="X28" s="24" t="n">
        <f aca="false">COUNTIF(B28:T28,"S")</f>
        <v>0</v>
      </c>
      <c r="Y28" s="24" t="n">
        <f aca="false">COUNTIF(B28:T28,"A")</f>
        <v>0</v>
      </c>
      <c r="Z28" s="24" t="e">
        <f aca="false">B28</f>
        <v>#REF!</v>
      </c>
      <c r="AA28" s="24"/>
    </row>
    <row r="29" customFormat="false" ht="15.75" hidden="false" customHeight="false" outlineLevel="0" collapsed="false">
      <c r="A29" s="24" t="n">
        <v>23</v>
      </c>
      <c r="B29" s="24" t="str">
        <f aca="false">'absensi setoran'!B29</f>
        <v>MUHAMMAD MUNAWWAR KHOLIL</v>
      </c>
      <c r="C29" s="24" t="n">
        <f aca="false">'absensi setoran'!C29</f>
        <v>4</v>
      </c>
      <c r="D29" s="24"/>
      <c r="E29" s="24"/>
      <c r="F29" s="24" t="str">
        <f aca="false">B29</f>
        <v>MUHAMMAD MUNAWWAR KHOLIL</v>
      </c>
      <c r="G29" s="24"/>
      <c r="H29" s="24"/>
      <c r="I29" s="24" t="str">
        <f aca="false">B29</f>
        <v>MUHAMMAD MUNAWWAR KHOLIL</v>
      </c>
      <c r="J29" s="24" t="s">
        <v>78</v>
      </c>
      <c r="K29" s="24"/>
      <c r="L29" s="24" t="str">
        <f aca="false">B29</f>
        <v>MUHAMMAD MUNAWWAR KHOLIL</v>
      </c>
      <c r="M29" s="24" t="s">
        <v>78</v>
      </c>
      <c r="N29" s="24"/>
      <c r="O29" s="24" t="str">
        <f aca="false">B29</f>
        <v>MUHAMMAD MUNAWWAR KHOLIL</v>
      </c>
      <c r="P29" s="24"/>
      <c r="Q29" s="24"/>
      <c r="R29" s="24" t="str">
        <f aca="false">B29</f>
        <v>MUHAMMAD MUNAWWAR KHOLIL</v>
      </c>
      <c r="S29" s="24"/>
      <c r="T29" s="24"/>
      <c r="U29" s="24" t="n">
        <f aca="false">COUNTIF(B29:T29,"H")</f>
        <v>2</v>
      </c>
      <c r="V29" s="24" t="n">
        <f aca="false">COUNTIF(B29:T29,"ST")</f>
        <v>0</v>
      </c>
      <c r="W29" s="24" t="n">
        <f aca="false">COUNTIF(B29:T29,"I")</f>
        <v>0</v>
      </c>
      <c r="X29" s="24" t="n">
        <f aca="false">COUNTIF(B29:T29,"S")</f>
        <v>0</v>
      </c>
      <c r="Y29" s="24" t="n">
        <f aca="false">COUNTIF(B29:T29,"A")</f>
        <v>0</v>
      </c>
      <c r="Z29" s="24" t="str">
        <f aca="false">B29</f>
        <v>MUHAMMAD MUNAWWAR KHOLIL</v>
      </c>
      <c r="AA29" s="24"/>
    </row>
    <row r="30" customFormat="false" ht="15.75" hidden="false" customHeight="false" outlineLevel="0" collapsed="false">
      <c r="A30" s="24" t="n">
        <v>24</v>
      </c>
      <c r="B30" s="24" t="str">
        <f aca="false">'absensi setoran'!B30</f>
        <v>ALWI</v>
      </c>
      <c r="C30" s="24" t="n">
        <f aca="false">'absensi setoran'!C30</f>
        <v>3</v>
      </c>
      <c r="D30" s="24"/>
      <c r="E30" s="24"/>
      <c r="F30" s="24" t="str">
        <f aca="false">B30</f>
        <v>ALWI</v>
      </c>
      <c r="G30" s="24"/>
      <c r="H30" s="24"/>
      <c r="I30" s="24" t="str">
        <f aca="false">B30</f>
        <v>ALWI</v>
      </c>
      <c r="J30" s="24"/>
      <c r="K30" s="24"/>
      <c r="L30" s="24" t="str">
        <f aca="false">B30</f>
        <v>ALWI</v>
      </c>
      <c r="M30" s="24"/>
      <c r="N30" s="24"/>
      <c r="O30" s="24" t="str">
        <f aca="false">B30</f>
        <v>ALWI</v>
      </c>
      <c r="P30" s="24"/>
      <c r="Q30" s="24"/>
      <c r="R30" s="24" t="str">
        <f aca="false">B30</f>
        <v>ALWI</v>
      </c>
      <c r="S30" s="24"/>
      <c r="T30" s="24"/>
      <c r="U30" s="24" t="n">
        <f aca="false">COUNTIF(B30:T30,"H")</f>
        <v>0</v>
      </c>
      <c r="V30" s="24" t="n">
        <f aca="false">COUNTIF(B30:T30,"ST")</f>
        <v>0</v>
      </c>
      <c r="W30" s="24" t="n">
        <f aca="false">COUNTIF(B30:T30,"I")</f>
        <v>0</v>
      </c>
      <c r="X30" s="24" t="n">
        <f aca="false">COUNTIF(B30:T30,"S")</f>
        <v>0</v>
      </c>
      <c r="Y30" s="24" t="n">
        <f aca="false">COUNTIF(B30:T30,"A")</f>
        <v>0</v>
      </c>
      <c r="Z30" s="24" t="str">
        <f aca="false">B30</f>
        <v>ALWI</v>
      </c>
      <c r="AA30" s="24"/>
    </row>
    <row r="31" customFormat="false" ht="15.75" hidden="false" customHeight="false" outlineLevel="0" collapsed="false">
      <c r="A31" s="24" t="n">
        <v>25</v>
      </c>
      <c r="B31" s="24" t="str">
        <f aca="false">'absensi setoran'!B31</f>
        <v>PIRMAN</v>
      </c>
      <c r="C31" s="24" t="n">
        <f aca="false">'absensi setoran'!C31</f>
        <v>1</v>
      </c>
      <c r="D31" s="24"/>
      <c r="E31" s="24"/>
      <c r="F31" s="24" t="str">
        <f aca="false">B31</f>
        <v>PIRMAN</v>
      </c>
      <c r="G31" s="24"/>
      <c r="H31" s="24"/>
      <c r="I31" s="24" t="str">
        <f aca="false">B31</f>
        <v>PIRMAN</v>
      </c>
      <c r="J31" s="24"/>
      <c r="K31" s="24"/>
      <c r="L31" s="24" t="str">
        <f aca="false">B31</f>
        <v>PIRMAN</v>
      </c>
      <c r="M31" s="24"/>
      <c r="N31" s="24"/>
      <c r="O31" s="24" t="str">
        <f aca="false">B31</f>
        <v>PIRMAN</v>
      </c>
      <c r="P31" s="24"/>
      <c r="Q31" s="24"/>
      <c r="R31" s="24" t="str">
        <f aca="false">B31</f>
        <v>PIRMAN</v>
      </c>
      <c r="S31" s="24"/>
      <c r="T31" s="24"/>
      <c r="U31" s="24" t="n">
        <f aca="false">COUNTIF(B31:T31,"H")</f>
        <v>0</v>
      </c>
      <c r="V31" s="24" t="n">
        <f aca="false">COUNTIF(B31:T31,"ST")</f>
        <v>0</v>
      </c>
      <c r="W31" s="24" t="n">
        <f aca="false">COUNTIF(B31:T31,"I")</f>
        <v>0</v>
      </c>
      <c r="X31" s="24" t="n">
        <f aca="false">COUNTIF(B31:T31,"S")</f>
        <v>0</v>
      </c>
      <c r="Y31" s="24" t="n">
        <f aca="false">COUNTIF(B31:T31,"A")</f>
        <v>0</v>
      </c>
      <c r="Z31" s="24" t="str">
        <f aca="false">B31</f>
        <v>PIRMAN</v>
      </c>
      <c r="AA31" s="24"/>
    </row>
    <row r="32" customFormat="false" ht="15.75" hidden="false" customHeight="false" outlineLevel="0" collapsed="false">
      <c r="A32" s="24" t="n">
        <v>26</v>
      </c>
      <c r="B32" s="24" t="str">
        <f aca="false">'absensi setoran'!B32</f>
        <v>MUHAMMAD DENMAR NABAWI</v>
      </c>
      <c r="C32" s="24" t="n">
        <f aca="false">'absensi setoran'!C32</f>
        <v>1</v>
      </c>
      <c r="D32" s="24"/>
      <c r="E32" s="24"/>
      <c r="F32" s="24" t="str">
        <f aca="false">B32</f>
        <v>MUHAMMAD DENMAR NABAWI</v>
      </c>
      <c r="G32" s="24"/>
      <c r="H32" s="24"/>
      <c r="I32" s="24" t="str">
        <f aca="false">B32</f>
        <v>MUHAMMAD DENMAR NABAWI</v>
      </c>
      <c r="J32" s="24"/>
      <c r="K32" s="24"/>
      <c r="L32" s="24" t="str">
        <f aca="false">B32</f>
        <v>MUHAMMAD DENMAR NABAWI</v>
      </c>
      <c r="M32" s="24"/>
      <c r="N32" s="24"/>
      <c r="O32" s="24" t="str">
        <f aca="false">B32</f>
        <v>MUHAMMAD DENMAR NABAWI</v>
      </c>
      <c r="P32" s="24"/>
      <c r="Q32" s="24"/>
      <c r="R32" s="24" t="str">
        <f aca="false">B32</f>
        <v>MUHAMMAD DENMAR NABAWI</v>
      </c>
      <c r="S32" s="24"/>
      <c r="T32" s="24"/>
      <c r="U32" s="24" t="n">
        <f aca="false">COUNTIF(B32:T32,"H")</f>
        <v>0</v>
      </c>
      <c r="V32" s="24" t="n">
        <f aca="false">COUNTIF(B32:T32,"ST")</f>
        <v>0</v>
      </c>
      <c r="W32" s="24" t="n">
        <f aca="false">COUNTIF(B32:T32,"I")</f>
        <v>0</v>
      </c>
      <c r="X32" s="24" t="n">
        <f aca="false">COUNTIF(B32:T32,"S")</f>
        <v>0</v>
      </c>
      <c r="Y32" s="24" t="n">
        <f aca="false">COUNTIF(B32:T32,"A")</f>
        <v>0</v>
      </c>
      <c r="Z32" s="24" t="str">
        <f aca="false">B32</f>
        <v>MUHAMMAD DENMAR NABAWI</v>
      </c>
      <c r="AA32" s="24"/>
    </row>
    <row r="33" customFormat="false" ht="15.75" hidden="false" customHeight="false" outlineLevel="0" collapsed="false">
      <c r="A33" s="24" t="n">
        <v>27</v>
      </c>
      <c r="B33" s="24" t="e">
        <f aca="false">'absensi setoran'!B33</f>
        <v>#REF!</v>
      </c>
      <c r="C33" s="24" t="e">
        <f aca="false">'absensi setoran'!C33</f>
        <v>#REF!</v>
      </c>
      <c r="D33" s="24"/>
      <c r="E33" s="24"/>
      <c r="F33" s="24" t="e">
        <f aca="false">B33</f>
        <v>#REF!</v>
      </c>
      <c r="G33" s="24"/>
      <c r="H33" s="24"/>
      <c r="I33" s="24" t="e">
        <f aca="false">B33</f>
        <v>#REF!</v>
      </c>
      <c r="J33" s="24"/>
      <c r="K33" s="24"/>
      <c r="L33" s="24" t="e">
        <f aca="false">B33</f>
        <v>#REF!</v>
      </c>
      <c r="M33" s="24"/>
      <c r="N33" s="24"/>
      <c r="O33" s="24" t="e">
        <f aca="false">B33</f>
        <v>#REF!</v>
      </c>
      <c r="P33" s="24"/>
      <c r="Q33" s="24"/>
      <c r="R33" s="24" t="e">
        <f aca="false">B33</f>
        <v>#REF!</v>
      </c>
      <c r="S33" s="24"/>
      <c r="T33" s="24"/>
      <c r="U33" s="24" t="n">
        <f aca="false">COUNTIF(B33:T33,"H")</f>
        <v>0</v>
      </c>
      <c r="V33" s="24" t="n">
        <f aca="false">COUNTIF(B33:T33,"ST")</f>
        <v>0</v>
      </c>
      <c r="W33" s="24" t="n">
        <f aca="false">COUNTIF(B33:T33,"I")</f>
        <v>0</v>
      </c>
      <c r="X33" s="24" t="n">
        <f aca="false">COUNTIF(B33:T33,"S")</f>
        <v>0</v>
      </c>
      <c r="Y33" s="24" t="n">
        <f aca="false">COUNTIF(B33:T33,"A")</f>
        <v>0</v>
      </c>
      <c r="Z33" s="24" t="e">
        <f aca="false">B33</f>
        <v>#REF!</v>
      </c>
      <c r="AA33" s="24"/>
    </row>
    <row r="34" customFormat="false" ht="15.75" hidden="false" customHeight="false" outlineLevel="0" collapsed="false">
      <c r="A34" s="24" t="n">
        <v>28</v>
      </c>
      <c r="B34" s="24" t="e">
        <f aca="false">'absensi setoran'!B34</f>
        <v>#REF!</v>
      </c>
      <c r="C34" s="24" t="e">
        <f aca="false">'absensi setoran'!C34</f>
        <v>#REF!</v>
      </c>
      <c r="D34" s="24"/>
      <c r="E34" s="24"/>
      <c r="F34" s="24" t="e">
        <f aca="false">B34</f>
        <v>#REF!</v>
      </c>
      <c r="G34" s="24"/>
      <c r="H34" s="24"/>
      <c r="I34" s="24" t="e">
        <f aca="false">B34</f>
        <v>#REF!</v>
      </c>
      <c r="J34" s="24"/>
      <c r="K34" s="24"/>
      <c r="L34" s="24" t="e">
        <f aca="false">B34</f>
        <v>#REF!</v>
      </c>
      <c r="M34" s="24"/>
      <c r="N34" s="24"/>
      <c r="O34" s="24" t="e">
        <f aca="false">B34</f>
        <v>#REF!</v>
      </c>
      <c r="P34" s="24"/>
      <c r="Q34" s="24"/>
      <c r="R34" s="24" t="e">
        <f aca="false">B34</f>
        <v>#REF!</v>
      </c>
      <c r="S34" s="24"/>
      <c r="T34" s="24"/>
      <c r="U34" s="24" t="n">
        <f aca="false">COUNTIF(B34:T34,"H")</f>
        <v>0</v>
      </c>
      <c r="V34" s="24" t="n">
        <f aca="false">COUNTIF(B34:T34,"ST")</f>
        <v>0</v>
      </c>
      <c r="W34" s="24" t="n">
        <f aca="false">COUNTIF(B34:T34,"I")</f>
        <v>0</v>
      </c>
      <c r="X34" s="24" t="n">
        <f aca="false">COUNTIF(B34:T34,"S")</f>
        <v>0</v>
      </c>
      <c r="Y34" s="24" t="n">
        <f aca="false">COUNTIF(B34:T34,"A")</f>
        <v>0</v>
      </c>
      <c r="Z34" s="24" t="e">
        <f aca="false">B34</f>
        <v>#REF!</v>
      </c>
      <c r="AA34" s="24"/>
    </row>
    <row r="35" customFormat="false" ht="15.75" hidden="false" customHeight="false" outlineLevel="0" collapsed="false">
      <c r="A35" s="19" t="s">
        <v>48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24"/>
    </row>
    <row r="36" customFormat="false" ht="15.75" hidden="false" customHeight="fals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24"/>
    </row>
    <row r="37" customFormat="false" ht="15.75" hidden="false" customHeight="fals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24"/>
    </row>
    <row r="38" customFormat="false" ht="15.75" hidden="false" customHeight="false" outlineLevel="0" collapsed="false">
      <c r="A38" s="20" t="s">
        <v>297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4"/>
    </row>
    <row r="39" customFormat="false" ht="15.75" hidden="false" customHeight="false" outlineLevel="0" collapsed="false">
      <c r="A39" s="21" t="s">
        <v>1</v>
      </c>
      <c r="B39" s="21" t="s">
        <v>2</v>
      </c>
      <c r="C39" s="22"/>
      <c r="D39" s="21" t="s">
        <v>83</v>
      </c>
      <c r="E39" s="21"/>
      <c r="F39" s="21" t="s">
        <v>2</v>
      </c>
      <c r="G39" s="21" t="s">
        <v>84</v>
      </c>
      <c r="H39" s="21"/>
      <c r="I39" s="21" t="s">
        <v>2</v>
      </c>
      <c r="J39" s="21" t="s">
        <v>85</v>
      </c>
      <c r="K39" s="21"/>
      <c r="L39" s="21" t="s">
        <v>2</v>
      </c>
      <c r="M39" s="21" t="s">
        <v>86</v>
      </c>
      <c r="N39" s="21"/>
      <c r="O39" s="21" t="s">
        <v>2</v>
      </c>
      <c r="P39" s="21" t="s">
        <v>87</v>
      </c>
      <c r="Q39" s="21"/>
      <c r="R39" s="21" t="s">
        <v>2</v>
      </c>
      <c r="S39" s="21" t="s">
        <v>88</v>
      </c>
      <c r="T39" s="21"/>
      <c r="U39" s="39" t="s">
        <v>49</v>
      </c>
      <c r="V39" s="39"/>
      <c r="W39" s="39"/>
      <c r="X39" s="39"/>
      <c r="Y39" s="39"/>
      <c r="Z39" s="39"/>
      <c r="AA39" s="24"/>
    </row>
    <row r="40" customFormat="false" ht="15.75" hidden="false" customHeight="false" outlineLevel="0" collapsed="false">
      <c r="A40" s="21"/>
      <c r="B40" s="21"/>
      <c r="C40" s="22" t="s">
        <v>50</v>
      </c>
      <c r="D40" s="40" t="s">
        <v>296</v>
      </c>
      <c r="E40" s="40" t="s">
        <v>69</v>
      </c>
      <c r="F40" s="21"/>
      <c r="G40" s="40" t="s">
        <v>296</v>
      </c>
      <c r="H40" s="40" t="s">
        <v>67</v>
      </c>
      <c r="I40" s="21"/>
      <c r="J40" s="40" t="s">
        <v>296</v>
      </c>
      <c r="K40" s="40" t="s">
        <v>67</v>
      </c>
      <c r="L40" s="21"/>
      <c r="M40" s="40" t="s">
        <v>296</v>
      </c>
      <c r="N40" s="40" t="s">
        <v>67</v>
      </c>
      <c r="O40" s="21"/>
      <c r="P40" s="40" t="s">
        <v>296</v>
      </c>
      <c r="Q40" s="40" t="s">
        <v>67</v>
      </c>
      <c r="R40" s="21"/>
      <c r="S40" s="40" t="s">
        <v>296</v>
      </c>
      <c r="T40" s="40" t="s">
        <v>67</v>
      </c>
      <c r="U40" s="24" t="s">
        <v>51</v>
      </c>
      <c r="V40" s="24" t="s">
        <v>52</v>
      </c>
      <c r="W40" s="24" t="s">
        <v>53</v>
      </c>
      <c r="X40" s="24" t="s">
        <v>54</v>
      </c>
      <c r="Y40" s="24" t="s">
        <v>55</v>
      </c>
      <c r="Z40" s="24"/>
      <c r="AA40" s="24"/>
    </row>
    <row r="41" customFormat="false" ht="15.75" hidden="false" customHeight="false" outlineLevel="0" collapsed="false">
      <c r="A41" s="24" t="n">
        <v>1</v>
      </c>
      <c r="B41" s="24" t="str">
        <f aca="false">'absensi setoran'!B41</f>
        <v>AYI KOSIM HATIMI</v>
      </c>
      <c r="C41" s="24" t="n">
        <f aca="false">'absensi setoran'!C41</f>
        <v>30</v>
      </c>
      <c r="D41" s="24" t="s">
        <v>97</v>
      </c>
      <c r="E41" s="24"/>
      <c r="F41" s="24" t="str">
        <f aca="false">B41</f>
        <v>AYI KOSIM HATIMI</v>
      </c>
      <c r="G41" s="24" t="s">
        <v>78</v>
      </c>
      <c r="H41" s="24"/>
      <c r="I41" s="24" t="str">
        <f aca="false">B41</f>
        <v>AYI KOSIM HATIMI</v>
      </c>
      <c r="J41" s="24" t="s">
        <v>78</v>
      </c>
      <c r="K41" s="24"/>
      <c r="L41" s="24" t="str">
        <f aca="false">B41</f>
        <v>AYI KOSIM HATIMI</v>
      </c>
      <c r="M41" s="24"/>
      <c r="N41" s="24"/>
      <c r="O41" s="24" t="str">
        <f aca="false">B41</f>
        <v>AYI KOSIM HATIMI</v>
      </c>
      <c r="P41" s="24"/>
      <c r="Q41" s="24"/>
      <c r="R41" s="24" t="str">
        <f aca="false">B41</f>
        <v>AYI KOSIM HATIMI</v>
      </c>
      <c r="S41" s="24"/>
      <c r="T41" s="24"/>
      <c r="U41" s="24" t="n">
        <f aca="false">COUNTIF(B41:T41,"H")</f>
        <v>2</v>
      </c>
      <c r="V41" s="24" t="n">
        <f aca="false">COUNTIF(B41:T41,"ST")</f>
        <v>0</v>
      </c>
      <c r="W41" s="24" t="n">
        <f aca="false">COUNTIF(B41:T41,"I")</f>
        <v>1</v>
      </c>
      <c r="X41" s="24" t="n">
        <f aca="false">COUNTIF(B41:T41,"S")</f>
        <v>0</v>
      </c>
      <c r="Y41" s="24" t="n">
        <f aca="false">COUNTIF(B41:T41,"A")</f>
        <v>0</v>
      </c>
      <c r="Z41" s="24" t="str">
        <f aca="false">B41</f>
        <v>AYI KOSIM HATIMI</v>
      </c>
      <c r="AA41" s="24"/>
    </row>
    <row r="42" customFormat="false" ht="15.75" hidden="false" customHeight="false" outlineLevel="0" collapsed="false">
      <c r="A42" s="24" t="n">
        <v>2</v>
      </c>
      <c r="B42" s="24" t="str">
        <f aca="false">'absensi setoran'!B42</f>
        <v>ABRURRAHMAN AFANDI</v>
      </c>
      <c r="C42" s="24" t="n">
        <f aca="false">'absensi setoran'!C42</f>
        <v>30</v>
      </c>
      <c r="D42" s="24" t="s">
        <v>298</v>
      </c>
      <c r="E42" s="24"/>
      <c r="F42" s="24" t="str">
        <f aca="false">B42</f>
        <v>ABRURRAHMAN AFANDI</v>
      </c>
      <c r="G42" s="24" t="s">
        <v>298</v>
      </c>
      <c r="H42" s="24"/>
      <c r="I42" s="24" t="str">
        <f aca="false">B42</f>
        <v>ABRURRAHMAN AFANDI</v>
      </c>
      <c r="J42" s="24" t="s">
        <v>298</v>
      </c>
      <c r="K42" s="24"/>
      <c r="L42" s="24" t="str">
        <f aca="false">B42</f>
        <v>ABRURRAHMAN AFANDI</v>
      </c>
      <c r="M42" s="24"/>
      <c r="N42" s="24"/>
      <c r="O42" s="24" t="str">
        <f aca="false">B42</f>
        <v>ABRURRAHMAN AFANDI</v>
      </c>
      <c r="P42" s="24"/>
      <c r="Q42" s="24"/>
      <c r="R42" s="24" t="str">
        <f aca="false">B42</f>
        <v>ABRURRAHMAN AFANDI</v>
      </c>
      <c r="S42" s="24"/>
      <c r="T42" s="24"/>
      <c r="U42" s="24" t="n">
        <f aca="false">COUNTIF(B42:T42,"H")</f>
        <v>0</v>
      </c>
      <c r="V42" s="24" t="n">
        <f aca="false">COUNTIF(B42:T42,"ST")</f>
        <v>3</v>
      </c>
      <c r="W42" s="24" t="n">
        <f aca="false">COUNTIF(B42:T42,"I")</f>
        <v>0</v>
      </c>
      <c r="X42" s="24" t="n">
        <f aca="false">COUNTIF(B42:T42,"S")</f>
        <v>0</v>
      </c>
      <c r="Y42" s="24" t="n">
        <f aca="false">COUNTIF(B42:T42,"A")</f>
        <v>0</v>
      </c>
      <c r="Z42" s="24" t="str">
        <f aca="false">B42</f>
        <v>ABRURRAHMAN AFANDI</v>
      </c>
      <c r="AA42" s="24"/>
    </row>
    <row r="43" customFormat="false" ht="15.75" hidden="false" customHeight="false" outlineLevel="0" collapsed="false">
      <c r="A43" s="24" t="n">
        <v>3</v>
      </c>
      <c r="B43" s="24" t="str">
        <f aca="false">'absensi setoran'!B43</f>
        <v>CECEP ABDULATIF</v>
      </c>
      <c r="C43" s="24" t="n">
        <f aca="false">'absensi setoran'!C43</f>
        <v>30</v>
      </c>
      <c r="D43" s="24" t="s">
        <v>78</v>
      </c>
      <c r="E43" s="24"/>
      <c r="F43" s="24" t="str">
        <f aca="false">B43</f>
        <v>CECEP ABDULATIF</v>
      </c>
      <c r="G43" s="24" t="s">
        <v>78</v>
      </c>
      <c r="H43" s="24"/>
      <c r="I43" s="24" t="str">
        <f aca="false">B43</f>
        <v>CECEP ABDULATIF</v>
      </c>
      <c r="J43" s="24" t="s">
        <v>78</v>
      </c>
      <c r="K43" s="24"/>
      <c r="L43" s="24" t="str">
        <f aca="false">B43</f>
        <v>CECEP ABDULATIF</v>
      </c>
      <c r="M43" s="24"/>
      <c r="N43" s="24"/>
      <c r="O43" s="24" t="str">
        <f aca="false">B43</f>
        <v>CECEP ABDULATIF</v>
      </c>
      <c r="P43" s="24"/>
      <c r="Q43" s="24"/>
      <c r="R43" s="24" t="str">
        <f aca="false">B43</f>
        <v>CECEP ABDULATIF</v>
      </c>
      <c r="S43" s="24"/>
      <c r="T43" s="24"/>
      <c r="U43" s="24" t="n">
        <f aca="false">COUNTIF(B43:T43,"H")</f>
        <v>3</v>
      </c>
      <c r="V43" s="24" t="n">
        <f aca="false">COUNTIF(B43:T43,"ST")</f>
        <v>0</v>
      </c>
      <c r="W43" s="24" t="n">
        <f aca="false">COUNTIF(B43:T43,"I")</f>
        <v>0</v>
      </c>
      <c r="X43" s="24" t="n">
        <f aca="false">COUNTIF(B43:T43,"S")</f>
        <v>0</v>
      </c>
      <c r="Y43" s="24" t="n">
        <f aca="false">COUNTIF(B43:T43,"A")</f>
        <v>0</v>
      </c>
      <c r="Z43" s="24" t="str">
        <f aca="false">B43</f>
        <v>CECEP ABDULATIF</v>
      </c>
      <c r="AA43" s="24"/>
    </row>
    <row r="44" customFormat="false" ht="15.75" hidden="false" customHeight="false" outlineLevel="0" collapsed="false">
      <c r="A44" s="24" t="n">
        <v>4</v>
      </c>
      <c r="B44" s="24" t="str">
        <f aca="false">'absensi setoran'!B44</f>
        <v>DONI SUPRIATNA</v>
      </c>
      <c r="C44" s="24" t="n">
        <f aca="false">'absensi setoran'!C44</f>
        <v>30</v>
      </c>
      <c r="D44" s="24" t="s">
        <v>78</v>
      </c>
      <c r="E44" s="24"/>
      <c r="F44" s="24" t="str">
        <f aca="false">B44</f>
        <v>DONI SUPRIATNA</v>
      </c>
      <c r="G44" s="24" t="s">
        <v>78</v>
      </c>
      <c r="H44" s="24"/>
      <c r="I44" s="24" t="str">
        <f aca="false">B44</f>
        <v>DONI SUPRIATNA</v>
      </c>
      <c r="J44" s="24" t="s">
        <v>78</v>
      </c>
      <c r="K44" s="24"/>
      <c r="L44" s="24" t="str">
        <f aca="false">B44</f>
        <v>DONI SUPRIATNA</v>
      </c>
      <c r="M44" s="24"/>
      <c r="N44" s="24"/>
      <c r="O44" s="24" t="str">
        <f aca="false">B44</f>
        <v>DONI SUPRIATNA</v>
      </c>
      <c r="P44" s="24"/>
      <c r="Q44" s="24"/>
      <c r="R44" s="24" t="str">
        <f aca="false">B44</f>
        <v>DONI SUPRIATNA</v>
      </c>
      <c r="S44" s="24"/>
      <c r="T44" s="24"/>
      <c r="U44" s="24" t="n">
        <f aca="false">COUNTIF(B44:T44,"H")</f>
        <v>3</v>
      </c>
      <c r="V44" s="24" t="n">
        <f aca="false">COUNTIF(B44:T44,"ST")</f>
        <v>0</v>
      </c>
      <c r="W44" s="24" t="n">
        <f aca="false">COUNTIF(B44:T44,"I")</f>
        <v>0</v>
      </c>
      <c r="X44" s="24" t="n">
        <f aca="false">COUNTIF(B44:T44,"S")</f>
        <v>0</v>
      </c>
      <c r="Y44" s="24" t="n">
        <f aca="false">COUNTIF(B44:T44,"A")</f>
        <v>0</v>
      </c>
      <c r="Z44" s="24" t="str">
        <f aca="false">B44</f>
        <v>DONI SUPRIATNA</v>
      </c>
      <c r="AA44" s="24"/>
    </row>
    <row r="45" customFormat="false" ht="15.75" hidden="false" customHeight="false" outlineLevel="0" collapsed="false">
      <c r="A45" s="24" t="n">
        <v>5</v>
      </c>
      <c r="B45" s="24" t="e">
        <f aca="false">'absensi setoran'!B45</f>
        <v>#REF!</v>
      </c>
      <c r="C45" s="24" t="e">
        <f aca="false">'absensi setoran'!C45</f>
        <v>#REF!</v>
      </c>
      <c r="D45" s="24" t="s">
        <v>78</v>
      </c>
      <c r="E45" s="24"/>
      <c r="F45" s="24" t="e">
        <f aca="false">B45</f>
        <v>#REF!</v>
      </c>
      <c r="G45" s="24" t="s">
        <v>78</v>
      </c>
      <c r="H45" s="24"/>
      <c r="I45" s="24" t="e">
        <f aca="false">B45</f>
        <v>#REF!</v>
      </c>
      <c r="J45" s="24" t="s">
        <v>78</v>
      </c>
      <c r="K45" s="24"/>
      <c r="L45" s="24" t="e">
        <f aca="false">B45</f>
        <v>#REF!</v>
      </c>
      <c r="M45" s="24"/>
      <c r="N45" s="24"/>
      <c r="O45" s="24" t="e">
        <f aca="false">B45</f>
        <v>#REF!</v>
      </c>
      <c r="P45" s="24"/>
      <c r="Q45" s="24"/>
      <c r="R45" s="24" t="e">
        <f aca="false">B45</f>
        <v>#REF!</v>
      </c>
      <c r="S45" s="24"/>
      <c r="T45" s="24"/>
      <c r="U45" s="24" t="n">
        <f aca="false">COUNTIF(B45:T45,"H")</f>
        <v>3</v>
      </c>
      <c r="V45" s="24" t="n">
        <f aca="false">COUNTIF(B45:T45,"ST")</f>
        <v>0</v>
      </c>
      <c r="W45" s="24" t="n">
        <f aca="false">COUNTIF(B45:T45,"I")</f>
        <v>0</v>
      </c>
      <c r="X45" s="24" t="n">
        <f aca="false">COUNTIF(B45:T45,"S")</f>
        <v>0</v>
      </c>
      <c r="Y45" s="24" t="n">
        <f aca="false">COUNTIF(B45:T45,"A")</f>
        <v>0</v>
      </c>
      <c r="Z45" s="24" t="e">
        <f aca="false">B45</f>
        <v>#REF!</v>
      </c>
      <c r="AA45" s="24"/>
    </row>
    <row r="46" customFormat="false" ht="15.75" hidden="false" customHeight="false" outlineLevel="0" collapsed="false">
      <c r="A46" s="24" t="n">
        <v>6</v>
      </c>
      <c r="B46" s="24" t="str">
        <f aca="false">'absensi setoran'!B46</f>
        <v>ZAKY AZHARI</v>
      </c>
      <c r="C46" s="24" t="n">
        <f aca="false">'absensi setoran'!C46</f>
        <v>30</v>
      </c>
      <c r="D46" s="24" t="s">
        <v>78</v>
      </c>
      <c r="E46" s="24"/>
      <c r="F46" s="24" t="str">
        <f aca="false">B46</f>
        <v>ZAKY AZHARI</v>
      </c>
      <c r="G46" s="24" t="s">
        <v>78</v>
      </c>
      <c r="H46" s="24"/>
      <c r="I46" s="24" t="str">
        <f aca="false">B46</f>
        <v>ZAKY AZHARI</v>
      </c>
      <c r="J46" s="24" t="s">
        <v>97</v>
      </c>
      <c r="K46" s="24"/>
      <c r="L46" s="24" t="str">
        <f aca="false">B46</f>
        <v>ZAKY AZHARI</v>
      </c>
      <c r="M46" s="24"/>
      <c r="N46" s="24"/>
      <c r="O46" s="24" t="str">
        <f aca="false">B46</f>
        <v>ZAKY AZHARI</v>
      </c>
      <c r="P46" s="24"/>
      <c r="Q46" s="24"/>
      <c r="R46" s="24" t="str">
        <f aca="false">B46</f>
        <v>ZAKY AZHARI</v>
      </c>
      <c r="S46" s="24"/>
      <c r="T46" s="24"/>
      <c r="U46" s="24" t="n">
        <f aca="false">COUNTIF(B46:T46,"H")</f>
        <v>2</v>
      </c>
      <c r="V46" s="24" t="n">
        <f aca="false">COUNTIF(B46:T46,"ST")</f>
        <v>0</v>
      </c>
      <c r="W46" s="24" t="n">
        <f aca="false">COUNTIF(B46:T46,"I")</f>
        <v>1</v>
      </c>
      <c r="X46" s="24" t="n">
        <f aca="false">COUNTIF(B46:T46,"S")</f>
        <v>0</v>
      </c>
      <c r="Y46" s="24" t="n">
        <f aca="false">COUNTIF(B46:T46,"A")</f>
        <v>0</v>
      </c>
      <c r="Z46" s="24" t="str">
        <f aca="false">B46</f>
        <v>ZAKY AZHARI</v>
      </c>
      <c r="AA46" s="24"/>
    </row>
    <row r="47" customFormat="false" ht="15.75" hidden="false" customHeight="false" outlineLevel="0" collapsed="false">
      <c r="A47" s="24" t="n">
        <v>7</v>
      </c>
      <c r="B47" s="24" t="str">
        <f aca="false">'absensi setoran'!B47</f>
        <v>MUHAMMAD FAUZIL ADZIM</v>
      </c>
      <c r="C47" s="24" t="n">
        <f aca="false">'absensi setoran'!C47</f>
        <v>30</v>
      </c>
      <c r="D47" s="24" t="s">
        <v>78</v>
      </c>
      <c r="E47" s="24"/>
      <c r="F47" s="24" t="str">
        <f aca="false">B47</f>
        <v>MUHAMMAD FAUZIL ADZIM</v>
      </c>
      <c r="G47" s="24" t="s">
        <v>78</v>
      </c>
      <c r="H47" s="24"/>
      <c r="I47" s="24" t="str">
        <f aca="false">B47</f>
        <v>MUHAMMAD FAUZIL ADZIM</v>
      </c>
      <c r="J47" s="24" t="s">
        <v>97</v>
      </c>
      <c r="K47" s="24"/>
      <c r="L47" s="24" t="str">
        <f aca="false">B47</f>
        <v>MUHAMMAD FAUZIL ADZIM</v>
      </c>
      <c r="M47" s="24"/>
      <c r="N47" s="24"/>
      <c r="O47" s="24" t="str">
        <f aca="false">B47</f>
        <v>MUHAMMAD FAUZIL ADZIM</v>
      </c>
      <c r="P47" s="24"/>
      <c r="Q47" s="24"/>
      <c r="R47" s="24" t="str">
        <f aca="false">B47</f>
        <v>MUHAMMAD FAUZIL ADZIM</v>
      </c>
      <c r="S47" s="24"/>
      <c r="T47" s="24"/>
      <c r="U47" s="24" t="n">
        <f aca="false">COUNTIF(B47:T47,"H")</f>
        <v>2</v>
      </c>
      <c r="V47" s="24" t="n">
        <f aca="false">COUNTIF(B47:T47,"ST")</f>
        <v>0</v>
      </c>
      <c r="W47" s="24" t="n">
        <f aca="false">COUNTIF(B47:T47,"I")</f>
        <v>1</v>
      </c>
      <c r="X47" s="24" t="n">
        <f aca="false">COUNTIF(B47:T47,"S")</f>
        <v>0</v>
      </c>
      <c r="Y47" s="24" t="n">
        <f aca="false">COUNTIF(B47:T47,"A")</f>
        <v>0</v>
      </c>
      <c r="Z47" s="24" t="str">
        <f aca="false">B47</f>
        <v>MUHAMMAD FAUZIL ADZIM</v>
      </c>
      <c r="AA47" s="24"/>
    </row>
    <row r="48" customFormat="false" ht="15.75" hidden="false" customHeight="false" outlineLevel="0" collapsed="false">
      <c r="A48" s="24" t="n">
        <v>8</v>
      </c>
      <c r="B48" s="24" t="str">
        <f aca="false">'absensi setoran'!B48</f>
        <v>MUHAMMAD DZIKRI HUSAENI</v>
      </c>
      <c r="C48" s="24" t="n">
        <f aca="false">'absensi setoran'!C48</f>
        <v>18</v>
      </c>
      <c r="D48" s="24" t="s">
        <v>78</v>
      </c>
      <c r="E48" s="24"/>
      <c r="F48" s="24" t="str">
        <f aca="false">B48</f>
        <v>MUHAMMAD DZIKRI HUSAENI</v>
      </c>
      <c r="G48" s="24" t="s">
        <v>78</v>
      </c>
      <c r="H48" s="24"/>
      <c r="I48" s="24" t="str">
        <f aca="false">B48</f>
        <v>MUHAMMAD DZIKRI HUSAENI</v>
      </c>
      <c r="J48" s="24" t="s">
        <v>78</v>
      </c>
      <c r="K48" s="24"/>
      <c r="L48" s="24" t="str">
        <f aca="false">B48</f>
        <v>MUHAMMAD DZIKRI HUSAENI</v>
      </c>
      <c r="M48" s="24"/>
      <c r="N48" s="24"/>
      <c r="O48" s="24" t="str">
        <f aca="false">B48</f>
        <v>MUHAMMAD DZIKRI HUSAENI</v>
      </c>
      <c r="P48" s="24"/>
      <c r="Q48" s="24"/>
      <c r="R48" s="24" t="str">
        <f aca="false">B48</f>
        <v>MUHAMMAD DZIKRI HUSAENI</v>
      </c>
      <c r="S48" s="24"/>
      <c r="T48" s="24"/>
      <c r="U48" s="24" t="n">
        <f aca="false">COUNTIF(B48:T48,"H")</f>
        <v>3</v>
      </c>
      <c r="V48" s="24" t="n">
        <f aca="false">COUNTIF(B48:T48,"ST")</f>
        <v>0</v>
      </c>
      <c r="W48" s="24" t="n">
        <f aca="false">COUNTIF(B48:T48,"I")</f>
        <v>0</v>
      </c>
      <c r="X48" s="24" t="n">
        <f aca="false">COUNTIF(B48:T48,"S")</f>
        <v>0</v>
      </c>
      <c r="Y48" s="24" t="n">
        <f aca="false">COUNTIF(B48:T48,"A")</f>
        <v>0</v>
      </c>
      <c r="Z48" s="24" t="str">
        <f aca="false">B48</f>
        <v>MUHAMMAD DZIKRI HUSAENI</v>
      </c>
      <c r="AA48" s="24"/>
    </row>
    <row r="49" customFormat="false" ht="15.75" hidden="false" customHeight="false" outlineLevel="0" collapsed="false">
      <c r="A49" s="24" t="n">
        <v>9</v>
      </c>
      <c r="B49" s="24" t="e">
        <f aca="false">'absensi setoran'!B49</f>
        <v>#REF!</v>
      </c>
      <c r="C49" s="24" t="e">
        <f aca="false">'absensi setoran'!C49</f>
        <v>#REF!</v>
      </c>
      <c r="D49" s="24" t="s">
        <v>97</v>
      </c>
      <c r="E49" s="24"/>
      <c r="F49" s="24" t="e">
        <f aca="false">B49</f>
        <v>#REF!</v>
      </c>
      <c r="G49" s="24" t="s">
        <v>75</v>
      </c>
      <c r="H49" s="24"/>
      <c r="I49" s="24" t="e">
        <f aca="false">B49</f>
        <v>#REF!</v>
      </c>
      <c r="J49" s="24" t="s">
        <v>78</v>
      </c>
      <c r="K49" s="24"/>
      <c r="L49" s="24" t="e">
        <f aca="false">B49</f>
        <v>#REF!</v>
      </c>
      <c r="M49" s="24"/>
      <c r="N49" s="24"/>
      <c r="O49" s="24" t="e">
        <f aca="false">B49</f>
        <v>#REF!</v>
      </c>
      <c r="P49" s="24"/>
      <c r="Q49" s="24"/>
      <c r="R49" s="24" t="e">
        <f aca="false">B49</f>
        <v>#REF!</v>
      </c>
      <c r="S49" s="24"/>
      <c r="T49" s="24"/>
      <c r="U49" s="24" t="n">
        <f aca="false">COUNTIF(B49:T49,"H")</f>
        <v>1</v>
      </c>
      <c r="V49" s="24" t="n">
        <f aca="false">COUNTIF(B49:T49,"ST")</f>
        <v>0</v>
      </c>
      <c r="W49" s="24" t="n">
        <f aca="false">COUNTIF(B49:T49,"I")</f>
        <v>1</v>
      </c>
      <c r="X49" s="24" t="n">
        <f aca="false">COUNTIF(B49:T49,"S")</f>
        <v>0</v>
      </c>
      <c r="Y49" s="24" t="n">
        <f aca="false">COUNTIF(B49:T49,"A")</f>
        <v>1</v>
      </c>
      <c r="Z49" s="24" t="e">
        <f aca="false">B49</f>
        <v>#REF!</v>
      </c>
      <c r="AA49" s="24"/>
    </row>
    <row r="50" customFormat="false" ht="15.75" hidden="false" customHeight="false" outlineLevel="0" collapsed="false">
      <c r="A50" s="24" t="n">
        <v>10</v>
      </c>
      <c r="B50" s="24" t="str">
        <f aca="false">'absensi setoran'!B50</f>
        <v>ABDUL KHOLIQ</v>
      </c>
      <c r="C50" s="24" t="n">
        <f aca="false">'absensi setoran'!C50</f>
        <v>14</v>
      </c>
      <c r="D50" s="24" t="s">
        <v>78</v>
      </c>
      <c r="E50" s="24"/>
      <c r="F50" s="24" t="str">
        <f aca="false">B50</f>
        <v>ABDUL KHOLIQ</v>
      </c>
      <c r="G50" s="24" t="s">
        <v>78</v>
      </c>
      <c r="H50" s="24"/>
      <c r="I50" s="24" t="str">
        <f aca="false">B50</f>
        <v>ABDUL KHOLIQ</v>
      </c>
      <c r="J50" s="24" t="s">
        <v>78</v>
      </c>
      <c r="K50" s="24"/>
      <c r="L50" s="24" t="str">
        <f aca="false">B50</f>
        <v>ABDUL KHOLIQ</v>
      </c>
      <c r="M50" s="24"/>
      <c r="N50" s="24"/>
      <c r="O50" s="24" t="str">
        <f aca="false">B50</f>
        <v>ABDUL KHOLIQ</v>
      </c>
      <c r="P50" s="24"/>
      <c r="Q50" s="24"/>
      <c r="R50" s="24" t="str">
        <f aca="false">B50</f>
        <v>ABDUL KHOLIQ</v>
      </c>
      <c r="S50" s="24"/>
      <c r="T50" s="24"/>
      <c r="U50" s="24" t="n">
        <f aca="false">COUNTIF(B50:T50,"H")</f>
        <v>3</v>
      </c>
      <c r="V50" s="24" t="n">
        <f aca="false">COUNTIF(B50:T50,"ST")</f>
        <v>0</v>
      </c>
      <c r="W50" s="24" t="n">
        <f aca="false">COUNTIF(B50:T50,"I")</f>
        <v>0</v>
      </c>
      <c r="X50" s="24" t="n">
        <f aca="false">COUNTIF(B50:T50,"S")</f>
        <v>0</v>
      </c>
      <c r="Y50" s="24" t="n">
        <f aca="false">COUNTIF(B50:T50,"A")</f>
        <v>0</v>
      </c>
      <c r="Z50" s="24" t="str">
        <f aca="false">B50</f>
        <v>ABDUL KHOLIQ</v>
      </c>
      <c r="AA50" s="24"/>
    </row>
    <row r="51" customFormat="false" ht="15.75" hidden="false" customHeight="false" outlineLevel="0" collapsed="false">
      <c r="A51" s="24" t="n">
        <v>11</v>
      </c>
      <c r="B51" s="24" t="str">
        <f aca="false">'absensi setoran'!B51</f>
        <v>IYAN FARID</v>
      </c>
      <c r="C51" s="24" t="n">
        <f aca="false">'absensi setoran'!C51</f>
        <v>13</v>
      </c>
      <c r="D51" s="24" t="s">
        <v>78</v>
      </c>
      <c r="E51" s="24"/>
      <c r="F51" s="24" t="str">
        <f aca="false">B51</f>
        <v>IYAN FARID</v>
      </c>
      <c r="G51" s="24" t="s">
        <v>78</v>
      </c>
      <c r="H51" s="24"/>
      <c r="I51" s="24" t="str">
        <f aca="false">B51</f>
        <v>IYAN FARID</v>
      </c>
      <c r="J51" s="24" t="s">
        <v>78</v>
      </c>
      <c r="K51" s="24"/>
      <c r="L51" s="24" t="str">
        <f aca="false">B51</f>
        <v>IYAN FARID</v>
      </c>
      <c r="M51" s="24"/>
      <c r="N51" s="24"/>
      <c r="O51" s="24" t="str">
        <f aca="false">B51</f>
        <v>IYAN FARID</v>
      </c>
      <c r="P51" s="24"/>
      <c r="Q51" s="24"/>
      <c r="R51" s="24" t="str">
        <f aca="false">B51</f>
        <v>IYAN FARID</v>
      </c>
      <c r="S51" s="24"/>
      <c r="T51" s="24"/>
      <c r="U51" s="24" t="n">
        <f aca="false">COUNTIF(B51:T51,"H")</f>
        <v>3</v>
      </c>
      <c r="V51" s="24" t="n">
        <f aca="false">COUNTIF(B51:T51,"ST")</f>
        <v>0</v>
      </c>
      <c r="W51" s="24" t="n">
        <f aca="false">COUNTIF(B51:T51,"I")</f>
        <v>0</v>
      </c>
      <c r="X51" s="24" t="n">
        <f aca="false">COUNTIF(B51:T51,"S")</f>
        <v>0</v>
      </c>
      <c r="Y51" s="24" t="n">
        <f aca="false">COUNTIF(B51:T51,"A")</f>
        <v>0</v>
      </c>
      <c r="Z51" s="24" t="str">
        <f aca="false">B51</f>
        <v>IYAN FARID</v>
      </c>
      <c r="AA51" s="24"/>
    </row>
    <row r="52" customFormat="false" ht="15.75" hidden="false" customHeight="false" outlineLevel="0" collapsed="false">
      <c r="A52" s="24" t="n">
        <v>12</v>
      </c>
      <c r="B52" s="24" t="str">
        <f aca="false">'absensi setoran'!B52</f>
        <v>ZAENI NURIL HIKAM</v>
      </c>
      <c r="C52" s="24" t="n">
        <f aca="false">'absensi setoran'!C52</f>
        <v>12</v>
      </c>
      <c r="D52" s="24" t="s">
        <v>78</v>
      </c>
      <c r="E52" s="24"/>
      <c r="F52" s="24" t="str">
        <f aca="false">B52</f>
        <v>ZAENI NURIL HIKAM</v>
      </c>
      <c r="G52" s="24" t="s">
        <v>78</v>
      </c>
      <c r="H52" s="24"/>
      <c r="I52" s="24" t="str">
        <f aca="false">B52</f>
        <v>ZAENI NURIL HIKAM</v>
      </c>
      <c r="J52" s="24" t="s">
        <v>78</v>
      </c>
      <c r="K52" s="24"/>
      <c r="L52" s="24" t="str">
        <f aca="false">B52</f>
        <v>ZAENI NURIL HIKAM</v>
      </c>
      <c r="M52" s="24"/>
      <c r="N52" s="24"/>
      <c r="O52" s="24" t="str">
        <f aca="false">B52</f>
        <v>ZAENI NURIL HIKAM</v>
      </c>
      <c r="P52" s="24"/>
      <c r="Q52" s="24"/>
      <c r="R52" s="24" t="str">
        <f aca="false">B52</f>
        <v>ZAENI NURIL HIKAM</v>
      </c>
      <c r="S52" s="24"/>
      <c r="T52" s="24"/>
      <c r="U52" s="24" t="n">
        <f aca="false">COUNTIF(B52:T52,"H")</f>
        <v>3</v>
      </c>
      <c r="V52" s="24" t="n">
        <f aca="false">COUNTIF(B52:T52,"ST")</f>
        <v>0</v>
      </c>
      <c r="W52" s="24" t="n">
        <f aca="false">COUNTIF(B52:T52,"I")</f>
        <v>0</v>
      </c>
      <c r="X52" s="24" t="n">
        <f aca="false">COUNTIF(B52:T52,"S")</f>
        <v>0</v>
      </c>
      <c r="Y52" s="24" t="n">
        <f aca="false">COUNTIF(B52:T52,"A")</f>
        <v>0</v>
      </c>
      <c r="Z52" s="24" t="str">
        <f aca="false">B52</f>
        <v>ZAENI NURIL HIKAM</v>
      </c>
      <c r="AA52" s="24"/>
    </row>
    <row r="53" customFormat="false" ht="15.75" hidden="false" customHeight="false" outlineLevel="0" collapsed="false">
      <c r="A53" s="24" t="n">
        <v>13</v>
      </c>
      <c r="B53" s="24" t="str">
        <f aca="false">'absensi setoran'!B53</f>
        <v>LUCKY KURNIAWAN</v>
      </c>
      <c r="C53" s="24" t="n">
        <f aca="false">'absensi setoran'!C53</f>
        <v>12</v>
      </c>
      <c r="D53" s="24" t="s">
        <v>78</v>
      </c>
      <c r="E53" s="24"/>
      <c r="F53" s="24" t="str">
        <f aca="false">B53</f>
        <v>LUCKY KURNIAWAN</v>
      </c>
      <c r="G53" s="24" t="s">
        <v>78</v>
      </c>
      <c r="H53" s="24"/>
      <c r="I53" s="24" t="str">
        <f aca="false">B53</f>
        <v>LUCKY KURNIAWAN</v>
      </c>
      <c r="J53" s="24" t="s">
        <v>78</v>
      </c>
      <c r="K53" s="24"/>
      <c r="L53" s="24" t="str">
        <f aca="false">B53</f>
        <v>LUCKY KURNIAWAN</v>
      </c>
      <c r="M53" s="24"/>
      <c r="N53" s="24"/>
      <c r="O53" s="24" t="str">
        <f aca="false">B53</f>
        <v>LUCKY KURNIAWAN</v>
      </c>
      <c r="P53" s="24"/>
      <c r="Q53" s="24"/>
      <c r="R53" s="24" t="str">
        <f aca="false">B53</f>
        <v>LUCKY KURNIAWAN</v>
      </c>
      <c r="S53" s="24"/>
      <c r="T53" s="24"/>
      <c r="U53" s="24" t="n">
        <f aca="false">COUNTIF(B53:T53,"H")</f>
        <v>3</v>
      </c>
      <c r="V53" s="24" t="n">
        <f aca="false">COUNTIF(B53:T53,"ST")</f>
        <v>0</v>
      </c>
      <c r="W53" s="24" t="n">
        <f aca="false">COUNTIF(B53:T53,"I")</f>
        <v>0</v>
      </c>
      <c r="X53" s="24" t="n">
        <f aca="false">COUNTIF(B53:T53,"S")</f>
        <v>0</v>
      </c>
      <c r="Y53" s="24" t="n">
        <f aca="false">COUNTIF(B53:T53,"A")</f>
        <v>0</v>
      </c>
      <c r="Z53" s="24" t="str">
        <f aca="false">B53</f>
        <v>LUCKY KURNIAWAN</v>
      </c>
      <c r="AA53" s="24"/>
    </row>
    <row r="54" customFormat="false" ht="15.75" hidden="false" customHeight="false" outlineLevel="0" collapsed="false">
      <c r="A54" s="24" t="n">
        <v>14</v>
      </c>
      <c r="B54" s="24" t="str">
        <f aca="false">'absensi setoran'!B54</f>
        <v>MUHAMMAD RAFIK MUHARAM</v>
      </c>
      <c r="C54" s="24" t="n">
        <f aca="false">'absensi setoran'!C54</f>
        <v>12</v>
      </c>
      <c r="D54" s="24" t="s">
        <v>78</v>
      </c>
      <c r="E54" s="24"/>
      <c r="F54" s="24" t="str">
        <f aca="false">B54</f>
        <v>MUHAMMAD RAFIK MUHARAM</v>
      </c>
      <c r="G54" s="24" t="s">
        <v>78</v>
      </c>
      <c r="H54" s="24"/>
      <c r="I54" s="24" t="str">
        <f aca="false">B54</f>
        <v>MUHAMMAD RAFIK MUHARAM</v>
      </c>
      <c r="J54" s="24" t="s">
        <v>78</v>
      </c>
      <c r="K54" s="24"/>
      <c r="L54" s="24" t="str">
        <f aca="false">B54</f>
        <v>MUHAMMAD RAFIK MUHARAM</v>
      </c>
      <c r="M54" s="24"/>
      <c r="N54" s="24"/>
      <c r="O54" s="24" t="str">
        <f aca="false">B54</f>
        <v>MUHAMMAD RAFIK MUHARAM</v>
      </c>
      <c r="P54" s="24"/>
      <c r="Q54" s="24"/>
      <c r="R54" s="24" t="str">
        <f aca="false">B54</f>
        <v>MUHAMMAD RAFIK MUHARAM</v>
      </c>
      <c r="S54" s="24"/>
      <c r="T54" s="24"/>
      <c r="U54" s="24" t="n">
        <f aca="false">COUNTIF(B54:T54,"H")</f>
        <v>3</v>
      </c>
      <c r="V54" s="24" t="n">
        <f aca="false">COUNTIF(B54:T54,"ST")</f>
        <v>0</v>
      </c>
      <c r="W54" s="24" t="n">
        <f aca="false">COUNTIF(B54:T54,"I")</f>
        <v>0</v>
      </c>
      <c r="X54" s="24" t="n">
        <f aca="false">COUNTIF(B54:T54,"S")</f>
        <v>0</v>
      </c>
      <c r="Y54" s="24" t="n">
        <f aca="false">COUNTIF(B54:T54,"A")</f>
        <v>0</v>
      </c>
      <c r="Z54" s="24" t="str">
        <f aca="false">B54</f>
        <v>MUHAMMAD RAFIK MUHARAM</v>
      </c>
      <c r="AA54" s="24"/>
    </row>
    <row r="55" customFormat="false" ht="15.75" hidden="false" customHeight="false" outlineLevel="0" collapsed="false">
      <c r="A55" s="24" t="n">
        <v>15</v>
      </c>
      <c r="B55" s="24" t="str">
        <f aca="false">'absensi setoran'!B55</f>
        <v>UMAR ABDUL MALIK</v>
      </c>
      <c r="C55" s="24" t="n">
        <f aca="false">'absensi setoran'!C55</f>
        <v>11</v>
      </c>
      <c r="D55" s="24" t="s">
        <v>75</v>
      </c>
      <c r="E55" s="24"/>
      <c r="F55" s="24" t="str">
        <f aca="false">B55</f>
        <v>UMAR ABDUL MALIK</v>
      </c>
      <c r="G55" s="24" t="s">
        <v>75</v>
      </c>
      <c r="H55" s="24"/>
      <c r="I55" s="24" t="str">
        <f aca="false">B55</f>
        <v>UMAR ABDUL MALIK</v>
      </c>
      <c r="J55" s="24" t="s">
        <v>78</v>
      </c>
      <c r="K55" s="24"/>
      <c r="L55" s="24" t="str">
        <f aca="false">B55</f>
        <v>UMAR ABDUL MALIK</v>
      </c>
      <c r="M55" s="24"/>
      <c r="N55" s="24"/>
      <c r="O55" s="24" t="str">
        <f aca="false">B55</f>
        <v>UMAR ABDUL MALIK</v>
      </c>
      <c r="P55" s="24"/>
      <c r="Q55" s="24"/>
      <c r="R55" s="24" t="str">
        <f aca="false">B55</f>
        <v>UMAR ABDUL MALIK</v>
      </c>
      <c r="S55" s="24"/>
      <c r="T55" s="24"/>
      <c r="U55" s="24" t="n">
        <f aca="false">COUNTIF(B55:T55,"H")</f>
        <v>1</v>
      </c>
      <c r="V55" s="24" t="n">
        <f aca="false">COUNTIF(B55:T55,"ST")</f>
        <v>0</v>
      </c>
      <c r="W55" s="24" t="n">
        <f aca="false">COUNTIF(B55:T55,"I")</f>
        <v>0</v>
      </c>
      <c r="X55" s="24" t="n">
        <f aca="false">COUNTIF(B55:T55,"S")</f>
        <v>0</v>
      </c>
      <c r="Y55" s="24" t="n">
        <f aca="false">COUNTIF(B55:T55,"A")</f>
        <v>2</v>
      </c>
      <c r="Z55" s="24" t="str">
        <f aca="false">B55</f>
        <v>UMAR ABDUL MALIK</v>
      </c>
      <c r="AA55" s="24"/>
    </row>
    <row r="56" customFormat="false" ht="15.75" hidden="false" customHeight="false" outlineLevel="0" collapsed="false">
      <c r="A56" s="24" t="n">
        <v>16</v>
      </c>
      <c r="B56" s="24" t="str">
        <f aca="false">'absensi setoran'!B56</f>
        <v>AHMAD HAFIDZ ALHAWARI</v>
      </c>
      <c r="C56" s="24" t="n">
        <f aca="false">'absensi setoran'!C56</f>
        <v>10</v>
      </c>
      <c r="D56" s="24" t="s">
        <v>78</v>
      </c>
      <c r="E56" s="24"/>
      <c r="F56" s="24" t="str">
        <f aca="false">B56</f>
        <v>AHMAD HAFIDZ ALHAWARI</v>
      </c>
      <c r="G56" s="24" t="s">
        <v>78</v>
      </c>
      <c r="H56" s="24"/>
      <c r="I56" s="24" t="str">
        <f aca="false">B56</f>
        <v>AHMAD HAFIDZ ALHAWARI</v>
      </c>
      <c r="J56" s="24" t="s">
        <v>78</v>
      </c>
      <c r="K56" s="24"/>
      <c r="L56" s="24" t="str">
        <f aca="false">B56</f>
        <v>AHMAD HAFIDZ ALHAWARI</v>
      </c>
      <c r="M56" s="24"/>
      <c r="N56" s="24"/>
      <c r="O56" s="24" t="str">
        <f aca="false">B56</f>
        <v>AHMAD HAFIDZ ALHAWARI</v>
      </c>
      <c r="P56" s="24"/>
      <c r="Q56" s="24"/>
      <c r="R56" s="24" t="str">
        <f aca="false">B56</f>
        <v>AHMAD HAFIDZ ALHAWARI</v>
      </c>
      <c r="S56" s="24"/>
      <c r="T56" s="24"/>
      <c r="U56" s="24" t="n">
        <f aca="false">COUNTIF(B56:T56,"H")</f>
        <v>3</v>
      </c>
      <c r="V56" s="24" t="n">
        <f aca="false">COUNTIF(B56:T56,"ST")</f>
        <v>0</v>
      </c>
      <c r="W56" s="24" t="n">
        <f aca="false">COUNTIF(B56:T56,"I")</f>
        <v>0</v>
      </c>
      <c r="X56" s="24" t="n">
        <f aca="false">COUNTIF(B56:T56,"S")</f>
        <v>0</v>
      </c>
      <c r="Y56" s="24" t="n">
        <f aca="false">COUNTIF(B56:T56,"A")</f>
        <v>0</v>
      </c>
      <c r="Z56" s="24" t="str">
        <f aca="false">B56</f>
        <v>AHMAD HAFIDZ ALHAWARI</v>
      </c>
      <c r="AA56" s="24"/>
    </row>
    <row r="57" customFormat="false" ht="15.75" hidden="false" customHeight="false" outlineLevel="0" collapsed="false">
      <c r="A57" s="24" t="n">
        <v>17</v>
      </c>
      <c r="B57" s="24" t="str">
        <f aca="false">'absensi setoran'!B57</f>
        <v>MUHAMMAD FAUZAN</v>
      </c>
      <c r="C57" s="24" t="n">
        <f aca="false">'absensi setoran'!C57</f>
        <v>10</v>
      </c>
      <c r="D57" s="24" t="s">
        <v>78</v>
      </c>
      <c r="E57" s="24"/>
      <c r="F57" s="24" t="str">
        <f aca="false">B57</f>
        <v>MUHAMMAD FAUZAN</v>
      </c>
      <c r="G57" s="24" t="s">
        <v>78</v>
      </c>
      <c r="H57" s="24"/>
      <c r="I57" s="24" t="str">
        <f aca="false">B57</f>
        <v>MUHAMMAD FAUZAN</v>
      </c>
      <c r="J57" s="24" t="s">
        <v>78</v>
      </c>
      <c r="K57" s="24"/>
      <c r="L57" s="24" t="str">
        <f aca="false">B57</f>
        <v>MUHAMMAD FAUZAN</v>
      </c>
      <c r="M57" s="24"/>
      <c r="N57" s="24"/>
      <c r="O57" s="24" t="str">
        <f aca="false">B57</f>
        <v>MUHAMMAD FAUZAN</v>
      </c>
      <c r="P57" s="24"/>
      <c r="Q57" s="24"/>
      <c r="R57" s="24" t="str">
        <f aca="false">B57</f>
        <v>MUHAMMAD FAUZAN</v>
      </c>
      <c r="S57" s="24"/>
      <c r="T57" s="24"/>
      <c r="U57" s="24" t="n">
        <f aca="false">COUNTIF(B57:T57,"H")</f>
        <v>3</v>
      </c>
      <c r="V57" s="24" t="n">
        <f aca="false">COUNTIF(B57:T57,"ST")</f>
        <v>0</v>
      </c>
      <c r="W57" s="24" t="n">
        <f aca="false">COUNTIF(B57:T57,"I")</f>
        <v>0</v>
      </c>
      <c r="X57" s="24" t="n">
        <f aca="false">COUNTIF(B57:T57,"S")</f>
        <v>0</v>
      </c>
      <c r="Y57" s="24" t="n">
        <f aca="false">COUNTIF(B57:T57,"A")</f>
        <v>0</v>
      </c>
      <c r="Z57" s="24" t="str">
        <f aca="false">B57</f>
        <v>MUHAMMAD FAUZAN</v>
      </c>
      <c r="AA57" s="24"/>
    </row>
    <row r="58" customFormat="false" ht="15.75" hidden="false" customHeight="false" outlineLevel="0" collapsed="false">
      <c r="A58" s="24" t="n">
        <v>18</v>
      </c>
      <c r="B58" s="24" t="str">
        <f aca="false">'absensi setoran'!B58</f>
        <v>AKBAR RAMADAN</v>
      </c>
      <c r="C58" s="24" t="n">
        <f aca="false">'absensi setoran'!C58</f>
        <v>9</v>
      </c>
      <c r="D58" s="24" t="s">
        <v>78</v>
      </c>
      <c r="E58" s="24"/>
      <c r="F58" s="24" t="str">
        <f aca="false">B58</f>
        <v>AKBAR RAMADAN</v>
      </c>
      <c r="G58" s="24" t="s">
        <v>78</v>
      </c>
      <c r="H58" s="24"/>
      <c r="I58" s="24" t="str">
        <f aca="false">B58</f>
        <v>AKBAR RAMADAN</v>
      </c>
      <c r="J58" s="24" t="s">
        <v>78</v>
      </c>
      <c r="K58" s="24"/>
      <c r="L58" s="24" t="str">
        <f aca="false">B58</f>
        <v>AKBAR RAMADAN</v>
      </c>
      <c r="M58" s="24"/>
      <c r="N58" s="24"/>
      <c r="O58" s="24" t="str">
        <f aca="false">B58</f>
        <v>AKBAR RAMADAN</v>
      </c>
      <c r="P58" s="24"/>
      <c r="Q58" s="24"/>
      <c r="R58" s="24" t="str">
        <f aca="false">B58</f>
        <v>AKBAR RAMADAN</v>
      </c>
      <c r="S58" s="24"/>
      <c r="T58" s="24"/>
      <c r="U58" s="24" t="n">
        <f aca="false">COUNTIF(B58:T58,"H")</f>
        <v>3</v>
      </c>
      <c r="V58" s="24" t="n">
        <f aca="false">COUNTIF(B58:T58,"ST")</f>
        <v>0</v>
      </c>
      <c r="W58" s="24" t="n">
        <f aca="false">COUNTIF(B58:T58,"I")</f>
        <v>0</v>
      </c>
      <c r="X58" s="24" t="n">
        <f aca="false">COUNTIF(B58:T58,"S")</f>
        <v>0</v>
      </c>
      <c r="Y58" s="24" t="n">
        <f aca="false">COUNTIF(B58:T58,"A")</f>
        <v>0</v>
      </c>
      <c r="Z58" s="24" t="str">
        <f aca="false">B58</f>
        <v>AKBAR RAMADAN</v>
      </c>
      <c r="AA58" s="24"/>
    </row>
    <row r="59" customFormat="false" ht="15.75" hidden="false" customHeight="false" outlineLevel="0" collapsed="false">
      <c r="A59" s="24" t="n">
        <v>19</v>
      </c>
      <c r="B59" s="24" t="e">
        <f aca="false">'absensi setoran'!B59</f>
        <v>#REF!</v>
      </c>
      <c r="C59" s="24" t="e">
        <f aca="false">'absensi setoran'!C59</f>
        <v>#REF!</v>
      </c>
      <c r="D59" s="24" t="s">
        <v>78</v>
      </c>
      <c r="E59" s="24"/>
      <c r="F59" s="24" t="e">
        <f aca="false">B59</f>
        <v>#REF!</v>
      </c>
      <c r="G59" s="24" t="s">
        <v>78</v>
      </c>
      <c r="H59" s="24"/>
      <c r="I59" s="24" t="e">
        <f aca="false">B59</f>
        <v>#REF!</v>
      </c>
      <c r="J59" s="24" t="s">
        <v>78</v>
      </c>
      <c r="K59" s="24"/>
      <c r="L59" s="24" t="e">
        <f aca="false">B59</f>
        <v>#REF!</v>
      </c>
      <c r="M59" s="24"/>
      <c r="N59" s="24"/>
      <c r="O59" s="24" t="e">
        <f aca="false">B59</f>
        <v>#REF!</v>
      </c>
      <c r="P59" s="24"/>
      <c r="Q59" s="24"/>
      <c r="R59" s="24" t="e">
        <f aca="false">B59</f>
        <v>#REF!</v>
      </c>
      <c r="S59" s="24"/>
      <c r="T59" s="24"/>
      <c r="U59" s="24" t="n">
        <f aca="false">COUNTIF(B59:T59,"H")</f>
        <v>3</v>
      </c>
      <c r="V59" s="24" t="n">
        <f aca="false">COUNTIF(B59:T59,"ST")</f>
        <v>0</v>
      </c>
      <c r="W59" s="24" t="n">
        <f aca="false">COUNTIF(B59:T59,"I")</f>
        <v>0</v>
      </c>
      <c r="X59" s="24" t="n">
        <f aca="false">COUNTIF(B59:T59,"S")</f>
        <v>0</v>
      </c>
      <c r="Y59" s="24" t="n">
        <f aca="false">COUNTIF(B59:T59,"A")</f>
        <v>0</v>
      </c>
      <c r="Z59" s="24" t="e">
        <f aca="false">B59</f>
        <v>#REF!</v>
      </c>
      <c r="AA59" s="24"/>
    </row>
    <row r="60" customFormat="false" ht="15.75" hidden="false" customHeight="false" outlineLevel="0" collapsed="false">
      <c r="A60" s="24" t="n">
        <v>20</v>
      </c>
      <c r="B60" s="24" t="str">
        <f aca="false">'absensi setoran'!B60</f>
        <v>ABIDZAR ALGHIFARI</v>
      </c>
      <c r="C60" s="24" t="n">
        <f aca="false">'absensi setoran'!C60</f>
        <v>8</v>
      </c>
      <c r="D60" s="24" t="s">
        <v>78</v>
      </c>
      <c r="E60" s="24"/>
      <c r="F60" s="24" t="str">
        <f aca="false">B60</f>
        <v>ABIDZAR ALGHIFARI</v>
      </c>
      <c r="G60" s="24" t="s">
        <v>78</v>
      </c>
      <c r="H60" s="24"/>
      <c r="I60" s="24" t="str">
        <f aca="false">B60</f>
        <v>ABIDZAR ALGHIFARI</v>
      </c>
      <c r="J60" s="24" t="s">
        <v>78</v>
      </c>
      <c r="K60" s="24"/>
      <c r="L60" s="24" t="str">
        <f aca="false">B60</f>
        <v>ABIDZAR ALGHIFARI</v>
      </c>
      <c r="M60" s="24"/>
      <c r="N60" s="24"/>
      <c r="O60" s="24" t="str">
        <f aca="false">B60</f>
        <v>ABIDZAR ALGHIFARI</v>
      </c>
      <c r="P60" s="24"/>
      <c r="Q60" s="24"/>
      <c r="R60" s="24" t="str">
        <f aca="false">B60</f>
        <v>ABIDZAR ALGHIFARI</v>
      </c>
      <c r="S60" s="24"/>
      <c r="T60" s="24"/>
      <c r="U60" s="24" t="n">
        <f aca="false">COUNTIF(B60:T60,"H")</f>
        <v>3</v>
      </c>
      <c r="V60" s="24" t="n">
        <f aca="false">COUNTIF(B60:T60,"ST")</f>
        <v>0</v>
      </c>
      <c r="W60" s="24" t="n">
        <f aca="false">COUNTIF(B60:T60,"I")</f>
        <v>0</v>
      </c>
      <c r="X60" s="24" t="n">
        <f aca="false">COUNTIF(B60:T60,"S")</f>
        <v>0</v>
      </c>
      <c r="Y60" s="24" t="n">
        <f aca="false">COUNTIF(B60:T60,"A")</f>
        <v>0</v>
      </c>
      <c r="Z60" s="24" t="str">
        <f aca="false">B60</f>
        <v>ABIDZAR ALGHIFARI</v>
      </c>
      <c r="AA60" s="24"/>
    </row>
    <row r="61" customFormat="false" ht="15.75" hidden="false" customHeight="false" outlineLevel="0" collapsed="false">
      <c r="A61" s="24" t="n">
        <v>21</v>
      </c>
      <c r="B61" s="24" t="str">
        <f aca="false">'absensi setoran'!B61</f>
        <v>KAFY MUHAMMAD AZIZY</v>
      </c>
      <c r="C61" s="24" t="n">
        <f aca="false">'absensi setoran'!C61</f>
        <v>7</v>
      </c>
      <c r="D61" s="24" t="s">
        <v>78</v>
      </c>
      <c r="E61" s="24"/>
      <c r="F61" s="24" t="str">
        <f aca="false">B61</f>
        <v>KAFY MUHAMMAD AZIZY</v>
      </c>
      <c r="G61" s="24" t="s">
        <v>78</v>
      </c>
      <c r="H61" s="24"/>
      <c r="I61" s="24" t="str">
        <f aca="false">B61</f>
        <v>KAFY MUHAMMAD AZIZY</v>
      </c>
      <c r="J61" s="24" t="s">
        <v>78</v>
      </c>
      <c r="K61" s="24"/>
      <c r="L61" s="24" t="str">
        <f aca="false">B61</f>
        <v>KAFY MUHAMMAD AZIZY</v>
      </c>
      <c r="M61" s="24"/>
      <c r="N61" s="24"/>
      <c r="O61" s="24" t="str">
        <f aca="false">B61</f>
        <v>KAFY MUHAMMAD AZIZY</v>
      </c>
      <c r="P61" s="24"/>
      <c r="Q61" s="24"/>
      <c r="R61" s="24" t="str">
        <f aca="false">B61</f>
        <v>KAFY MUHAMMAD AZIZY</v>
      </c>
      <c r="S61" s="24"/>
      <c r="T61" s="24"/>
      <c r="U61" s="24" t="n">
        <f aca="false">COUNTIF(B61:T61,"H")</f>
        <v>3</v>
      </c>
      <c r="V61" s="24" t="n">
        <f aca="false">COUNTIF(B61:T61,"ST")</f>
        <v>0</v>
      </c>
      <c r="W61" s="24" t="n">
        <f aca="false">COUNTIF(B61:T61,"I")</f>
        <v>0</v>
      </c>
      <c r="X61" s="24" t="n">
        <f aca="false">COUNTIF(B61:T61,"S")</f>
        <v>0</v>
      </c>
      <c r="Y61" s="24" t="n">
        <f aca="false">COUNTIF(B61:T61,"A")</f>
        <v>0</v>
      </c>
      <c r="Z61" s="24" t="str">
        <f aca="false">B61</f>
        <v>KAFY MUHAMMAD AZIZY</v>
      </c>
      <c r="AA61" s="24"/>
    </row>
    <row r="62" customFormat="false" ht="15.75" hidden="false" customHeight="false" outlineLevel="0" collapsed="false">
      <c r="A62" s="24" t="n">
        <v>22</v>
      </c>
      <c r="B62" s="24" t="e">
        <f aca="false">'absensi setoran'!B62</f>
        <v>#REF!</v>
      </c>
      <c r="C62" s="24" t="e">
        <f aca="false">'absensi setoran'!C62</f>
        <v>#REF!</v>
      </c>
      <c r="D62" s="24" t="s">
        <v>78</v>
      </c>
      <c r="E62" s="24"/>
      <c r="F62" s="24" t="e">
        <f aca="false">B62</f>
        <v>#REF!</v>
      </c>
      <c r="G62" s="24" t="s">
        <v>78</v>
      </c>
      <c r="H62" s="24"/>
      <c r="I62" s="24" t="e">
        <f aca="false">B62</f>
        <v>#REF!</v>
      </c>
      <c r="J62" s="24" t="s">
        <v>78</v>
      </c>
      <c r="K62" s="24"/>
      <c r="L62" s="24" t="e">
        <f aca="false">B62</f>
        <v>#REF!</v>
      </c>
      <c r="M62" s="24"/>
      <c r="N62" s="24"/>
      <c r="O62" s="24" t="e">
        <f aca="false">B62</f>
        <v>#REF!</v>
      </c>
      <c r="P62" s="24"/>
      <c r="Q62" s="24"/>
      <c r="R62" s="24" t="e">
        <f aca="false">B62</f>
        <v>#REF!</v>
      </c>
      <c r="S62" s="24"/>
      <c r="T62" s="24"/>
      <c r="U62" s="24" t="n">
        <f aca="false">COUNTIF(B62:T62,"H")</f>
        <v>3</v>
      </c>
      <c r="V62" s="24" t="n">
        <f aca="false">COUNTIF(B62:T62,"ST")</f>
        <v>0</v>
      </c>
      <c r="W62" s="24" t="n">
        <f aca="false">COUNTIF(B62:T62,"I")</f>
        <v>0</v>
      </c>
      <c r="X62" s="24" t="n">
        <f aca="false">COUNTIF(B62:T62,"S")</f>
        <v>0</v>
      </c>
      <c r="Y62" s="24" t="n">
        <f aca="false">COUNTIF(B62:T62,"A")</f>
        <v>0</v>
      </c>
      <c r="Z62" s="24" t="e">
        <f aca="false">B62</f>
        <v>#REF!</v>
      </c>
      <c r="AA62" s="24"/>
    </row>
    <row r="63" customFormat="false" ht="15.75" hidden="false" customHeight="false" outlineLevel="0" collapsed="false">
      <c r="A63" s="24" t="n">
        <v>23</v>
      </c>
      <c r="B63" s="24" t="str">
        <f aca="false">'absensi setoran'!B63</f>
        <v>MUHAMMAD MUNAWWAR KHOLIL</v>
      </c>
      <c r="C63" s="24" t="n">
        <f aca="false">'absensi setoran'!C63</f>
        <v>4</v>
      </c>
      <c r="D63" s="24" t="s">
        <v>78</v>
      </c>
      <c r="E63" s="24"/>
      <c r="F63" s="24" t="str">
        <f aca="false">B63</f>
        <v>MUHAMMAD MUNAWWAR KHOLIL</v>
      </c>
      <c r="G63" s="24" t="s">
        <v>78</v>
      </c>
      <c r="H63" s="24"/>
      <c r="I63" s="24" t="str">
        <f aca="false">B63</f>
        <v>MUHAMMAD MUNAWWAR KHOLIL</v>
      </c>
      <c r="J63" s="24" t="s">
        <v>78</v>
      </c>
      <c r="K63" s="24"/>
      <c r="L63" s="24" t="str">
        <f aca="false">B63</f>
        <v>MUHAMMAD MUNAWWAR KHOLIL</v>
      </c>
      <c r="M63" s="24"/>
      <c r="N63" s="24"/>
      <c r="O63" s="24" t="str">
        <f aca="false">B63</f>
        <v>MUHAMMAD MUNAWWAR KHOLIL</v>
      </c>
      <c r="P63" s="24"/>
      <c r="Q63" s="24"/>
      <c r="R63" s="24" t="str">
        <f aca="false">B63</f>
        <v>MUHAMMAD MUNAWWAR KHOLIL</v>
      </c>
      <c r="S63" s="24"/>
      <c r="T63" s="24"/>
      <c r="U63" s="24" t="n">
        <f aca="false">COUNTIF(B63:T63,"H")</f>
        <v>3</v>
      </c>
      <c r="V63" s="24" t="n">
        <f aca="false">COUNTIF(B63:T63,"ST")</f>
        <v>0</v>
      </c>
      <c r="W63" s="24" t="n">
        <f aca="false">COUNTIF(B63:T63,"I")</f>
        <v>0</v>
      </c>
      <c r="X63" s="24" t="n">
        <f aca="false">COUNTIF(B63:T63,"S")</f>
        <v>0</v>
      </c>
      <c r="Y63" s="24" t="n">
        <f aca="false">COUNTIF(B63:T63,"A")</f>
        <v>0</v>
      </c>
      <c r="Z63" s="24" t="str">
        <f aca="false">B63</f>
        <v>MUHAMMAD MUNAWWAR KHOLIL</v>
      </c>
      <c r="AA63" s="24"/>
    </row>
    <row r="64" customFormat="false" ht="15.75" hidden="false" customHeight="false" outlineLevel="0" collapsed="false">
      <c r="A64" s="24" t="n">
        <v>24</v>
      </c>
      <c r="B64" s="24" t="str">
        <f aca="false">'absensi setoran'!B64</f>
        <v>ALWI</v>
      </c>
      <c r="C64" s="24" t="n">
        <f aca="false">'absensi setoran'!C64</f>
        <v>3</v>
      </c>
      <c r="D64" s="24"/>
      <c r="E64" s="24"/>
      <c r="F64" s="24" t="str">
        <f aca="false">B64</f>
        <v>ALWI</v>
      </c>
      <c r="G64" s="24"/>
      <c r="H64" s="24"/>
      <c r="I64" s="24" t="str">
        <f aca="false">B64</f>
        <v>ALWI</v>
      </c>
      <c r="J64" s="24"/>
      <c r="K64" s="24"/>
      <c r="L64" s="24" t="str">
        <f aca="false">B64</f>
        <v>ALWI</v>
      </c>
      <c r="M64" s="24"/>
      <c r="N64" s="24"/>
      <c r="O64" s="24" t="str">
        <f aca="false">B64</f>
        <v>ALWI</v>
      </c>
      <c r="P64" s="24"/>
      <c r="Q64" s="24"/>
      <c r="R64" s="24" t="str">
        <f aca="false">B64</f>
        <v>ALWI</v>
      </c>
      <c r="S64" s="24"/>
      <c r="T64" s="24"/>
      <c r="U64" s="24" t="n">
        <f aca="false">COUNTIF(B64:T64,"H")</f>
        <v>0</v>
      </c>
      <c r="V64" s="24" t="n">
        <f aca="false">COUNTIF(B64:T64,"ST")</f>
        <v>0</v>
      </c>
      <c r="W64" s="24" t="n">
        <f aca="false">COUNTIF(B64:T64,"I")</f>
        <v>0</v>
      </c>
      <c r="X64" s="24" t="n">
        <f aca="false">COUNTIF(B64:T64,"S")</f>
        <v>0</v>
      </c>
      <c r="Y64" s="24" t="n">
        <f aca="false">COUNTIF(B64:T64,"A")</f>
        <v>0</v>
      </c>
      <c r="Z64" s="24" t="str">
        <f aca="false">B64</f>
        <v>ALWI</v>
      </c>
      <c r="AA64" s="24"/>
    </row>
    <row r="65" customFormat="false" ht="15.75" hidden="false" customHeight="false" outlineLevel="0" collapsed="false">
      <c r="A65" s="24" t="n">
        <v>25</v>
      </c>
      <c r="B65" s="24" t="str">
        <f aca="false">'absensi setoran'!B65</f>
        <v>PIRMAN</v>
      </c>
      <c r="C65" s="24" t="n">
        <f aca="false">'absensi setoran'!C65</f>
        <v>1</v>
      </c>
      <c r="D65" s="24" t="s">
        <v>78</v>
      </c>
      <c r="E65" s="24"/>
      <c r="F65" s="24" t="str">
        <f aca="false">B65</f>
        <v>PIRMAN</v>
      </c>
      <c r="G65" s="24" t="s">
        <v>78</v>
      </c>
      <c r="H65" s="24"/>
      <c r="I65" s="24" t="str">
        <f aca="false">B65</f>
        <v>PIRMAN</v>
      </c>
      <c r="J65" s="24" t="s">
        <v>78</v>
      </c>
      <c r="K65" s="24"/>
      <c r="L65" s="24" t="str">
        <f aca="false">B65</f>
        <v>PIRMAN</v>
      </c>
      <c r="M65" s="24"/>
      <c r="N65" s="24"/>
      <c r="O65" s="24" t="str">
        <f aca="false">B65</f>
        <v>PIRMAN</v>
      </c>
      <c r="P65" s="24"/>
      <c r="Q65" s="24"/>
      <c r="R65" s="24" t="str">
        <f aca="false">B65</f>
        <v>PIRMAN</v>
      </c>
      <c r="S65" s="24"/>
      <c r="T65" s="24"/>
      <c r="U65" s="24" t="n">
        <f aca="false">COUNTIF(B65:T65,"H")</f>
        <v>3</v>
      </c>
      <c r="V65" s="24" t="n">
        <f aca="false">COUNTIF(B65:T65,"ST")</f>
        <v>0</v>
      </c>
      <c r="W65" s="24" t="n">
        <f aca="false">COUNTIF(B65:T65,"I")</f>
        <v>0</v>
      </c>
      <c r="X65" s="24" t="n">
        <f aca="false">COUNTIF(B65:T65,"S")</f>
        <v>0</v>
      </c>
      <c r="Y65" s="24" t="n">
        <f aca="false">COUNTIF(B65:T65,"A")</f>
        <v>0</v>
      </c>
      <c r="Z65" s="24" t="str">
        <f aca="false">B65</f>
        <v>PIRMAN</v>
      </c>
      <c r="AA65" s="24"/>
    </row>
    <row r="66" customFormat="false" ht="15.75" hidden="false" customHeight="false" outlineLevel="0" collapsed="false">
      <c r="A66" s="24" t="n">
        <v>26</v>
      </c>
      <c r="B66" s="24" t="str">
        <f aca="false">'absensi setoran'!B66</f>
        <v>MUHAMMAD DENMAR NABAWI</v>
      </c>
      <c r="C66" s="24" t="n">
        <f aca="false">'absensi setoran'!C66</f>
        <v>1</v>
      </c>
      <c r="D66" s="24"/>
      <c r="E66" s="24"/>
      <c r="F66" s="24" t="str">
        <f aca="false">B66</f>
        <v>MUHAMMAD DENMAR NABAWI</v>
      </c>
      <c r="G66" s="24"/>
      <c r="H66" s="24"/>
      <c r="I66" s="24" t="str">
        <f aca="false">B66</f>
        <v>MUHAMMAD DENMAR NABAWI</v>
      </c>
      <c r="J66" s="24"/>
      <c r="K66" s="24"/>
      <c r="L66" s="24" t="str">
        <f aca="false">B66</f>
        <v>MUHAMMAD DENMAR NABAWI</v>
      </c>
      <c r="M66" s="24"/>
      <c r="N66" s="24"/>
      <c r="O66" s="24" t="str">
        <f aca="false">B66</f>
        <v>MUHAMMAD DENMAR NABAWI</v>
      </c>
      <c r="P66" s="24"/>
      <c r="Q66" s="24"/>
      <c r="R66" s="24" t="str">
        <f aca="false">B66</f>
        <v>MUHAMMAD DENMAR NABAWI</v>
      </c>
      <c r="S66" s="24"/>
      <c r="T66" s="24"/>
      <c r="U66" s="24" t="n">
        <f aca="false">COUNTIF(B66:T66,"H")</f>
        <v>0</v>
      </c>
      <c r="V66" s="24" t="n">
        <f aca="false">COUNTIF(B66:T66,"ST")</f>
        <v>0</v>
      </c>
      <c r="W66" s="24" t="n">
        <f aca="false">COUNTIF(B66:T66,"I")</f>
        <v>0</v>
      </c>
      <c r="X66" s="24" t="n">
        <f aca="false">COUNTIF(B66:T66,"S")</f>
        <v>0</v>
      </c>
      <c r="Y66" s="24" t="n">
        <f aca="false">COUNTIF(B66:T66,"A")</f>
        <v>0</v>
      </c>
      <c r="Z66" s="24" t="str">
        <f aca="false">B66</f>
        <v>MUHAMMAD DENMAR NABAWI</v>
      </c>
      <c r="AA66" s="24"/>
    </row>
    <row r="67" customFormat="false" ht="15.75" hidden="false" customHeight="false" outlineLevel="0" collapsed="false">
      <c r="A67" s="24" t="n">
        <v>27</v>
      </c>
      <c r="B67" s="24" t="e">
        <f aca="false">'absensi setoran'!B67</f>
        <v>#REF!</v>
      </c>
      <c r="C67" s="24" t="e">
        <f aca="false">'absensi setoran'!C67</f>
        <v>#REF!</v>
      </c>
      <c r="D67" s="24" t="s">
        <v>78</v>
      </c>
      <c r="E67" s="24"/>
      <c r="F67" s="24" t="e">
        <f aca="false">B67</f>
        <v>#REF!</v>
      </c>
      <c r="G67" s="24" t="s">
        <v>78</v>
      </c>
      <c r="H67" s="24"/>
      <c r="I67" s="24" t="e">
        <f aca="false">B67</f>
        <v>#REF!</v>
      </c>
      <c r="J67" s="24" t="s">
        <v>78</v>
      </c>
      <c r="K67" s="24"/>
      <c r="L67" s="24" t="e">
        <f aca="false">B67</f>
        <v>#REF!</v>
      </c>
      <c r="M67" s="24"/>
      <c r="N67" s="24"/>
      <c r="O67" s="24" t="e">
        <f aca="false">B67</f>
        <v>#REF!</v>
      </c>
      <c r="P67" s="24"/>
      <c r="Q67" s="24"/>
      <c r="R67" s="24" t="e">
        <f aca="false">B67</f>
        <v>#REF!</v>
      </c>
      <c r="S67" s="24"/>
      <c r="T67" s="24"/>
      <c r="U67" s="24" t="n">
        <f aca="false">COUNTIF(B67:T67,"H")</f>
        <v>3</v>
      </c>
      <c r="V67" s="24" t="n">
        <f aca="false">COUNTIF(B67:T67,"ST")</f>
        <v>0</v>
      </c>
      <c r="W67" s="24" t="n">
        <f aca="false">COUNTIF(B67:T67,"I")</f>
        <v>0</v>
      </c>
      <c r="X67" s="24" t="n">
        <f aca="false">COUNTIF(B67:T67,"S")</f>
        <v>0</v>
      </c>
      <c r="Y67" s="24" t="n">
        <f aca="false">COUNTIF(B67:T67,"A")</f>
        <v>0</v>
      </c>
      <c r="Z67" s="24" t="e">
        <f aca="false">B67</f>
        <v>#REF!</v>
      </c>
      <c r="AA67" s="24"/>
    </row>
    <row r="68" customFormat="false" ht="15.75" hidden="false" customHeight="false" outlineLevel="0" collapsed="false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customFormat="false" ht="15.75" hidden="false" customHeight="false" outlineLevel="0" collapsed="false">
      <c r="A69" s="19" t="s">
        <v>48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24"/>
    </row>
    <row r="70" customFormat="false" ht="15.75" hidden="false" customHeight="fals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24"/>
    </row>
    <row r="71" customFormat="false" ht="15.7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24"/>
    </row>
    <row r="72" customFormat="false" ht="15.75" hidden="false" customHeight="false" outlineLevel="0" collapsed="false">
      <c r="A72" s="20" t="s">
        <v>299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4"/>
    </row>
    <row r="73" customFormat="false" ht="15.75" hidden="false" customHeight="false" outlineLevel="0" collapsed="false">
      <c r="A73" s="21" t="s">
        <v>1</v>
      </c>
      <c r="B73" s="21" t="s">
        <v>2</v>
      </c>
      <c r="C73" s="22"/>
      <c r="D73" s="21" t="s">
        <v>135</v>
      </c>
      <c r="E73" s="21"/>
      <c r="F73" s="21" t="s">
        <v>2</v>
      </c>
      <c r="G73" s="21" t="s">
        <v>136</v>
      </c>
      <c r="H73" s="21"/>
      <c r="I73" s="21" t="s">
        <v>2</v>
      </c>
      <c r="J73" s="21" t="s">
        <v>137</v>
      </c>
      <c r="K73" s="21"/>
      <c r="L73" s="21" t="s">
        <v>2</v>
      </c>
      <c r="M73" s="21" t="s">
        <v>138</v>
      </c>
      <c r="N73" s="21"/>
      <c r="O73" s="21" t="s">
        <v>2</v>
      </c>
      <c r="P73" s="21" t="s">
        <v>139</v>
      </c>
      <c r="Q73" s="21"/>
      <c r="R73" s="21" t="s">
        <v>2</v>
      </c>
      <c r="S73" s="21" t="s">
        <v>140</v>
      </c>
      <c r="T73" s="21"/>
      <c r="U73" s="39" t="s">
        <v>49</v>
      </c>
      <c r="V73" s="39"/>
      <c r="W73" s="39"/>
      <c r="X73" s="39"/>
      <c r="Y73" s="39"/>
      <c r="Z73" s="39"/>
      <c r="AA73" s="24"/>
    </row>
    <row r="74" customFormat="false" ht="15.75" hidden="false" customHeight="false" outlineLevel="0" collapsed="false">
      <c r="A74" s="21"/>
      <c r="B74" s="21"/>
      <c r="C74" s="22" t="s">
        <v>50</v>
      </c>
      <c r="D74" s="40" t="s">
        <v>296</v>
      </c>
      <c r="E74" s="40" t="s">
        <v>67</v>
      </c>
      <c r="F74" s="21"/>
      <c r="G74" s="40" t="s">
        <v>296</v>
      </c>
      <c r="H74" s="40" t="s">
        <v>67</v>
      </c>
      <c r="I74" s="21"/>
      <c r="J74" s="40" t="s">
        <v>296</v>
      </c>
      <c r="K74" s="40" t="s">
        <v>67</v>
      </c>
      <c r="L74" s="21"/>
      <c r="M74" s="40" t="s">
        <v>296</v>
      </c>
      <c r="N74" s="40" t="s">
        <v>69</v>
      </c>
      <c r="O74" s="21"/>
      <c r="P74" s="40" t="s">
        <v>296</v>
      </c>
      <c r="Q74" s="40" t="s">
        <v>67</v>
      </c>
      <c r="R74" s="21"/>
      <c r="S74" s="40" t="s">
        <v>296</v>
      </c>
      <c r="T74" s="40" t="s">
        <v>67</v>
      </c>
      <c r="U74" s="24" t="s">
        <v>51</v>
      </c>
      <c r="V74" s="24" t="s">
        <v>52</v>
      </c>
      <c r="W74" s="24" t="s">
        <v>53</v>
      </c>
      <c r="X74" s="24" t="s">
        <v>54</v>
      </c>
      <c r="Y74" s="24" t="s">
        <v>55</v>
      </c>
      <c r="Z74" s="24"/>
      <c r="AA74" s="24"/>
    </row>
    <row r="75" customFormat="false" ht="15.75" hidden="false" customHeight="false" outlineLevel="0" collapsed="false">
      <c r="A75" s="24" t="n">
        <v>1</v>
      </c>
      <c r="B75" s="24" t="str">
        <f aca="false">'absensi setoran'!B75</f>
        <v>AYI KOSIM HATIMI</v>
      </c>
      <c r="C75" s="24" t="n">
        <f aca="false">'absensi setoran'!C75</f>
        <v>30</v>
      </c>
      <c r="D75" s="24"/>
      <c r="E75" s="24"/>
      <c r="F75" s="24" t="str">
        <f aca="false">B75</f>
        <v>AYI KOSIM HATIMI</v>
      </c>
      <c r="G75" s="24"/>
      <c r="H75" s="24"/>
      <c r="I75" s="24" t="str">
        <f aca="false">B75</f>
        <v>AYI KOSIM HATIMI</v>
      </c>
      <c r="J75" s="24"/>
      <c r="K75" s="24"/>
      <c r="L75" s="24" t="str">
        <f aca="false">B75</f>
        <v>AYI KOSIM HATIMI</v>
      </c>
      <c r="M75" s="24" t="s">
        <v>78</v>
      </c>
      <c r="N75" s="24"/>
      <c r="O75" s="24" t="str">
        <f aca="false">B75</f>
        <v>AYI KOSIM HATIMI</v>
      </c>
      <c r="P75" s="24" t="s">
        <v>78</v>
      </c>
      <c r="Q75" s="24"/>
      <c r="R75" s="24" t="str">
        <f aca="false">B75</f>
        <v>AYI KOSIM HATIMI</v>
      </c>
      <c r="S75" s="24"/>
      <c r="T75" s="24"/>
      <c r="U75" s="24" t="n">
        <f aca="false">COUNTIF(B75:T75,"H")</f>
        <v>2</v>
      </c>
      <c r="V75" s="24" t="n">
        <f aca="false">COUNTIF(B75:T75,"ST")</f>
        <v>0</v>
      </c>
      <c r="W75" s="24" t="n">
        <f aca="false">COUNTIF(B75:T75,"I")</f>
        <v>0</v>
      </c>
      <c r="X75" s="24" t="n">
        <f aca="false">COUNTIF(B75:T75,"S")</f>
        <v>0</v>
      </c>
      <c r="Y75" s="24" t="n">
        <f aca="false">COUNTIF(B75:T75,"A")</f>
        <v>0</v>
      </c>
      <c r="Z75" s="24" t="str">
        <f aca="false">B75</f>
        <v>AYI KOSIM HATIMI</v>
      </c>
      <c r="AA75" s="24"/>
    </row>
    <row r="76" customFormat="false" ht="15.75" hidden="false" customHeight="false" outlineLevel="0" collapsed="false">
      <c r="A76" s="24" t="n">
        <v>2</v>
      </c>
      <c r="B76" s="24" t="str">
        <f aca="false">'absensi setoran'!B76</f>
        <v>ABRURRAHMAN AFANDI</v>
      </c>
      <c r="C76" s="24" t="n">
        <f aca="false">'absensi setoran'!C76</f>
        <v>30</v>
      </c>
      <c r="D76" s="24"/>
      <c r="E76" s="24"/>
      <c r="F76" s="24" t="str">
        <f aca="false">B76</f>
        <v>ABRURRAHMAN AFANDI</v>
      </c>
      <c r="G76" s="24"/>
      <c r="H76" s="24"/>
      <c r="I76" s="24" t="str">
        <f aca="false">B76</f>
        <v>ABRURRAHMAN AFANDI</v>
      </c>
      <c r="J76" s="24"/>
      <c r="K76" s="24"/>
      <c r="L76" s="24" t="str">
        <f aca="false">B76</f>
        <v>ABRURRAHMAN AFANDI</v>
      </c>
      <c r="M76" s="24" t="s">
        <v>78</v>
      </c>
      <c r="N76" s="24"/>
      <c r="O76" s="24" t="str">
        <f aca="false">B76</f>
        <v>ABRURRAHMAN AFANDI</v>
      </c>
      <c r="P76" s="24" t="s">
        <v>78</v>
      </c>
      <c r="Q76" s="24"/>
      <c r="R76" s="24" t="str">
        <f aca="false">B76</f>
        <v>ABRURRAHMAN AFANDI</v>
      </c>
      <c r="S76" s="24"/>
      <c r="T76" s="24"/>
      <c r="U76" s="24" t="n">
        <f aca="false">COUNTIF(B76:T76,"H")</f>
        <v>2</v>
      </c>
      <c r="V76" s="24" t="n">
        <f aca="false">COUNTIF(B76:T76,"ST")</f>
        <v>0</v>
      </c>
      <c r="W76" s="24" t="n">
        <f aca="false">COUNTIF(B76:T76,"I")</f>
        <v>0</v>
      </c>
      <c r="X76" s="24" t="n">
        <f aca="false">COUNTIF(B76:T76,"S")</f>
        <v>0</v>
      </c>
      <c r="Y76" s="24" t="n">
        <f aca="false">COUNTIF(B76:T76,"A")</f>
        <v>0</v>
      </c>
      <c r="Z76" s="24" t="str">
        <f aca="false">B76</f>
        <v>ABRURRAHMAN AFANDI</v>
      </c>
      <c r="AA76" s="24"/>
    </row>
    <row r="77" customFormat="false" ht="15.75" hidden="false" customHeight="false" outlineLevel="0" collapsed="false">
      <c r="A77" s="24" t="n">
        <v>3</v>
      </c>
      <c r="B77" s="24" t="str">
        <f aca="false">'absensi setoran'!B77</f>
        <v>CECEP ABDULATIF</v>
      </c>
      <c r="C77" s="24" t="n">
        <f aca="false">'absensi setoran'!C77</f>
        <v>30</v>
      </c>
      <c r="D77" s="24"/>
      <c r="E77" s="24"/>
      <c r="F77" s="24" t="str">
        <f aca="false">B77</f>
        <v>CECEP ABDULATIF</v>
      </c>
      <c r="G77" s="24"/>
      <c r="H77" s="24"/>
      <c r="I77" s="24" t="str">
        <f aca="false">B77</f>
        <v>CECEP ABDULATIF</v>
      </c>
      <c r="J77" s="24"/>
      <c r="K77" s="24"/>
      <c r="L77" s="24" t="str">
        <f aca="false">B77</f>
        <v>CECEP ABDULATIF</v>
      </c>
      <c r="M77" s="24" t="s">
        <v>78</v>
      </c>
      <c r="N77" s="24"/>
      <c r="O77" s="24" t="str">
        <f aca="false">B77</f>
        <v>CECEP ABDULATIF</v>
      </c>
      <c r="P77" s="24" t="s">
        <v>78</v>
      </c>
      <c r="Q77" s="24"/>
      <c r="R77" s="24" t="str">
        <f aca="false">B77</f>
        <v>CECEP ABDULATIF</v>
      </c>
      <c r="S77" s="24"/>
      <c r="T77" s="24"/>
      <c r="U77" s="24" t="n">
        <f aca="false">COUNTIF(B77:T77,"H")</f>
        <v>2</v>
      </c>
      <c r="V77" s="24" t="n">
        <f aca="false">COUNTIF(B77:T77,"ST")</f>
        <v>0</v>
      </c>
      <c r="W77" s="24" t="n">
        <f aca="false">COUNTIF(B77:T77,"I")</f>
        <v>0</v>
      </c>
      <c r="X77" s="24" t="n">
        <f aca="false">COUNTIF(B77:T77,"S")</f>
        <v>0</v>
      </c>
      <c r="Y77" s="24" t="n">
        <f aca="false">COUNTIF(B77:T77,"A")</f>
        <v>0</v>
      </c>
      <c r="Z77" s="24" t="str">
        <f aca="false">B77</f>
        <v>CECEP ABDULATIF</v>
      </c>
      <c r="AA77" s="24"/>
    </row>
    <row r="78" customFormat="false" ht="15.75" hidden="false" customHeight="false" outlineLevel="0" collapsed="false">
      <c r="A78" s="24" t="n">
        <v>4</v>
      </c>
      <c r="B78" s="24" t="str">
        <f aca="false">'absensi setoran'!B78</f>
        <v>DONI SUPRIATNA</v>
      </c>
      <c r="C78" s="24" t="n">
        <f aca="false">'absensi setoran'!C78</f>
        <v>30</v>
      </c>
      <c r="D78" s="24"/>
      <c r="E78" s="24"/>
      <c r="F78" s="24" t="str">
        <f aca="false">B78</f>
        <v>DONI SUPRIATNA</v>
      </c>
      <c r="G78" s="24"/>
      <c r="H78" s="24"/>
      <c r="I78" s="24" t="str">
        <f aca="false">B78</f>
        <v>DONI SUPRIATNA</v>
      </c>
      <c r="J78" s="24"/>
      <c r="K78" s="24"/>
      <c r="L78" s="24" t="str">
        <f aca="false">B78</f>
        <v>DONI SUPRIATNA</v>
      </c>
      <c r="M78" s="24" t="s">
        <v>97</v>
      </c>
      <c r="N78" s="24" t="s">
        <v>97</v>
      </c>
      <c r="O78" s="24" t="str">
        <f aca="false">B78</f>
        <v>DONI SUPRIATNA</v>
      </c>
      <c r="P78" s="24" t="s">
        <v>97</v>
      </c>
      <c r="Q78" s="24"/>
      <c r="R78" s="24" t="str">
        <f aca="false">B78</f>
        <v>DONI SUPRIATNA</v>
      </c>
      <c r="S78" s="24"/>
      <c r="T78" s="24"/>
      <c r="U78" s="24" t="n">
        <f aca="false">COUNTIF(B78:T78,"H")</f>
        <v>0</v>
      </c>
      <c r="V78" s="24" t="n">
        <f aca="false">COUNTIF(B78:T78,"ST")</f>
        <v>0</v>
      </c>
      <c r="W78" s="24" t="n">
        <f aca="false">COUNTIF(B78:T78,"I")</f>
        <v>3</v>
      </c>
      <c r="X78" s="24" t="n">
        <f aca="false">COUNTIF(B78:T78,"S")</f>
        <v>0</v>
      </c>
      <c r="Y78" s="24" t="n">
        <f aca="false">COUNTIF(B78:T78,"A")</f>
        <v>0</v>
      </c>
      <c r="Z78" s="24" t="str">
        <f aca="false">B78</f>
        <v>DONI SUPRIATNA</v>
      </c>
      <c r="AA78" s="24"/>
    </row>
    <row r="79" customFormat="false" ht="15.75" hidden="false" customHeight="false" outlineLevel="0" collapsed="false">
      <c r="A79" s="24" t="n">
        <v>5</v>
      </c>
      <c r="B79" s="24" t="e">
        <f aca="false">'absensi setoran'!B79</f>
        <v>#REF!</v>
      </c>
      <c r="C79" s="24" t="e">
        <f aca="false">'absensi setoran'!C79</f>
        <v>#REF!</v>
      </c>
      <c r="D79" s="24"/>
      <c r="E79" s="24"/>
      <c r="F79" s="24" t="e">
        <f aca="false">B79</f>
        <v>#REF!</v>
      </c>
      <c r="G79" s="24"/>
      <c r="H79" s="24"/>
      <c r="I79" s="24" t="e">
        <f aca="false">B79</f>
        <v>#REF!</v>
      </c>
      <c r="J79" s="24"/>
      <c r="K79" s="24"/>
      <c r="L79" s="24" t="e">
        <f aca="false">B79</f>
        <v>#REF!</v>
      </c>
      <c r="M79" s="24" t="s">
        <v>78</v>
      </c>
      <c r="N79" s="24" t="s">
        <v>78</v>
      </c>
      <c r="O79" s="24" t="e">
        <f aca="false">B79</f>
        <v>#REF!</v>
      </c>
      <c r="P79" s="24" t="s">
        <v>78</v>
      </c>
      <c r="Q79" s="24"/>
      <c r="R79" s="24" t="e">
        <f aca="false">B79</f>
        <v>#REF!</v>
      </c>
      <c r="S79" s="24"/>
      <c r="T79" s="24"/>
      <c r="U79" s="24" t="n">
        <f aca="false">COUNTIF(B79:T79,"H")</f>
        <v>3</v>
      </c>
      <c r="V79" s="24" t="n">
        <f aca="false">COUNTIF(B79:T79,"ST")</f>
        <v>0</v>
      </c>
      <c r="W79" s="24" t="n">
        <f aca="false">COUNTIF(B79:T79,"I")</f>
        <v>0</v>
      </c>
      <c r="X79" s="24" t="n">
        <f aca="false">COUNTIF(B79:T79,"S")</f>
        <v>0</v>
      </c>
      <c r="Y79" s="24" t="n">
        <f aca="false">COUNTIF(B79:T79,"A")</f>
        <v>0</v>
      </c>
      <c r="Z79" s="24" t="e">
        <f aca="false">B79</f>
        <v>#REF!</v>
      </c>
      <c r="AA79" s="24"/>
    </row>
    <row r="80" customFormat="false" ht="15.75" hidden="false" customHeight="false" outlineLevel="0" collapsed="false">
      <c r="A80" s="24" t="n">
        <v>6</v>
      </c>
      <c r="B80" s="24" t="str">
        <f aca="false">'absensi setoran'!B80</f>
        <v>ZAKY AZHARI</v>
      </c>
      <c r="C80" s="24" t="n">
        <f aca="false">'absensi setoran'!C80</f>
        <v>30</v>
      </c>
      <c r="D80" s="24"/>
      <c r="E80" s="24"/>
      <c r="F80" s="24" t="str">
        <f aca="false">B80</f>
        <v>ZAKY AZHARI</v>
      </c>
      <c r="G80" s="24"/>
      <c r="H80" s="24"/>
      <c r="I80" s="24" t="str">
        <f aca="false">B80</f>
        <v>ZAKY AZHARI</v>
      </c>
      <c r="J80" s="24"/>
      <c r="K80" s="24"/>
      <c r="L80" s="24" t="str">
        <f aca="false">B80</f>
        <v>ZAKY AZHARI</v>
      </c>
      <c r="M80" s="24" t="s">
        <v>78</v>
      </c>
      <c r="N80" s="24"/>
      <c r="O80" s="24" t="str">
        <f aca="false">B80</f>
        <v>ZAKY AZHARI</v>
      </c>
      <c r="P80" s="24" t="s">
        <v>78</v>
      </c>
      <c r="Q80" s="24"/>
      <c r="R80" s="24" t="str">
        <f aca="false">B80</f>
        <v>ZAKY AZHARI</v>
      </c>
      <c r="S80" s="24"/>
      <c r="T80" s="24"/>
      <c r="U80" s="24" t="n">
        <f aca="false">COUNTIF(B80:T80,"H")</f>
        <v>2</v>
      </c>
      <c r="V80" s="24" t="n">
        <f aca="false">COUNTIF(B80:T80,"ST")</f>
        <v>0</v>
      </c>
      <c r="W80" s="24" t="n">
        <f aca="false">COUNTIF(B80:T80,"I")</f>
        <v>0</v>
      </c>
      <c r="X80" s="24" t="n">
        <f aca="false">COUNTIF(B80:T80,"S")</f>
        <v>0</v>
      </c>
      <c r="Y80" s="24" t="n">
        <f aca="false">COUNTIF(B80:T80,"A")</f>
        <v>0</v>
      </c>
      <c r="Z80" s="24" t="str">
        <f aca="false">B80</f>
        <v>ZAKY AZHARI</v>
      </c>
      <c r="AA80" s="24"/>
    </row>
    <row r="81" customFormat="false" ht="15.75" hidden="false" customHeight="false" outlineLevel="0" collapsed="false">
      <c r="A81" s="24" t="n">
        <v>7</v>
      </c>
      <c r="B81" s="24" t="str">
        <f aca="false">'absensi setoran'!B81</f>
        <v>MUHAMMAD FAUZIL ADZIM</v>
      </c>
      <c r="C81" s="24" t="n">
        <f aca="false">'absensi setoran'!C81</f>
        <v>30</v>
      </c>
      <c r="D81" s="24"/>
      <c r="E81" s="24"/>
      <c r="F81" s="24" t="str">
        <f aca="false">B81</f>
        <v>MUHAMMAD FAUZIL ADZIM</v>
      </c>
      <c r="G81" s="24"/>
      <c r="H81" s="24"/>
      <c r="I81" s="24" t="str">
        <f aca="false">B81</f>
        <v>MUHAMMAD FAUZIL ADZIM</v>
      </c>
      <c r="J81" s="24"/>
      <c r="K81" s="24"/>
      <c r="L81" s="24" t="str">
        <f aca="false">B81</f>
        <v>MUHAMMAD FAUZIL ADZIM</v>
      </c>
      <c r="M81" s="24" t="s">
        <v>78</v>
      </c>
      <c r="N81" s="24"/>
      <c r="O81" s="24" t="str">
        <f aca="false">B81</f>
        <v>MUHAMMAD FAUZIL ADZIM</v>
      </c>
      <c r="P81" s="24" t="s">
        <v>78</v>
      </c>
      <c r="Q81" s="24"/>
      <c r="R81" s="24" t="str">
        <f aca="false">B81</f>
        <v>MUHAMMAD FAUZIL ADZIM</v>
      </c>
      <c r="S81" s="24"/>
      <c r="T81" s="24"/>
      <c r="U81" s="24" t="n">
        <f aca="false">COUNTIF(B81:T81,"H")</f>
        <v>2</v>
      </c>
      <c r="V81" s="24" t="n">
        <f aca="false">COUNTIF(B81:T81,"ST")</f>
        <v>0</v>
      </c>
      <c r="W81" s="24" t="n">
        <f aca="false">COUNTIF(B81:T81,"I")</f>
        <v>0</v>
      </c>
      <c r="X81" s="24" t="n">
        <f aca="false">COUNTIF(B81:T81,"S")</f>
        <v>0</v>
      </c>
      <c r="Y81" s="24" t="n">
        <f aca="false">COUNTIF(B81:T81,"A")</f>
        <v>0</v>
      </c>
      <c r="Z81" s="24" t="str">
        <f aca="false">B81</f>
        <v>MUHAMMAD FAUZIL ADZIM</v>
      </c>
      <c r="AA81" s="24"/>
    </row>
    <row r="82" customFormat="false" ht="15.75" hidden="false" customHeight="false" outlineLevel="0" collapsed="false">
      <c r="A82" s="24" t="n">
        <v>8</v>
      </c>
      <c r="B82" s="24" t="str">
        <f aca="false">'absensi setoran'!B82</f>
        <v>MUHAMMAD DZIKRI HUSAENI</v>
      </c>
      <c r="C82" s="24" t="n">
        <f aca="false">'absensi setoran'!C82</f>
        <v>18</v>
      </c>
      <c r="D82" s="24"/>
      <c r="E82" s="24"/>
      <c r="F82" s="24" t="str">
        <f aca="false">B82</f>
        <v>MUHAMMAD DZIKRI HUSAENI</v>
      </c>
      <c r="G82" s="24"/>
      <c r="H82" s="24"/>
      <c r="I82" s="24" t="str">
        <f aca="false">B82</f>
        <v>MUHAMMAD DZIKRI HUSAENI</v>
      </c>
      <c r="J82" s="24"/>
      <c r="K82" s="24"/>
      <c r="L82" s="24" t="str">
        <f aca="false">B82</f>
        <v>MUHAMMAD DZIKRI HUSAENI</v>
      </c>
      <c r="M82" s="24" t="s">
        <v>78</v>
      </c>
      <c r="N82" s="24" t="s">
        <v>78</v>
      </c>
      <c r="O82" s="24" t="str">
        <f aca="false">B82</f>
        <v>MUHAMMAD DZIKRI HUSAENI</v>
      </c>
      <c r="P82" s="24" t="s">
        <v>78</v>
      </c>
      <c r="Q82" s="24"/>
      <c r="R82" s="24" t="str">
        <f aca="false">B82</f>
        <v>MUHAMMAD DZIKRI HUSAENI</v>
      </c>
      <c r="S82" s="24"/>
      <c r="T82" s="24"/>
      <c r="U82" s="24" t="n">
        <f aca="false">COUNTIF(B82:T82,"H")</f>
        <v>3</v>
      </c>
      <c r="V82" s="24" t="n">
        <f aca="false">COUNTIF(B82:T82,"ST")</f>
        <v>0</v>
      </c>
      <c r="W82" s="24" t="n">
        <f aca="false">COUNTIF(B82:T82,"I")</f>
        <v>0</v>
      </c>
      <c r="X82" s="24" t="n">
        <f aca="false">COUNTIF(B82:T82,"S")</f>
        <v>0</v>
      </c>
      <c r="Y82" s="24" t="n">
        <f aca="false">COUNTIF(B82:T82,"A")</f>
        <v>0</v>
      </c>
      <c r="Z82" s="24" t="str">
        <f aca="false">B82</f>
        <v>MUHAMMAD DZIKRI HUSAENI</v>
      </c>
      <c r="AA82" s="24"/>
    </row>
    <row r="83" customFormat="false" ht="15.75" hidden="false" customHeight="false" outlineLevel="0" collapsed="false">
      <c r="A83" s="24" t="n">
        <v>9</v>
      </c>
      <c r="B83" s="24" t="e">
        <f aca="false">'absensi setoran'!B83</f>
        <v>#REF!</v>
      </c>
      <c r="C83" s="24" t="e">
        <f aca="false">'absensi setoran'!C83</f>
        <v>#REF!</v>
      </c>
      <c r="D83" s="24"/>
      <c r="E83" s="24"/>
      <c r="F83" s="24" t="e">
        <f aca="false">B83</f>
        <v>#REF!</v>
      </c>
      <c r="G83" s="24"/>
      <c r="H83" s="24"/>
      <c r="I83" s="24" t="e">
        <f aca="false">B83</f>
        <v>#REF!</v>
      </c>
      <c r="J83" s="24"/>
      <c r="K83" s="24"/>
      <c r="L83" s="24" t="e">
        <f aca="false">B83</f>
        <v>#REF!</v>
      </c>
      <c r="M83" s="24" t="s">
        <v>78</v>
      </c>
      <c r="N83" s="24"/>
      <c r="O83" s="24" t="e">
        <f aca="false">B83</f>
        <v>#REF!</v>
      </c>
      <c r="P83" s="24" t="s">
        <v>78</v>
      </c>
      <c r="Q83" s="24"/>
      <c r="R83" s="24" t="e">
        <f aca="false">B83</f>
        <v>#REF!</v>
      </c>
      <c r="S83" s="24"/>
      <c r="T83" s="24"/>
      <c r="U83" s="24" t="n">
        <f aca="false">COUNTIF(B83:T83,"H")</f>
        <v>2</v>
      </c>
      <c r="V83" s="24" t="n">
        <f aca="false">COUNTIF(B83:T83,"ST")</f>
        <v>0</v>
      </c>
      <c r="W83" s="24" t="n">
        <f aca="false">COUNTIF(B83:T83,"I")</f>
        <v>0</v>
      </c>
      <c r="X83" s="24" t="n">
        <f aca="false">COUNTIF(B83:T83,"S")</f>
        <v>0</v>
      </c>
      <c r="Y83" s="24" t="n">
        <f aca="false">COUNTIF(B83:T83,"A")</f>
        <v>0</v>
      </c>
      <c r="Z83" s="24" t="e">
        <f aca="false">B83</f>
        <v>#REF!</v>
      </c>
      <c r="AA83" s="24"/>
    </row>
    <row r="84" customFormat="false" ht="15.75" hidden="false" customHeight="false" outlineLevel="0" collapsed="false">
      <c r="A84" s="24" t="n">
        <v>10</v>
      </c>
      <c r="B84" s="24" t="str">
        <f aca="false">'absensi setoran'!B84</f>
        <v>ABDUL KHOLIQ</v>
      </c>
      <c r="C84" s="24" t="n">
        <f aca="false">'absensi setoran'!C84</f>
        <v>14</v>
      </c>
      <c r="D84" s="24"/>
      <c r="E84" s="24"/>
      <c r="F84" s="24" t="str">
        <f aca="false">B84</f>
        <v>ABDUL KHOLIQ</v>
      </c>
      <c r="G84" s="24"/>
      <c r="H84" s="24"/>
      <c r="I84" s="24" t="str">
        <f aca="false">B84</f>
        <v>ABDUL KHOLIQ</v>
      </c>
      <c r="J84" s="24"/>
      <c r="K84" s="24"/>
      <c r="L84" s="24" t="str">
        <f aca="false">B84</f>
        <v>ABDUL KHOLIQ</v>
      </c>
      <c r="M84" s="24" t="s">
        <v>78</v>
      </c>
      <c r="N84" s="24"/>
      <c r="O84" s="24" t="str">
        <f aca="false">B84</f>
        <v>ABDUL KHOLIQ</v>
      </c>
      <c r="P84" s="24" t="s">
        <v>78</v>
      </c>
      <c r="Q84" s="24"/>
      <c r="R84" s="24" t="str">
        <f aca="false">B84</f>
        <v>ABDUL KHOLIQ</v>
      </c>
      <c r="S84" s="24"/>
      <c r="T84" s="24"/>
      <c r="U84" s="24" t="n">
        <f aca="false">COUNTIF(B84:T84,"H")</f>
        <v>2</v>
      </c>
      <c r="V84" s="24" t="n">
        <f aca="false">COUNTIF(B84:T84,"ST")</f>
        <v>0</v>
      </c>
      <c r="W84" s="24" t="n">
        <f aca="false">COUNTIF(B84:T84,"I")</f>
        <v>0</v>
      </c>
      <c r="X84" s="24" t="n">
        <f aca="false">COUNTIF(B84:T84,"S")</f>
        <v>0</v>
      </c>
      <c r="Y84" s="24" t="n">
        <f aca="false">COUNTIF(B84:T84,"A")</f>
        <v>0</v>
      </c>
      <c r="Z84" s="24" t="str">
        <f aca="false">B84</f>
        <v>ABDUL KHOLIQ</v>
      </c>
      <c r="AA84" s="24"/>
    </row>
    <row r="85" customFormat="false" ht="15.75" hidden="false" customHeight="false" outlineLevel="0" collapsed="false">
      <c r="A85" s="24" t="n">
        <v>11</v>
      </c>
      <c r="B85" s="24" t="str">
        <f aca="false">'absensi setoran'!B85</f>
        <v>IYAN FARID</v>
      </c>
      <c r="C85" s="24" t="n">
        <f aca="false">'absensi setoran'!C85</f>
        <v>13</v>
      </c>
      <c r="D85" s="24"/>
      <c r="E85" s="24"/>
      <c r="F85" s="24" t="str">
        <f aca="false">B85</f>
        <v>IYAN FARID</v>
      </c>
      <c r="G85" s="24"/>
      <c r="H85" s="24"/>
      <c r="I85" s="24" t="str">
        <f aca="false">B85</f>
        <v>IYAN FARID</v>
      </c>
      <c r="J85" s="24"/>
      <c r="K85" s="24"/>
      <c r="L85" s="24" t="str">
        <f aca="false">B85</f>
        <v>IYAN FARID</v>
      </c>
      <c r="M85" s="24" t="s">
        <v>78</v>
      </c>
      <c r="N85" s="24"/>
      <c r="O85" s="24" t="str">
        <f aca="false">B85</f>
        <v>IYAN FARID</v>
      </c>
      <c r="P85" s="24" t="s">
        <v>78</v>
      </c>
      <c r="Q85" s="24"/>
      <c r="R85" s="24" t="str">
        <f aca="false">B85</f>
        <v>IYAN FARID</v>
      </c>
      <c r="S85" s="24"/>
      <c r="T85" s="24"/>
      <c r="U85" s="24" t="n">
        <f aca="false">COUNTIF(B85:T85,"H")</f>
        <v>2</v>
      </c>
      <c r="V85" s="24" t="n">
        <f aca="false">COUNTIF(B85:T85,"ST")</f>
        <v>0</v>
      </c>
      <c r="W85" s="24" t="n">
        <f aca="false">COUNTIF(B85:T85,"I")</f>
        <v>0</v>
      </c>
      <c r="X85" s="24" t="n">
        <f aca="false">COUNTIF(B85:T85,"S")</f>
        <v>0</v>
      </c>
      <c r="Y85" s="24" t="n">
        <f aca="false">COUNTIF(B85:T85,"A")</f>
        <v>0</v>
      </c>
      <c r="Z85" s="24" t="str">
        <f aca="false">B85</f>
        <v>IYAN FARID</v>
      </c>
      <c r="AA85" s="24"/>
    </row>
    <row r="86" customFormat="false" ht="15.75" hidden="false" customHeight="false" outlineLevel="0" collapsed="false">
      <c r="A86" s="24" t="n">
        <v>12</v>
      </c>
      <c r="B86" s="24" t="str">
        <f aca="false">'absensi setoran'!B86</f>
        <v>ZAENI NURIL HIKAM</v>
      </c>
      <c r="C86" s="24" t="n">
        <f aca="false">'absensi setoran'!C86</f>
        <v>12</v>
      </c>
      <c r="D86" s="24"/>
      <c r="E86" s="24"/>
      <c r="F86" s="24" t="str">
        <f aca="false">B86</f>
        <v>ZAENI NURIL HIKAM</v>
      </c>
      <c r="G86" s="24"/>
      <c r="H86" s="24"/>
      <c r="I86" s="24" t="str">
        <f aca="false">B86</f>
        <v>ZAENI NURIL HIKAM</v>
      </c>
      <c r="J86" s="24"/>
      <c r="K86" s="24"/>
      <c r="L86" s="24" t="str">
        <f aca="false">B86</f>
        <v>ZAENI NURIL HIKAM</v>
      </c>
      <c r="M86" s="24" t="s">
        <v>78</v>
      </c>
      <c r="N86" s="24"/>
      <c r="O86" s="24" t="str">
        <f aca="false">B86</f>
        <v>ZAENI NURIL HIKAM</v>
      </c>
      <c r="P86" s="24" t="s">
        <v>78</v>
      </c>
      <c r="Q86" s="24"/>
      <c r="R86" s="24" t="str">
        <f aca="false">B86</f>
        <v>ZAENI NURIL HIKAM</v>
      </c>
      <c r="S86" s="24"/>
      <c r="T86" s="24"/>
      <c r="U86" s="24" t="n">
        <f aca="false">COUNTIF(B86:T86,"H")</f>
        <v>2</v>
      </c>
      <c r="V86" s="24" t="n">
        <f aca="false">COUNTIF(B86:T86,"ST")</f>
        <v>0</v>
      </c>
      <c r="W86" s="24" t="n">
        <f aca="false">COUNTIF(B86:T86,"I")</f>
        <v>0</v>
      </c>
      <c r="X86" s="24" t="n">
        <f aca="false">COUNTIF(B86:T86,"S")</f>
        <v>0</v>
      </c>
      <c r="Y86" s="24" t="n">
        <f aca="false">COUNTIF(B86:T86,"A")</f>
        <v>0</v>
      </c>
      <c r="Z86" s="24" t="str">
        <f aca="false">B86</f>
        <v>ZAENI NURIL HIKAM</v>
      </c>
      <c r="AA86" s="24"/>
    </row>
    <row r="87" customFormat="false" ht="15.75" hidden="false" customHeight="false" outlineLevel="0" collapsed="false">
      <c r="A87" s="24" t="n">
        <v>13</v>
      </c>
      <c r="B87" s="24" t="str">
        <f aca="false">'absensi setoran'!B87</f>
        <v>LUCKY KURNIAWAN</v>
      </c>
      <c r="C87" s="24" t="n">
        <f aca="false">'absensi setoran'!C87</f>
        <v>12</v>
      </c>
      <c r="D87" s="24"/>
      <c r="E87" s="24"/>
      <c r="F87" s="24" t="str">
        <f aca="false">B87</f>
        <v>LUCKY KURNIAWAN</v>
      </c>
      <c r="G87" s="24"/>
      <c r="H87" s="24"/>
      <c r="I87" s="24" t="str">
        <f aca="false">B87</f>
        <v>LUCKY KURNIAWAN</v>
      </c>
      <c r="J87" s="24"/>
      <c r="K87" s="24"/>
      <c r="L87" s="24" t="str">
        <f aca="false">B87</f>
        <v>LUCKY KURNIAWAN</v>
      </c>
      <c r="M87" s="24" t="s">
        <v>78</v>
      </c>
      <c r="N87" s="24"/>
      <c r="O87" s="24" t="str">
        <f aca="false">B87</f>
        <v>LUCKY KURNIAWAN</v>
      </c>
      <c r="P87" s="24" t="s">
        <v>78</v>
      </c>
      <c r="Q87" s="24"/>
      <c r="R87" s="24" t="str">
        <f aca="false">B87</f>
        <v>LUCKY KURNIAWAN</v>
      </c>
      <c r="S87" s="24"/>
      <c r="T87" s="24"/>
      <c r="U87" s="24" t="n">
        <f aca="false">COUNTIF(B87:T87,"H")</f>
        <v>2</v>
      </c>
      <c r="V87" s="24" t="n">
        <f aca="false">COUNTIF(B87:T87,"ST")</f>
        <v>0</v>
      </c>
      <c r="W87" s="24" t="n">
        <f aca="false">COUNTIF(B87:T87,"I")</f>
        <v>0</v>
      </c>
      <c r="X87" s="24" t="n">
        <f aca="false">COUNTIF(B87:T87,"S")</f>
        <v>0</v>
      </c>
      <c r="Y87" s="24" t="n">
        <f aca="false">COUNTIF(B87:T87,"A")</f>
        <v>0</v>
      </c>
      <c r="Z87" s="24" t="str">
        <f aca="false">B87</f>
        <v>LUCKY KURNIAWAN</v>
      </c>
      <c r="AA87" s="24"/>
    </row>
    <row r="88" customFormat="false" ht="15.75" hidden="false" customHeight="false" outlineLevel="0" collapsed="false">
      <c r="A88" s="24" t="n">
        <v>14</v>
      </c>
      <c r="B88" s="24" t="str">
        <f aca="false">'absensi setoran'!B88</f>
        <v>MUHAMMAD RAFIK MUHARAM</v>
      </c>
      <c r="C88" s="24" t="n">
        <f aca="false">'absensi setoran'!C88</f>
        <v>12</v>
      </c>
      <c r="D88" s="24"/>
      <c r="E88" s="24"/>
      <c r="F88" s="24" t="str">
        <f aca="false">B88</f>
        <v>MUHAMMAD RAFIK MUHARAM</v>
      </c>
      <c r="G88" s="24"/>
      <c r="H88" s="24"/>
      <c r="I88" s="24" t="str">
        <f aca="false">B88</f>
        <v>MUHAMMAD RAFIK MUHARAM</v>
      </c>
      <c r="J88" s="24"/>
      <c r="K88" s="24"/>
      <c r="L88" s="24" t="str">
        <f aca="false">B88</f>
        <v>MUHAMMAD RAFIK MUHARAM</v>
      </c>
      <c r="M88" s="24" t="s">
        <v>78</v>
      </c>
      <c r="N88" s="24"/>
      <c r="O88" s="24" t="str">
        <f aca="false">B88</f>
        <v>MUHAMMAD RAFIK MUHARAM</v>
      </c>
      <c r="P88" s="24" t="s">
        <v>78</v>
      </c>
      <c r="Q88" s="24"/>
      <c r="R88" s="24" t="str">
        <f aca="false">B88</f>
        <v>MUHAMMAD RAFIK MUHARAM</v>
      </c>
      <c r="S88" s="24"/>
      <c r="T88" s="24"/>
      <c r="U88" s="24" t="n">
        <f aca="false">COUNTIF(B88:T88,"H")</f>
        <v>2</v>
      </c>
      <c r="V88" s="24" t="n">
        <f aca="false">COUNTIF(B88:T88,"ST")</f>
        <v>0</v>
      </c>
      <c r="W88" s="24" t="n">
        <f aca="false">COUNTIF(B88:T88,"I")</f>
        <v>0</v>
      </c>
      <c r="X88" s="24" t="n">
        <f aca="false">COUNTIF(B88:T88,"S")</f>
        <v>0</v>
      </c>
      <c r="Y88" s="24" t="n">
        <f aca="false">COUNTIF(B88:T88,"A")</f>
        <v>0</v>
      </c>
      <c r="Z88" s="24" t="str">
        <f aca="false">B88</f>
        <v>MUHAMMAD RAFIK MUHARAM</v>
      </c>
      <c r="AA88" s="24"/>
    </row>
    <row r="89" customFormat="false" ht="15.75" hidden="false" customHeight="false" outlineLevel="0" collapsed="false">
      <c r="A89" s="24" t="n">
        <v>15</v>
      </c>
      <c r="B89" s="24" t="str">
        <f aca="false">'absensi setoran'!B89</f>
        <v>UMAR ABDUL MALIK</v>
      </c>
      <c r="C89" s="24" t="n">
        <f aca="false">'absensi setoran'!C89</f>
        <v>11</v>
      </c>
      <c r="D89" s="24"/>
      <c r="E89" s="24"/>
      <c r="F89" s="24" t="str">
        <f aca="false">B89</f>
        <v>UMAR ABDUL MALIK</v>
      </c>
      <c r="G89" s="24"/>
      <c r="H89" s="24"/>
      <c r="I89" s="24" t="str">
        <f aca="false">B89</f>
        <v>UMAR ABDUL MALIK</v>
      </c>
      <c r="J89" s="24"/>
      <c r="K89" s="24"/>
      <c r="L89" s="24" t="str">
        <f aca="false">B89</f>
        <v>UMAR ABDUL MALIK</v>
      </c>
      <c r="M89" s="24" t="s">
        <v>78</v>
      </c>
      <c r="N89" s="24"/>
      <c r="O89" s="24" t="str">
        <f aca="false">B89</f>
        <v>UMAR ABDUL MALIK</v>
      </c>
      <c r="P89" s="24" t="s">
        <v>78</v>
      </c>
      <c r="Q89" s="24"/>
      <c r="R89" s="24" t="str">
        <f aca="false">B89</f>
        <v>UMAR ABDUL MALIK</v>
      </c>
      <c r="S89" s="24"/>
      <c r="T89" s="24"/>
      <c r="U89" s="24" t="n">
        <f aca="false">COUNTIF(B89:T89,"H")</f>
        <v>2</v>
      </c>
      <c r="V89" s="24" t="n">
        <f aca="false">COUNTIF(B89:T89,"ST")</f>
        <v>0</v>
      </c>
      <c r="W89" s="24" t="n">
        <f aca="false">COUNTIF(B89:T89,"I")</f>
        <v>0</v>
      </c>
      <c r="X89" s="24" t="n">
        <f aca="false">COUNTIF(B89:T89,"S")</f>
        <v>0</v>
      </c>
      <c r="Y89" s="24" t="n">
        <f aca="false">COUNTIF(B89:T89,"A")</f>
        <v>0</v>
      </c>
      <c r="Z89" s="24" t="str">
        <f aca="false">B89</f>
        <v>UMAR ABDUL MALIK</v>
      </c>
      <c r="AA89" s="24"/>
    </row>
    <row r="90" customFormat="false" ht="15.75" hidden="false" customHeight="false" outlineLevel="0" collapsed="false">
      <c r="A90" s="24" t="n">
        <v>16</v>
      </c>
      <c r="B90" s="24" t="str">
        <f aca="false">'absensi setoran'!B90</f>
        <v>AHMAD HAFIDZ ALHAWARI</v>
      </c>
      <c r="C90" s="24" t="n">
        <f aca="false">'absensi setoran'!C90</f>
        <v>10</v>
      </c>
      <c r="D90" s="24"/>
      <c r="E90" s="24"/>
      <c r="F90" s="24" t="str">
        <f aca="false">B90</f>
        <v>AHMAD HAFIDZ ALHAWARI</v>
      </c>
      <c r="G90" s="24"/>
      <c r="H90" s="24"/>
      <c r="I90" s="24" t="str">
        <f aca="false">B90</f>
        <v>AHMAD HAFIDZ ALHAWARI</v>
      </c>
      <c r="J90" s="24"/>
      <c r="K90" s="24"/>
      <c r="L90" s="24" t="str">
        <f aca="false">B90</f>
        <v>AHMAD HAFIDZ ALHAWARI</v>
      </c>
      <c r="M90" s="24" t="s">
        <v>78</v>
      </c>
      <c r="N90" s="24" t="s">
        <v>78</v>
      </c>
      <c r="O90" s="24" t="str">
        <f aca="false">B90</f>
        <v>AHMAD HAFIDZ ALHAWARI</v>
      </c>
      <c r="P90" s="24" t="s">
        <v>78</v>
      </c>
      <c r="Q90" s="24"/>
      <c r="R90" s="24" t="str">
        <f aca="false">B90</f>
        <v>AHMAD HAFIDZ ALHAWARI</v>
      </c>
      <c r="S90" s="24"/>
      <c r="T90" s="24"/>
      <c r="U90" s="24" t="n">
        <f aca="false">COUNTIF(B90:T90,"H")</f>
        <v>3</v>
      </c>
      <c r="V90" s="24" t="n">
        <f aca="false">COUNTIF(B90:T90,"ST")</f>
        <v>0</v>
      </c>
      <c r="W90" s="24" t="n">
        <f aca="false">COUNTIF(B90:T90,"I")</f>
        <v>0</v>
      </c>
      <c r="X90" s="24" t="n">
        <f aca="false">COUNTIF(B90:T90,"S")</f>
        <v>0</v>
      </c>
      <c r="Y90" s="24" t="n">
        <f aca="false">COUNTIF(B90:T90,"A")</f>
        <v>0</v>
      </c>
      <c r="Z90" s="24" t="str">
        <f aca="false">B90</f>
        <v>AHMAD HAFIDZ ALHAWARI</v>
      </c>
      <c r="AA90" s="24"/>
    </row>
    <row r="91" customFormat="false" ht="15.75" hidden="false" customHeight="false" outlineLevel="0" collapsed="false">
      <c r="A91" s="24" t="n">
        <v>17</v>
      </c>
      <c r="B91" s="24" t="str">
        <f aca="false">'absensi setoran'!B91</f>
        <v>MUHAMMAD FAUZAN</v>
      </c>
      <c r="C91" s="24" t="n">
        <f aca="false">'absensi setoran'!C91</f>
        <v>10</v>
      </c>
      <c r="D91" s="24"/>
      <c r="E91" s="24"/>
      <c r="F91" s="24" t="str">
        <f aca="false">B91</f>
        <v>MUHAMMAD FAUZAN</v>
      </c>
      <c r="G91" s="24"/>
      <c r="H91" s="24"/>
      <c r="I91" s="24" t="str">
        <f aca="false">B91</f>
        <v>MUHAMMAD FAUZAN</v>
      </c>
      <c r="J91" s="24"/>
      <c r="K91" s="24"/>
      <c r="L91" s="24" t="str">
        <f aca="false">B91</f>
        <v>MUHAMMAD FAUZAN</v>
      </c>
      <c r="M91" s="24" t="s">
        <v>78</v>
      </c>
      <c r="N91" s="24" t="s">
        <v>78</v>
      </c>
      <c r="O91" s="24" t="str">
        <f aca="false">B91</f>
        <v>MUHAMMAD FAUZAN</v>
      </c>
      <c r="P91" s="24" t="s">
        <v>78</v>
      </c>
      <c r="Q91" s="24"/>
      <c r="R91" s="24" t="str">
        <f aca="false">B91</f>
        <v>MUHAMMAD FAUZAN</v>
      </c>
      <c r="S91" s="24"/>
      <c r="T91" s="24"/>
      <c r="U91" s="24" t="n">
        <f aca="false">COUNTIF(B91:T91,"H")</f>
        <v>3</v>
      </c>
      <c r="V91" s="24" t="n">
        <f aca="false">COUNTIF(B91:T91,"ST")</f>
        <v>0</v>
      </c>
      <c r="W91" s="24" t="n">
        <f aca="false">COUNTIF(B91:T91,"I")</f>
        <v>0</v>
      </c>
      <c r="X91" s="24" t="n">
        <f aca="false">COUNTIF(B91:T91,"S")</f>
        <v>0</v>
      </c>
      <c r="Y91" s="24" t="n">
        <f aca="false">COUNTIF(B91:T91,"A")</f>
        <v>0</v>
      </c>
      <c r="Z91" s="24" t="str">
        <f aca="false">B91</f>
        <v>MUHAMMAD FAUZAN</v>
      </c>
      <c r="AA91" s="24"/>
    </row>
    <row r="92" customFormat="false" ht="15.75" hidden="false" customHeight="false" outlineLevel="0" collapsed="false">
      <c r="A92" s="24" t="n">
        <v>18</v>
      </c>
      <c r="B92" s="24" t="str">
        <f aca="false">'absensi setoran'!B92</f>
        <v>AKBAR RAMADAN</v>
      </c>
      <c r="C92" s="24" t="n">
        <f aca="false">'absensi setoran'!C92</f>
        <v>9</v>
      </c>
      <c r="D92" s="24"/>
      <c r="E92" s="24"/>
      <c r="F92" s="24" t="str">
        <f aca="false">B92</f>
        <v>AKBAR RAMADAN</v>
      </c>
      <c r="G92" s="24"/>
      <c r="H92" s="24"/>
      <c r="I92" s="24" t="str">
        <f aca="false">B92</f>
        <v>AKBAR RAMADAN</v>
      </c>
      <c r="J92" s="24"/>
      <c r="K92" s="24"/>
      <c r="L92" s="24" t="str">
        <f aca="false">B92</f>
        <v>AKBAR RAMADAN</v>
      </c>
      <c r="M92" s="24" t="s">
        <v>78</v>
      </c>
      <c r="N92" s="24" t="s">
        <v>78</v>
      </c>
      <c r="O92" s="24" t="str">
        <f aca="false">B92</f>
        <v>AKBAR RAMADAN</v>
      </c>
      <c r="P92" s="24" t="s">
        <v>78</v>
      </c>
      <c r="Q92" s="24"/>
      <c r="R92" s="24" t="str">
        <f aca="false">B92</f>
        <v>AKBAR RAMADAN</v>
      </c>
      <c r="S92" s="24"/>
      <c r="T92" s="24"/>
      <c r="U92" s="24" t="n">
        <f aca="false">COUNTIF(B92:T92,"H")</f>
        <v>3</v>
      </c>
      <c r="V92" s="24" t="n">
        <f aca="false">COUNTIF(B92:T92,"ST")</f>
        <v>0</v>
      </c>
      <c r="W92" s="24" t="n">
        <f aca="false">COUNTIF(B92:T92,"I")</f>
        <v>0</v>
      </c>
      <c r="X92" s="24" t="n">
        <f aca="false">COUNTIF(B92:T92,"S")</f>
        <v>0</v>
      </c>
      <c r="Y92" s="24" t="n">
        <f aca="false">COUNTIF(B92:T92,"A")</f>
        <v>0</v>
      </c>
      <c r="Z92" s="24" t="str">
        <f aca="false">B92</f>
        <v>AKBAR RAMADAN</v>
      </c>
      <c r="AA92" s="24"/>
    </row>
    <row r="93" customFormat="false" ht="15.75" hidden="false" customHeight="false" outlineLevel="0" collapsed="false">
      <c r="A93" s="24" t="n">
        <v>19</v>
      </c>
      <c r="B93" s="24" t="e">
        <f aca="false">'absensi setoran'!B93</f>
        <v>#REF!</v>
      </c>
      <c r="C93" s="24" t="e">
        <f aca="false">'absensi setoran'!C93</f>
        <v>#REF!</v>
      </c>
      <c r="D93" s="24"/>
      <c r="E93" s="24"/>
      <c r="F93" s="24" t="e">
        <f aca="false">B93</f>
        <v>#REF!</v>
      </c>
      <c r="G93" s="24"/>
      <c r="H93" s="24"/>
      <c r="I93" s="24" t="e">
        <f aca="false">B93</f>
        <v>#REF!</v>
      </c>
      <c r="J93" s="24"/>
      <c r="K93" s="24"/>
      <c r="L93" s="24" t="e">
        <f aca="false">B93</f>
        <v>#REF!</v>
      </c>
      <c r="M93" s="24" t="s">
        <v>78</v>
      </c>
      <c r="N93" s="24" t="s">
        <v>78</v>
      </c>
      <c r="O93" s="24" t="e">
        <f aca="false">B93</f>
        <v>#REF!</v>
      </c>
      <c r="P93" s="24" t="s">
        <v>78</v>
      </c>
      <c r="Q93" s="24"/>
      <c r="R93" s="24" t="e">
        <f aca="false">B93</f>
        <v>#REF!</v>
      </c>
      <c r="S93" s="24"/>
      <c r="T93" s="24"/>
      <c r="U93" s="24" t="n">
        <f aca="false">COUNTIF(B93:T93,"H")</f>
        <v>3</v>
      </c>
      <c r="V93" s="24" t="n">
        <f aca="false">COUNTIF(B93:T93,"ST")</f>
        <v>0</v>
      </c>
      <c r="W93" s="24" t="n">
        <f aca="false">COUNTIF(B93:T93,"I")</f>
        <v>0</v>
      </c>
      <c r="X93" s="24" t="n">
        <f aca="false">COUNTIF(B93:T93,"S")</f>
        <v>0</v>
      </c>
      <c r="Y93" s="24" t="n">
        <f aca="false">COUNTIF(B93:T93,"A")</f>
        <v>0</v>
      </c>
      <c r="Z93" s="24" t="e">
        <f aca="false">B93</f>
        <v>#REF!</v>
      </c>
      <c r="AA93" s="24"/>
    </row>
    <row r="94" customFormat="false" ht="15.75" hidden="false" customHeight="false" outlineLevel="0" collapsed="false">
      <c r="A94" s="24" t="n">
        <v>20</v>
      </c>
      <c r="B94" s="24" t="str">
        <f aca="false">'absensi setoran'!B94</f>
        <v>ABIDZAR ALGHIFARI</v>
      </c>
      <c r="C94" s="24" t="n">
        <f aca="false">'absensi setoran'!C94</f>
        <v>8</v>
      </c>
      <c r="D94" s="24"/>
      <c r="E94" s="24"/>
      <c r="F94" s="24" t="str">
        <f aca="false">B94</f>
        <v>ABIDZAR ALGHIFARI</v>
      </c>
      <c r="G94" s="24"/>
      <c r="H94" s="24"/>
      <c r="I94" s="24" t="str">
        <f aca="false">B94</f>
        <v>ABIDZAR ALGHIFARI</v>
      </c>
      <c r="J94" s="24"/>
      <c r="K94" s="24"/>
      <c r="L94" s="24" t="str">
        <f aca="false">B94</f>
        <v>ABIDZAR ALGHIFARI</v>
      </c>
      <c r="M94" s="24" t="s">
        <v>78</v>
      </c>
      <c r="N94" s="24" t="s">
        <v>78</v>
      </c>
      <c r="O94" s="24" t="str">
        <f aca="false">B94</f>
        <v>ABIDZAR ALGHIFARI</v>
      </c>
      <c r="P94" s="24" t="s">
        <v>78</v>
      </c>
      <c r="Q94" s="24"/>
      <c r="R94" s="24" t="str">
        <f aca="false">B94</f>
        <v>ABIDZAR ALGHIFARI</v>
      </c>
      <c r="S94" s="24"/>
      <c r="T94" s="24"/>
      <c r="U94" s="24" t="n">
        <f aca="false">COUNTIF(B94:T94,"H")</f>
        <v>3</v>
      </c>
      <c r="V94" s="24" t="n">
        <f aca="false">COUNTIF(B94:T94,"ST")</f>
        <v>0</v>
      </c>
      <c r="W94" s="24" t="n">
        <f aca="false">COUNTIF(B94:T94,"I")</f>
        <v>0</v>
      </c>
      <c r="X94" s="24" t="n">
        <f aca="false">COUNTIF(B94:T94,"S")</f>
        <v>0</v>
      </c>
      <c r="Y94" s="24" t="n">
        <f aca="false">COUNTIF(B94:T94,"A")</f>
        <v>0</v>
      </c>
      <c r="Z94" s="24" t="str">
        <f aca="false">B94</f>
        <v>ABIDZAR ALGHIFARI</v>
      </c>
      <c r="AA94" s="24"/>
    </row>
    <row r="95" customFormat="false" ht="15.75" hidden="false" customHeight="false" outlineLevel="0" collapsed="false">
      <c r="A95" s="24" t="n">
        <v>21</v>
      </c>
      <c r="B95" s="24" t="str">
        <f aca="false">'absensi setoran'!B95</f>
        <v>KAFY MUHAMMAD AZIZY</v>
      </c>
      <c r="C95" s="24" t="n">
        <f aca="false">'absensi setoran'!C95</f>
        <v>7</v>
      </c>
      <c r="D95" s="24"/>
      <c r="E95" s="24"/>
      <c r="F95" s="24" t="str">
        <f aca="false">B95</f>
        <v>KAFY MUHAMMAD AZIZY</v>
      </c>
      <c r="G95" s="24"/>
      <c r="H95" s="24"/>
      <c r="I95" s="24" t="str">
        <f aca="false">B95</f>
        <v>KAFY MUHAMMAD AZIZY</v>
      </c>
      <c r="J95" s="24"/>
      <c r="K95" s="24"/>
      <c r="L95" s="24" t="str">
        <f aca="false">B95</f>
        <v>KAFY MUHAMMAD AZIZY</v>
      </c>
      <c r="M95" s="24" t="s">
        <v>78</v>
      </c>
      <c r="N95" s="24" t="s">
        <v>78</v>
      </c>
      <c r="O95" s="24" t="str">
        <f aca="false">B95</f>
        <v>KAFY MUHAMMAD AZIZY</v>
      </c>
      <c r="P95" s="24" t="s">
        <v>78</v>
      </c>
      <c r="Q95" s="24"/>
      <c r="R95" s="24" t="str">
        <f aca="false">B95</f>
        <v>KAFY MUHAMMAD AZIZY</v>
      </c>
      <c r="S95" s="24"/>
      <c r="T95" s="24"/>
      <c r="U95" s="24" t="n">
        <f aca="false">COUNTIF(B95:T95,"H")</f>
        <v>3</v>
      </c>
      <c r="V95" s="24" t="n">
        <f aca="false">COUNTIF(B95:T95,"ST")</f>
        <v>0</v>
      </c>
      <c r="W95" s="24" t="n">
        <f aca="false">COUNTIF(B95:T95,"I")</f>
        <v>0</v>
      </c>
      <c r="X95" s="24" t="n">
        <f aca="false">COUNTIF(B95:T95,"S")</f>
        <v>0</v>
      </c>
      <c r="Y95" s="24" t="n">
        <f aca="false">COUNTIF(B95:T95,"A")</f>
        <v>0</v>
      </c>
      <c r="Z95" s="24" t="str">
        <f aca="false">B95</f>
        <v>KAFY MUHAMMAD AZIZY</v>
      </c>
      <c r="AA95" s="24"/>
    </row>
    <row r="96" customFormat="false" ht="15.75" hidden="false" customHeight="false" outlineLevel="0" collapsed="false">
      <c r="A96" s="24" t="n">
        <v>22</v>
      </c>
      <c r="B96" s="24" t="e">
        <f aca="false">'absensi setoran'!B96</f>
        <v>#REF!</v>
      </c>
      <c r="C96" s="24" t="e">
        <f aca="false">'absensi setoran'!C96</f>
        <v>#REF!</v>
      </c>
      <c r="D96" s="24"/>
      <c r="E96" s="24"/>
      <c r="F96" s="24" t="e">
        <f aca="false">B96</f>
        <v>#REF!</v>
      </c>
      <c r="G96" s="24"/>
      <c r="H96" s="24"/>
      <c r="I96" s="24" t="e">
        <f aca="false">B96</f>
        <v>#REF!</v>
      </c>
      <c r="J96" s="24"/>
      <c r="K96" s="24"/>
      <c r="L96" s="24" t="e">
        <f aca="false">B96</f>
        <v>#REF!</v>
      </c>
      <c r="M96" s="24" t="s">
        <v>78</v>
      </c>
      <c r="N96" s="24" t="s">
        <v>78</v>
      </c>
      <c r="O96" s="24" t="e">
        <f aca="false">B96</f>
        <v>#REF!</v>
      </c>
      <c r="P96" s="24" t="s">
        <v>78</v>
      </c>
      <c r="Q96" s="24"/>
      <c r="R96" s="24" t="e">
        <f aca="false">B96</f>
        <v>#REF!</v>
      </c>
      <c r="S96" s="24"/>
      <c r="T96" s="24"/>
      <c r="U96" s="24" t="n">
        <f aca="false">COUNTIF(B96:T96,"H")</f>
        <v>3</v>
      </c>
      <c r="V96" s="24" t="n">
        <f aca="false">COUNTIF(B96:T96,"ST")</f>
        <v>0</v>
      </c>
      <c r="W96" s="24" t="n">
        <f aca="false">COUNTIF(B96:T96,"I")</f>
        <v>0</v>
      </c>
      <c r="X96" s="24" t="n">
        <f aca="false">COUNTIF(B96:T96,"S")</f>
        <v>0</v>
      </c>
      <c r="Y96" s="24" t="n">
        <f aca="false">COUNTIF(B96:T96,"A")</f>
        <v>0</v>
      </c>
      <c r="Z96" s="24" t="e">
        <f aca="false">B96</f>
        <v>#REF!</v>
      </c>
      <c r="AA96" s="24"/>
    </row>
    <row r="97" customFormat="false" ht="15.75" hidden="false" customHeight="false" outlineLevel="0" collapsed="false">
      <c r="A97" s="24" t="n">
        <v>23</v>
      </c>
      <c r="B97" s="24" t="str">
        <f aca="false">'absensi setoran'!B97</f>
        <v>MUHAMMAD MUNAWWAR KHOLIL</v>
      </c>
      <c r="C97" s="24" t="str">
        <f aca="false">'absensi setoran'!C97</f>
        <v>Tahsin</v>
      </c>
      <c r="D97" s="24"/>
      <c r="E97" s="24"/>
      <c r="F97" s="24" t="e">
        <f aca="false">b97yazid</f>
        <v>#NAME?</v>
      </c>
      <c r="G97" s="24"/>
      <c r="H97" s="24"/>
      <c r="I97" s="24" t="str">
        <f aca="false">B97</f>
        <v>MUHAMMAD MUNAWWAR KHOLIL</v>
      </c>
      <c r="J97" s="24"/>
      <c r="K97" s="24"/>
      <c r="L97" s="24" t="str">
        <f aca="false">B97</f>
        <v>MUHAMMAD MUNAWWAR KHOLIL</v>
      </c>
      <c r="M97" s="24" t="s">
        <v>78</v>
      </c>
      <c r="N97" s="24" t="s">
        <v>78</v>
      </c>
      <c r="O97" s="24" t="str">
        <f aca="false">B97</f>
        <v>MUHAMMAD MUNAWWAR KHOLIL</v>
      </c>
      <c r="P97" s="24" t="s">
        <v>78</v>
      </c>
      <c r="Q97" s="24"/>
      <c r="R97" s="24" t="str">
        <f aca="false">B97</f>
        <v>MUHAMMAD MUNAWWAR KHOLIL</v>
      </c>
      <c r="S97" s="24"/>
      <c r="T97" s="24"/>
      <c r="U97" s="24" t="n">
        <f aca="false">COUNTIF(B97:T97,"H")</f>
        <v>3</v>
      </c>
      <c r="V97" s="24" t="n">
        <f aca="false">COUNTIF(B97:T97,"ST")</f>
        <v>0</v>
      </c>
      <c r="W97" s="24" t="n">
        <f aca="false">COUNTIF(B97:T97,"I")</f>
        <v>0</v>
      </c>
      <c r="X97" s="24" t="n">
        <f aca="false">COUNTIF(B97:T97,"S")</f>
        <v>0</v>
      </c>
      <c r="Y97" s="24" t="n">
        <f aca="false">COUNTIF(B97:T97,"A")</f>
        <v>0</v>
      </c>
      <c r="Z97" s="24" t="str">
        <f aca="false">B97</f>
        <v>MUHAMMAD MUNAWWAR KHOLIL</v>
      </c>
      <c r="AA97" s="24"/>
    </row>
    <row r="98" customFormat="false" ht="15.75" hidden="false" customHeight="false" outlineLevel="0" collapsed="false">
      <c r="A98" s="24" t="n">
        <v>24</v>
      </c>
      <c r="B98" s="24" t="str">
        <f aca="false">'absensi setoran'!B98</f>
        <v>ALWI</v>
      </c>
      <c r="C98" s="24" t="str">
        <f aca="false">'absensi setoran'!C98</f>
        <v>Tahsin</v>
      </c>
      <c r="D98" s="24"/>
      <c r="E98" s="24"/>
      <c r="F98" s="24" t="str">
        <f aca="false">B98</f>
        <v>ALWI</v>
      </c>
      <c r="G98" s="24"/>
      <c r="H98" s="24"/>
      <c r="I98" s="24" t="str">
        <f aca="false">B98</f>
        <v>ALWI</v>
      </c>
      <c r="J98" s="24"/>
      <c r="K98" s="24"/>
      <c r="L98" s="24" t="str">
        <f aca="false">B98</f>
        <v>ALWI</v>
      </c>
      <c r="M98" s="24" t="s">
        <v>78</v>
      </c>
      <c r="N98" s="24" t="s">
        <v>78</v>
      </c>
      <c r="O98" s="24" t="str">
        <f aca="false">B98</f>
        <v>ALWI</v>
      </c>
      <c r="P98" s="24" t="s">
        <v>78</v>
      </c>
      <c r="Q98" s="24"/>
      <c r="R98" s="24" t="str">
        <f aca="false">B98</f>
        <v>ALWI</v>
      </c>
      <c r="S98" s="24"/>
      <c r="T98" s="24"/>
      <c r="U98" s="24" t="n">
        <f aca="false">COUNTIF(B98:T98,"H")</f>
        <v>3</v>
      </c>
      <c r="V98" s="24" t="n">
        <f aca="false">COUNTIF(B98:T98,"ST")</f>
        <v>0</v>
      </c>
      <c r="W98" s="24" t="n">
        <f aca="false">COUNTIF(B98:T98,"I")</f>
        <v>0</v>
      </c>
      <c r="X98" s="24" t="n">
        <f aca="false">COUNTIF(B98:T98,"S")</f>
        <v>0</v>
      </c>
      <c r="Y98" s="24" t="n">
        <f aca="false">COUNTIF(B98:T98,"A")</f>
        <v>0</v>
      </c>
      <c r="Z98" s="24" t="str">
        <f aca="false">B98</f>
        <v>ALWI</v>
      </c>
      <c r="AA98" s="24"/>
    </row>
    <row r="99" customFormat="false" ht="15.75" hidden="false" customHeight="false" outlineLevel="0" collapsed="false">
      <c r="A99" s="24" t="n">
        <v>25</v>
      </c>
      <c r="B99" s="24" t="str">
        <f aca="false">'absensi setoran'!B99</f>
        <v>PIRMAN</v>
      </c>
      <c r="C99" s="24" t="str">
        <f aca="false">'absensi setoran'!C99</f>
        <v>Tahsin</v>
      </c>
      <c r="D99" s="24"/>
      <c r="E99" s="24"/>
      <c r="F99" s="24" t="str">
        <f aca="false">B99</f>
        <v>PIRMAN</v>
      </c>
      <c r="G99" s="24"/>
      <c r="H99" s="24"/>
      <c r="I99" s="24" t="str">
        <f aca="false">B99</f>
        <v>PIRMAN</v>
      </c>
      <c r="J99" s="24"/>
      <c r="K99" s="24"/>
      <c r="L99" s="24" t="str">
        <f aca="false">B99</f>
        <v>PIRMAN</v>
      </c>
      <c r="M99" s="24" t="s">
        <v>78</v>
      </c>
      <c r="N99" s="24" t="s">
        <v>78</v>
      </c>
      <c r="O99" s="24" t="str">
        <f aca="false">B99</f>
        <v>PIRMAN</v>
      </c>
      <c r="P99" s="24" t="s">
        <v>78</v>
      </c>
      <c r="Q99" s="24"/>
      <c r="R99" s="24" t="str">
        <f aca="false">B99</f>
        <v>PIRMAN</v>
      </c>
      <c r="S99" s="24"/>
      <c r="T99" s="24"/>
      <c r="U99" s="24" t="n">
        <f aca="false">COUNTIF(B99:T99,"H")</f>
        <v>3</v>
      </c>
      <c r="V99" s="24" t="n">
        <f aca="false">COUNTIF(B99:T99,"ST")</f>
        <v>0</v>
      </c>
      <c r="W99" s="24" t="n">
        <f aca="false">COUNTIF(B99:T99,"I")</f>
        <v>0</v>
      </c>
      <c r="X99" s="24" t="n">
        <f aca="false">COUNTIF(B99:T99,"S")</f>
        <v>0</v>
      </c>
      <c r="Y99" s="24" t="n">
        <f aca="false">COUNTIF(B99:T99,"A")</f>
        <v>0</v>
      </c>
      <c r="Z99" s="24" t="str">
        <f aca="false">B99</f>
        <v>PIRMAN</v>
      </c>
      <c r="AA99" s="24"/>
    </row>
    <row r="100" customFormat="false" ht="15.75" hidden="false" customHeight="false" outlineLevel="0" collapsed="false">
      <c r="A100" s="24" t="n">
        <v>26</v>
      </c>
      <c r="B100" s="24" t="str">
        <f aca="false">'absensi setoran'!B100</f>
        <v>MUHAMMAD DENMAR NABAWI</v>
      </c>
      <c r="C100" s="24" t="str">
        <f aca="false">'absensi setoran'!C100</f>
        <v>Tahsin</v>
      </c>
      <c r="D100" s="24"/>
      <c r="E100" s="24"/>
      <c r="F100" s="24" t="str">
        <f aca="false">B100</f>
        <v>MUHAMMAD DENMAR NABAWI</v>
      </c>
      <c r="G100" s="24"/>
      <c r="H100" s="24"/>
      <c r="I100" s="24" t="str">
        <f aca="false">B100</f>
        <v>MUHAMMAD DENMAR NABAWI</v>
      </c>
      <c r="J100" s="24"/>
      <c r="K100" s="24"/>
      <c r="L100" s="24" t="str">
        <f aca="false">B100</f>
        <v>MUHAMMAD DENMAR NABAWI</v>
      </c>
      <c r="M100" s="24" t="s">
        <v>78</v>
      </c>
      <c r="N100" s="24" t="s">
        <v>78</v>
      </c>
      <c r="O100" s="24" t="str">
        <f aca="false">B100</f>
        <v>MUHAMMAD DENMAR NABAWI</v>
      </c>
      <c r="P100" s="24" t="s">
        <v>78</v>
      </c>
      <c r="Q100" s="24"/>
      <c r="R100" s="24" t="str">
        <f aca="false">B100</f>
        <v>MUHAMMAD DENMAR NABAWI</v>
      </c>
      <c r="S100" s="24"/>
      <c r="T100" s="24"/>
      <c r="U100" s="24" t="n">
        <f aca="false">COUNTIF(B100:T100,"H")</f>
        <v>3</v>
      </c>
      <c r="V100" s="24" t="n">
        <f aca="false">COUNTIF(B100:T100,"ST")</f>
        <v>0</v>
      </c>
      <c r="W100" s="24" t="n">
        <f aca="false">COUNTIF(B100:T100,"I")</f>
        <v>0</v>
      </c>
      <c r="X100" s="24" t="n">
        <f aca="false">COUNTIF(B100:T100,"S")</f>
        <v>0</v>
      </c>
      <c r="Y100" s="24" t="n">
        <f aca="false">COUNTIF(B100:T100,"A")</f>
        <v>0</v>
      </c>
      <c r="Z100" s="24" t="str">
        <f aca="false">B100</f>
        <v>MUHAMMAD DENMAR NABAWI</v>
      </c>
      <c r="AA100" s="24"/>
    </row>
    <row r="101" customFormat="false" ht="15.75" hidden="false" customHeight="false" outlineLevel="0" collapsed="false">
      <c r="A101" s="24" t="n">
        <v>27</v>
      </c>
      <c r="B101" s="24" t="e">
        <f aca="false">'absensi setoran'!B101</f>
        <v>#REF!</v>
      </c>
      <c r="C101" s="24" t="str">
        <f aca="false">'absensi setoran'!C101</f>
        <v>Tahsin</v>
      </c>
      <c r="D101" s="24"/>
      <c r="E101" s="24"/>
      <c r="F101" s="24" t="e">
        <f aca="false">B101</f>
        <v>#REF!</v>
      </c>
      <c r="G101" s="24"/>
      <c r="H101" s="24"/>
      <c r="I101" s="24" t="e">
        <f aca="false">B101</f>
        <v>#REF!</v>
      </c>
      <c r="J101" s="24"/>
      <c r="K101" s="24"/>
      <c r="L101" s="24" t="e">
        <f aca="false">B101</f>
        <v>#REF!</v>
      </c>
      <c r="M101" s="24" t="s">
        <v>78</v>
      </c>
      <c r="N101" s="24" t="s">
        <v>78</v>
      </c>
      <c r="O101" s="24" t="e">
        <f aca="false">B101</f>
        <v>#REF!</v>
      </c>
      <c r="P101" s="24" t="s">
        <v>78</v>
      </c>
      <c r="Q101" s="24"/>
      <c r="R101" s="24" t="e">
        <f aca="false">B101</f>
        <v>#REF!</v>
      </c>
      <c r="S101" s="24"/>
      <c r="T101" s="24"/>
      <c r="U101" s="24" t="n">
        <f aca="false">COUNTIF(B101:T101,"H")</f>
        <v>3</v>
      </c>
      <c r="V101" s="24" t="n">
        <f aca="false">COUNTIF(B101:T101,"ST")</f>
        <v>0</v>
      </c>
      <c r="W101" s="24" t="n">
        <f aca="false">COUNTIF(B101:T101,"I")</f>
        <v>0</v>
      </c>
      <c r="X101" s="24" t="n">
        <f aca="false">COUNTIF(B101:T101,"S")</f>
        <v>0</v>
      </c>
      <c r="Y101" s="24" t="n">
        <f aca="false">COUNTIF(B101:T101,"A")</f>
        <v>0</v>
      </c>
      <c r="Z101" s="24" t="e">
        <f aca="false">B101</f>
        <v>#REF!</v>
      </c>
      <c r="AA101" s="24"/>
    </row>
    <row r="102" customFormat="false" ht="15.75" hidden="false" customHeight="false" outlineLevel="0" collapsed="false">
      <c r="A102" s="24" t="n">
        <v>28</v>
      </c>
      <c r="B102" s="24" t="e">
        <f aca="false">'absensi setoran'!B102</f>
        <v>#REF!</v>
      </c>
      <c r="C102" s="24" t="str">
        <f aca="false">'absensi setoran'!C102</f>
        <v>Tahsin</v>
      </c>
      <c r="D102" s="24"/>
      <c r="E102" s="24"/>
      <c r="F102" s="24" t="e">
        <f aca="false">B102</f>
        <v>#REF!</v>
      </c>
      <c r="G102" s="24"/>
      <c r="H102" s="24"/>
      <c r="I102" s="24" t="e">
        <f aca="false">B102</f>
        <v>#REF!</v>
      </c>
      <c r="J102" s="24"/>
      <c r="K102" s="24"/>
      <c r="L102" s="24" t="e">
        <f aca="false">B102</f>
        <v>#REF!</v>
      </c>
      <c r="M102" s="24" t="s">
        <v>78</v>
      </c>
      <c r="N102" s="24" t="s">
        <v>78</v>
      </c>
      <c r="O102" s="24" t="e">
        <f aca="false">B102</f>
        <v>#REF!</v>
      </c>
      <c r="P102" s="24" t="s">
        <v>78</v>
      </c>
      <c r="Q102" s="24"/>
      <c r="R102" s="24" t="e">
        <f aca="false">B102</f>
        <v>#REF!</v>
      </c>
      <c r="S102" s="24"/>
      <c r="T102" s="24"/>
      <c r="U102" s="24" t="n">
        <f aca="false">COUNTIF(B102:T102,"H")</f>
        <v>3</v>
      </c>
      <c r="V102" s="24" t="n">
        <f aca="false">COUNTIF(B102:T102,"ST")</f>
        <v>0</v>
      </c>
      <c r="W102" s="24" t="n">
        <f aca="false">COUNTIF(B102:T102,"I")</f>
        <v>0</v>
      </c>
      <c r="X102" s="24" t="n">
        <f aca="false">COUNTIF(B102:T102,"S")</f>
        <v>0</v>
      </c>
      <c r="Y102" s="24" t="n">
        <f aca="false">COUNTIF(B102:T102,"A")</f>
        <v>0</v>
      </c>
      <c r="Z102" s="24" t="e">
        <f aca="false">B102</f>
        <v>#REF!</v>
      </c>
      <c r="AA102" s="24"/>
    </row>
    <row r="103" customFormat="false" ht="15.75" hidden="false" customHeight="false" outlineLevel="0" collapsed="false">
      <c r="A103" s="19" t="s">
        <v>48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24"/>
    </row>
    <row r="104" customFormat="false" ht="15.75" hidden="false" customHeight="fals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24"/>
    </row>
    <row r="105" customFormat="false" ht="15.75" hidden="false" customHeight="fals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24"/>
    </row>
    <row r="106" customFormat="false" ht="15.75" hidden="false" customHeight="false" outlineLevel="0" collapsed="false">
      <c r="A106" s="20" t="s">
        <v>300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4"/>
    </row>
    <row r="107" customFormat="false" ht="15.75" hidden="false" customHeight="false" outlineLevel="0" collapsed="false">
      <c r="A107" s="21" t="s">
        <v>1</v>
      </c>
      <c r="B107" s="21" t="s">
        <v>2</v>
      </c>
      <c r="C107" s="22"/>
      <c r="D107" s="21" t="s">
        <v>201</v>
      </c>
      <c r="E107" s="21"/>
      <c r="F107" s="21" t="s">
        <v>2</v>
      </c>
      <c r="G107" s="21" t="s">
        <v>202</v>
      </c>
      <c r="H107" s="21"/>
      <c r="I107" s="21" t="s">
        <v>2</v>
      </c>
      <c r="J107" s="21" t="s">
        <v>203</v>
      </c>
      <c r="K107" s="21"/>
      <c r="L107" s="21" t="s">
        <v>2</v>
      </c>
      <c r="M107" s="21" t="s">
        <v>204</v>
      </c>
      <c r="N107" s="21"/>
      <c r="O107" s="21" t="s">
        <v>2</v>
      </c>
      <c r="P107" s="21" t="s">
        <v>205</v>
      </c>
      <c r="Q107" s="21"/>
      <c r="R107" s="21" t="s">
        <v>2</v>
      </c>
      <c r="S107" s="21" t="s">
        <v>206</v>
      </c>
      <c r="T107" s="21"/>
      <c r="U107" s="39" t="s">
        <v>49</v>
      </c>
      <c r="V107" s="39"/>
      <c r="W107" s="39"/>
      <c r="X107" s="39"/>
      <c r="Y107" s="39"/>
      <c r="Z107" s="39"/>
      <c r="AA107" s="24"/>
    </row>
    <row r="108" customFormat="false" ht="15.75" hidden="false" customHeight="false" outlineLevel="0" collapsed="false">
      <c r="A108" s="21"/>
      <c r="B108" s="21"/>
      <c r="C108" s="22" t="s">
        <v>50</v>
      </c>
      <c r="D108" s="40" t="s">
        <v>296</v>
      </c>
      <c r="E108" s="40" t="s">
        <v>67</v>
      </c>
      <c r="F108" s="21"/>
      <c r="G108" s="40" t="s">
        <v>296</v>
      </c>
      <c r="H108" s="40" t="s">
        <v>67</v>
      </c>
      <c r="I108" s="21"/>
      <c r="J108" s="40" t="s">
        <v>296</v>
      </c>
      <c r="K108" s="40" t="s">
        <v>67</v>
      </c>
      <c r="L108" s="21"/>
      <c r="M108" s="40" t="s">
        <v>296</v>
      </c>
      <c r="N108" s="40" t="s">
        <v>67</v>
      </c>
      <c r="O108" s="21"/>
      <c r="P108" s="40" t="s">
        <v>296</v>
      </c>
      <c r="Q108" s="40" t="s">
        <v>67</v>
      </c>
      <c r="R108" s="21"/>
      <c r="S108" s="40" t="s">
        <v>296</v>
      </c>
      <c r="T108" s="40" t="s">
        <v>67</v>
      </c>
      <c r="U108" s="24" t="s">
        <v>51</v>
      </c>
      <c r="V108" s="24" t="s">
        <v>52</v>
      </c>
      <c r="W108" s="24" t="s">
        <v>53</v>
      </c>
      <c r="X108" s="24" t="s">
        <v>54</v>
      </c>
      <c r="Y108" s="24" t="s">
        <v>55</v>
      </c>
      <c r="Z108" s="24"/>
      <c r="AA108" s="24"/>
    </row>
    <row r="109" customFormat="false" ht="15.75" hidden="false" customHeight="false" outlineLevel="0" collapsed="false">
      <c r="A109" s="24" t="n">
        <v>1</v>
      </c>
      <c r="B109" s="24" t="str">
        <f aca="false">'absensi setoran'!B109</f>
        <v>AYI KOSIM HATIMI</v>
      </c>
      <c r="C109" s="24" t="n">
        <f aca="false">'absensi setoran'!C109</f>
        <v>30</v>
      </c>
      <c r="D109" s="24"/>
      <c r="E109" s="24"/>
      <c r="F109" s="24" t="str">
        <f aca="false">B109</f>
        <v>AYI KOSIM HATIMI</v>
      </c>
      <c r="G109" s="24"/>
      <c r="H109" s="24"/>
      <c r="I109" s="24" t="str">
        <f aca="false">B109</f>
        <v>AYI KOSIM HATIMI</v>
      </c>
      <c r="J109" s="24"/>
      <c r="K109" s="24"/>
      <c r="L109" s="24" t="str">
        <f aca="false">B109</f>
        <v>AYI KOSIM HATIMI</v>
      </c>
      <c r="M109" s="24"/>
      <c r="N109" s="24"/>
      <c r="O109" s="24" t="str">
        <f aca="false">B109</f>
        <v>AYI KOSIM HATIMI</v>
      </c>
      <c r="P109" s="24" t="s">
        <v>78</v>
      </c>
      <c r="Q109" s="24"/>
      <c r="R109" s="24" t="str">
        <f aca="false">B109</f>
        <v>AYI KOSIM HATIMI</v>
      </c>
      <c r="S109" s="24"/>
      <c r="T109" s="24"/>
      <c r="U109" s="24" t="n">
        <f aca="false">COUNTIF(B109:T109,"H")</f>
        <v>1</v>
      </c>
      <c r="V109" s="24" t="n">
        <f aca="false">COUNTIF(B109:T109,"ST")</f>
        <v>0</v>
      </c>
      <c r="W109" s="24" t="n">
        <f aca="false">COUNTIF(B109:T109,"I")</f>
        <v>0</v>
      </c>
      <c r="X109" s="24" t="n">
        <f aca="false">COUNTIF(B109:T109,"S")</f>
        <v>0</v>
      </c>
      <c r="Y109" s="24" t="n">
        <f aca="false">COUNTIF(B109:T109,"A")</f>
        <v>0</v>
      </c>
      <c r="Z109" s="24" t="str">
        <f aca="false">B109</f>
        <v>AYI KOSIM HATIMI</v>
      </c>
      <c r="AA109" s="24"/>
    </row>
    <row r="110" customFormat="false" ht="15.75" hidden="false" customHeight="false" outlineLevel="0" collapsed="false">
      <c r="A110" s="24" t="n">
        <v>2</v>
      </c>
      <c r="B110" s="24" t="str">
        <f aca="false">'absensi setoran'!B110</f>
        <v>ABRURRAHMAN AFANDI</v>
      </c>
      <c r="C110" s="24" t="n">
        <f aca="false">'absensi setoran'!C110</f>
        <v>30</v>
      </c>
      <c r="D110" s="24"/>
      <c r="E110" s="24"/>
      <c r="F110" s="24" t="str">
        <f aca="false">B110</f>
        <v>ABRURRAHMAN AFANDI</v>
      </c>
      <c r="G110" s="24"/>
      <c r="H110" s="24"/>
      <c r="I110" s="24" t="str">
        <f aca="false">B110</f>
        <v>ABRURRAHMAN AFANDI</v>
      </c>
      <c r="J110" s="24"/>
      <c r="K110" s="24"/>
      <c r="L110" s="24" t="str">
        <f aca="false">B110</f>
        <v>ABRURRAHMAN AFANDI</v>
      </c>
      <c r="M110" s="24"/>
      <c r="N110" s="24"/>
      <c r="O110" s="24" t="str">
        <f aca="false">B110</f>
        <v>ABRURRAHMAN AFANDI</v>
      </c>
      <c r="P110" s="24" t="s">
        <v>78</v>
      </c>
      <c r="Q110" s="24"/>
      <c r="R110" s="24" t="str">
        <f aca="false">B110</f>
        <v>ABRURRAHMAN AFANDI</v>
      </c>
      <c r="S110" s="24"/>
      <c r="T110" s="24"/>
      <c r="U110" s="24" t="n">
        <f aca="false">COUNTIF(B110:T110,"H")</f>
        <v>1</v>
      </c>
      <c r="V110" s="24" t="n">
        <f aca="false">COUNTIF(B110:T110,"ST")</f>
        <v>0</v>
      </c>
      <c r="W110" s="24" t="n">
        <f aca="false">COUNTIF(B110:T110,"I")</f>
        <v>0</v>
      </c>
      <c r="X110" s="24" t="n">
        <f aca="false">COUNTIF(B110:T110,"S")</f>
        <v>0</v>
      </c>
      <c r="Y110" s="24" t="n">
        <f aca="false">COUNTIF(B110:T110,"A")</f>
        <v>0</v>
      </c>
      <c r="Z110" s="24" t="str">
        <f aca="false">B110</f>
        <v>ABRURRAHMAN AFANDI</v>
      </c>
      <c r="AA110" s="24"/>
    </row>
    <row r="111" customFormat="false" ht="15.75" hidden="false" customHeight="false" outlineLevel="0" collapsed="false">
      <c r="A111" s="24" t="n">
        <v>3</v>
      </c>
      <c r="B111" s="24" t="str">
        <f aca="false">'absensi setoran'!B111</f>
        <v>CECEP ABDULATIF</v>
      </c>
      <c r="C111" s="24" t="n">
        <f aca="false">'absensi setoran'!C111</f>
        <v>30</v>
      </c>
      <c r="D111" s="24"/>
      <c r="E111" s="24"/>
      <c r="F111" s="24" t="str">
        <f aca="false">B111</f>
        <v>CECEP ABDULATIF</v>
      </c>
      <c r="G111" s="24"/>
      <c r="H111" s="24"/>
      <c r="I111" s="24" t="str">
        <f aca="false">B111</f>
        <v>CECEP ABDULATIF</v>
      </c>
      <c r="J111" s="24"/>
      <c r="K111" s="24"/>
      <c r="L111" s="24" t="str">
        <f aca="false">B111</f>
        <v>CECEP ABDULATIF</v>
      </c>
      <c r="M111" s="24"/>
      <c r="N111" s="24"/>
      <c r="O111" s="24" t="str">
        <f aca="false">B111</f>
        <v>CECEP ABDULATIF</v>
      </c>
      <c r="P111" s="24" t="s">
        <v>78</v>
      </c>
      <c r="Q111" s="24"/>
      <c r="R111" s="24" t="str">
        <f aca="false">B111</f>
        <v>CECEP ABDULATIF</v>
      </c>
      <c r="S111" s="24"/>
      <c r="T111" s="24"/>
      <c r="U111" s="24" t="n">
        <f aca="false">COUNTIF(B111:T111,"H")</f>
        <v>1</v>
      </c>
      <c r="V111" s="24" t="n">
        <f aca="false">COUNTIF(B111:T111,"ST")</f>
        <v>0</v>
      </c>
      <c r="W111" s="24" t="n">
        <f aca="false">COUNTIF(B111:T111,"I")</f>
        <v>0</v>
      </c>
      <c r="X111" s="24" t="n">
        <f aca="false">COUNTIF(B111:T111,"S")</f>
        <v>0</v>
      </c>
      <c r="Y111" s="24" t="n">
        <f aca="false">COUNTIF(B111:T111,"A")</f>
        <v>0</v>
      </c>
      <c r="Z111" s="24" t="str">
        <f aca="false">B111</f>
        <v>CECEP ABDULATIF</v>
      </c>
      <c r="AA111" s="24"/>
    </row>
    <row r="112" customFormat="false" ht="15.75" hidden="false" customHeight="false" outlineLevel="0" collapsed="false">
      <c r="A112" s="24" t="n">
        <v>4</v>
      </c>
      <c r="B112" s="24" t="str">
        <f aca="false">'absensi setoran'!B112</f>
        <v>DONI SUPRIATNA</v>
      </c>
      <c r="C112" s="24" t="n">
        <f aca="false">'absensi setoran'!C112</f>
        <v>30</v>
      </c>
      <c r="D112" s="24"/>
      <c r="E112" s="24"/>
      <c r="F112" s="24" t="str">
        <f aca="false">B112</f>
        <v>DONI SUPRIATNA</v>
      </c>
      <c r="G112" s="24"/>
      <c r="H112" s="24"/>
      <c r="I112" s="24" t="str">
        <f aca="false">B112</f>
        <v>DONI SUPRIATNA</v>
      </c>
      <c r="J112" s="24"/>
      <c r="K112" s="24"/>
      <c r="L112" s="24" t="str">
        <f aca="false">B112</f>
        <v>DONI SUPRIATNA</v>
      </c>
      <c r="M112" s="24"/>
      <c r="N112" s="24"/>
      <c r="O112" s="24" t="str">
        <f aca="false">B112</f>
        <v>DONI SUPRIATNA</v>
      </c>
      <c r="P112" s="24" t="s">
        <v>78</v>
      </c>
      <c r="Q112" s="24"/>
      <c r="R112" s="24" t="str">
        <f aca="false">B112</f>
        <v>DONI SUPRIATNA</v>
      </c>
      <c r="S112" s="24"/>
      <c r="T112" s="24"/>
      <c r="U112" s="24" t="n">
        <f aca="false">COUNTIF(B112:T112,"H")</f>
        <v>1</v>
      </c>
      <c r="V112" s="24" t="n">
        <f aca="false">COUNTIF(B112:T112,"ST")</f>
        <v>0</v>
      </c>
      <c r="W112" s="24" t="n">
        <f aca="false">COUNTIF(B112:T112,"I")</f>
        <v>0</v>
      </c>
      <c r="X112" s="24" t="n">
        <f aca="false">COUNTIF(B112:T112,"S")</f>
        <v>0</v>
      </c>
      <c r="Y112" s="24" t="n">
        <f aca="false">COUNTIF(B112:T112,"A")</f>
        <v>0</v>
      </c>
      <c r="Z112" s="24" t="str">
        <f aca="false">B112</f>
        <v>DONI SUPRIATNA</v>
      </c>
      <c r="AA112" s="24"/>
    </row>
    <row r="113" customFormat="false" ht="15.75" hidden="false" customHeight="false" outlineLevel="0" collapsed="false">
      <c r="A113" s="24" t="n">
        <v>5</v>
      </c>
      <c r="B113" s="24" t="e">
        <f aca="false">'absensi setoran'!B113</f>
        <v>#REF!</v>
      </c>
      <c r="C113" s="24" t="e">
        <f aca="false">'absensi setoran'!C113</f>
        <v>#REF!</v>
      </c>
      <c r="D113" s="24"/>
      <c r="E113" s="24"/>
      <c r="F113" s="24" t="e">
        <f aca="false">B113</f>
        <v>#REF!</v>
      </c>
      <c r="G113" s="24"/>
      <c r="H113" s="24"/>
      <c r="I113" s="24" t="e">
        <f aca="false">B113</f>
        <v>#REF!</v>
      </c>
      <c r="J113" s="24"/>
      <c r="K113" s="24"/>
      <c r="L113" s="24" t="e">
        <f aca="false">B113</f>
        <v>#REF!</v>
      </c>
      <c r="M113" s="24"/>
      <c r="N113" s="24"/>
      <c r="O113" s="24" t="e">
        <f aca="false">B113</f>
        <v>#REF!</v>
      </c>
      <c r="P113" s="24" t="s">
        <v>78</v>
      </c>
      <c r="Q113" s="24"/>
      <c r="R113" s="24" t="e">
        <f aca="false">B113</f>
        <v>#REF!</v>
      </c>
      <c r="S113" s="24"/>
      <c r="T113" s="24"/>
      <c r="U113" s="24" t="n">
        <f aca="false">COUNTIF(B113:T113,"H")</f>
        <v>1</v>
      </c>
      <c r="V113" s="24" t="n">
        <f aca="false">COUNTIF(B113:T113,"ST")</f>
        <v>0</v>
      </c>
      <c r="W113" s="24" t="n">
        <f aca="false">COUNTIF(B113:T113,"I")</f>
        <v>0</v>
      </c>
      <c r="X113" s="24" t="n">
        <f aca="false">COUNTIF(B113:T113,"S")</f>
        <v>0</v>
      </c>
      <c r="Y113" s="24" t="n">
        <f aca="false">COUNTIF(B113:T113,"A")</f>
        <v>0</v>
      </c>
      <c r="Z113" s="24" t="e">
        <f aca="false">B113</f>
        <v>#REF!</v>
      </c>
      <c r="AA113" s="24"/>
    </row>
    <row r="114" customFormat="false" ht="15.75" hidden="false" customHeight="false" outlineLevel="0" collapsed="false">
      <c r="A114" s="24" t="n">
        <v>6</v>
      </c>
      <c r="B114" s="24" t="str">
        <f aca="false">'absensi setoran'!B114</f>
        <v>ZAKY AZHARI</v>
      </c>
      <c r="C114" s="24" t="n">
        <f aca="false">'absensi setoran'!C114</f>
        <v>30</v>
      </c>
      <c r="D114" s="24"/>
      <c r="E114" s="24"/>
      <c r="F114" s="24" t="str">
        <f aca="false">B114</f>
        <v>ZAKY AZHARI</v>
      </c>
      <c r="G114" s="24"/>
      <c r="H114" s="24"/>
      <c r="I114" s="24" t="str">
        <f aca="false">B114</f>
        <v>ZAKY AZHARI</v>
      </c>
      <c r="J114" s="24"/>
      <c r="K114" s="24"/>
      <c r="L114" s="24" t="str">
        <f aca="false">B114</f>
        <v>ZAKY AZHARI</v>
      </c>
      <c r="M114" s="24"/>
      <c r="N114" s="24"/>
      <c r="O114" s="24" t="str">
        <f aca="false">B114</f>
        <v>ZAKY AZHARI</v>
      </c>
      <c r="P114" s="24" t="s">
        <v>78</v>
      </c>
      <c r="Q114" s="24"/>
      <c r="R114" s="24" t="str">
        <f aca="false">B114</f>
        <v>ZAKY AZHARI</v>
      </c>
      <c r="S114" s="24"/>
      <c r="T114" s="24"/>
      <c r="U114" s="24" t="n">
        <f aca="false">COUNTIF(B114:T114,"H")</f>
        <v>1</v>
      </c>
      <c r="V114" s="24" t="n">
        <f aca="false">COUNTIF(B114:T114,"ST")</f>
        <v>0</v>
      </c>
      <c r="W114" s="24" t="n">
        <f aca="false">COUNTIF(B114:T114,"I")</f>
        <v>0</v>
      </c>
      <c r="X114" s="24" t="n">
        <f aca="false">COUNTIF(B114:T114,"S")</f>
        <v>0</v>
      </c>
      <c r="Y114" s="24" t="n">
        <f aca="false">COUNTIF(B114:T114,"A")</f>
        <v>0</v>
      </c>
      <c r="Z114" s="24" t="str">
        <f aca="false">B114</f>
        <v>ZAKY AZHARI</v>
      </c>
      <c r="AA114" s="24"/>
    </row>
    <row r="115" customFormat="false" ht="15.75" hidden="false" customHeight="false" outlineLevel="0" collapsed="false">
      <c r="A115" s="24" t="n">
        <v>7</v>
      </c>
      <c r="B115" s="24" t="str">
        <f aca="false">'absensi setoran'!B115</f>
        <v>MUHAMMAD FAUZIL ADZIM</v>
      </c>
      <c r="C115" s="24" t="n">
        <f aca="false">'absensi setoran'!C115</f>
        <v>30</v>
      </c>
      <c r="D115" s="24"/>
      <c r="E115" s="24"/>
      <c r="F115" s="24" t="str">
        <f aca="false">B115</f>
        <v>MUHAMMAD FAUZIL ADZIM</v>
      </c>
      <c r="G115" s="24"/>
      <c r="H115" s="24"/>
      <c r="I115" s="24" t="str">
        <f aca="false">B115</f>
        <v>MUHAMMAD FAUZIL ADZIM</v>
      </c>
      <c r="J115" s="24"/>
      <c r="K115" s="24"/>
      <c r="L115" s="24" t="str">
        <f aca="false">B115</f>
        <v>MUHAMMAD FAUZIL ADZIM</v>
      </c>
      <c r="M115" s="24"/>
      <c r="N115" s="24"/>
      <c r="O115" s="24" t="str">
        <f aca="false">B115</f>
        <v>MUHAMMAD FAUZIL ADZIM</v>
      </c>
      <c r="P115" s="24" t="s">
        <v>78</v>
      </c>
      <c r="Q115" s="24"/>
      <c r="R115" s="24" t="str">
        <f aca="false">B115</f>
        <v>MUHAMMAD FAUZIL ADZIM</v>
      </c>
      <c r="S115" s="24"/>
      <c r="T115" s="24"/>
      <c r="U115" s="24" t="n">
        <f aca="false">COUNTIF(B115:T115,"H")</f>
        <v>1</v>
      </c>
      <c r="V115" s="24" t="n">
        <f aca="false">COUNTIF(B115:T115,"ST")</f>
        <v>0</v>
      </c>
      <c r="W115" s="24" t="n">
        <f aca="false">COUNTIF(B115:T115,"I")</f>
        <v>0</v>
      </c>
      <c r="X115" s="24" t="n">
        <f aca="false">COUNTIF(B115:T115,"S")</f>
        <v>0</v>
      </c>
      <c r="Y115" s="24" t="n">
        <f aca="false">COUNTIF(B115:T115,"A")</f>
        <v>0</v>
      </c>
      <c r="Z115" s="24" t="str">
        <f aca="false">B115</f>
        <v>MUHAMMAD FAUZIL ADZIM</v>
      </c>
      <c r="AA115" s="24"/>
    </row>
    <row r="116" customFormat="false" ht="15.75" hidden="false" customHeight="false" outlineLevel="0" collapsed="false">
      <c r="A116" s="24" t="n">
        <v>8</v>
      </c>
      <c r="B116" s="24" t="str">
        <f aca="false">'absensi setoran'!B116</f>
        <v>MUHAMMAD DZIKRI HUSAENI</v>
      </c>
      <c r="C116" s="24" t="n">
        <f aca="false">'absensi setoran'!C116</f>
        <v>18</v>
      </c>
      <c r="D116" s="24"/>
      <c r="E116" s="24"/>
      <c r="F116" s="24" t="str">
        <f aca="false">B116</f>
        <v>MUHAMMAD DZIKRI HUSAENI</v>
      </c>
      <c r="G116" s="24"/>
      <c r="H116" s="24"/>
      <c r="I116" s="24" t="str">
        <f aca="false">B116</f>
        <v>MUHAMMAD DZIKRI HUSAENI</v>
      </c>
      <c r="J116" s="24"/>
      <c r="K116" s="24"/>
      <c r="L116" s="24" t="str">
        <f aca="false">B116</f>
        <v>MUHAMMAD DZIKRI HUSAENI</v>
      </c>
      <c r="M116" s="24"/>
      <c r="N116" s="24"/>
      <c r="O116" s="24" t="str">
        <f aca="false">B116</f>
        <v>MUHAMMAD DZIKRI HUSAENI</v>
      </c>
      <c r="P116" s="24" t="s">
        <v>78</v>
      </c>
      <c r="Q116" s="24"/>
      <c r="R116" s="24" t="str">
        <f aca="false">B116</f>
        <v>MUHAMMAD DZIKRI HUSAENI</v>
      </c>
      <c r="S116" s="24"/>
      <c r="T116" s="24"/>
      <c r="U116" s="24" t="n">
        <f aca="false">COUNTIF(B116:T116,"H")</f>
        <v>1</v>
      </c>
      <c r="V116" s="24" t="n">
        <f aca="false">COUNTIF(B116:T116,"ST")</f>
        <v>0</v>
      </c>
      <c r="W116" s="24" t="n">
        <f aca="false">COUNTIF(B116:T116,"I")</f>
        <v>0</v>
      </c>
      <c r="X116" s="24" t="n">
        <f aca="false">COUNTIF(B116:T116,"S")</f>
        <v>0</v>
      </c>
      <c r="Y116" s="24" t="n">
        <f aca="false">COUNTIF(B116:T116,"A")</f>
        <v>0</v>
      </c>
      <c r="Z116" s="24" t="str">
        <f aca="false">B116</f>
        <v>MUHAMMAD DZIKRI HUSAENI</v>
      </c>
      <c r="AA116" s="24"/>
    </row>
    <row r="117" customFormat="false" ht="15.75" hidden="false" customHeight="false" outlineLevel="0" collapsed="false">
      <c r="A117" s="24" t="n">
        <v>9</v>
      </c>
      <c r="B117" s="24" t="e">
        <f aca="false">'absensi setoran'!B117</f>
        <v>#REF!</v>
      </c>
      <c r="C117" s="24" t="e">
        <f aca="false">'absensi setoran'!C117</f>
        <v>#REF!</v>
      </c>
      <c r="D117" s="24"/>
      <c r="E117" s="24"/>
      <c r="F117" s="24" t="e">
        <f aca="false">B117</f>
        <v>#REF!</v>
      </c>
      <c r="G117" s="24"/>
      <c r="H117" s="24"/>
      <c r="I117" s="24" t="e">
        <f aca="false">B117</f>
        <v>#REF!</v>
      </c>
      <c r="J117" s="24"/>
      <c r="K117" s="24"/>
      <c r="L117" s="24" t="e">
        <f aca="false">B117</f>
        <v>#REF!</v>
      </c>
      <c r="M117" s="24"/>
      <c r="N117" s="24"/>
      <c r="O117" s="24" t="e">
        <f aca="false">B117</f>
        <v>#REF!</v>
      </c>
      <c r="P117" s="24" t="s">
        <v>78</v>
      </c>
      <c r="Q117" s="24"/>
      <c r="R117" s="24" t="e">
        <f aca="false">B117</f>
        <v>#REF!</v>
      </c>
      <c r="S117" s="24"/>
      <c r="T117" s="24"/>
      <c r="U117" s="24" t="n">
        <f aca="false">COUNTIF(B117:T117,"H")</f>
        <v>1</v>
      </c>
      <c r="V117" s="24" t="n">
        <f aca="false">COUNTIF(B117:T117,"ST")</f>
        <v>0</v>
      </c>
      <c r="W117" s="24" t="n">
        <f aca="false">COUNTIF(B117:T117,"I")</f>
        <v>0</v>
      </c>
      <c r="X117" s="24" t="n">
        <f aca="false">COUNTIF(B117:T117,"S")</f>
        <v>0</v>
      </c>
      <c r="Y117" s="24" t="n">
        <f aca="false">COUNTIF(B117:T117,"A")</f>
        <v>0</v>
      </c>
      <c r="Z117" s="24" t="e">
        <f aca="false">B117</f>
        <v>#REF!</v>
      </c>
      <c r="AA117" s="24"/>
    </row>
    <row r="118" customFormat="false" ht="15.75" hidden="false" customHeight="false" outlineLevel="0" collapsed="false">
      <c r="A118" s="24" t="n">
        <v>10</v>
      </c>
      <c r="B118" s="24" t="str">
        <f aca="false">'absensi setoran'!B118</f>
        <v>ABDUL KHOLIQ</v>
      </c>
      <c r="C118" s="24" t="n">
        <f aca="false">'absensi setoran'!C118</f>
        <v>14</v>
      </c>
      <c r="D118" s="24"/>
      <c r="E118" s="24"/>
      <c r="F118" s="24" t="str">
        <f aca="false">B118</f>
        <v>ABDUL KHOLIQ</v>
      </c>
      <c r="G118" s="24"/>
      <c r="H118" s="24"/>
      <c r="I118" s="24" t="str">
        <f aca="false">B118</f>
        <v>ABDUL KHOLIQ</v>
      </c>
      <c r="J118" s="24"/>
      <c r="K118" s="24"/>
      <c r="L118" s="24" t="str">
        <f aca="false">B118</f>
        <v>ABDUL KHOLIQ</v>
      </c>
      <c r="M118" s="24"/>
      <c r="N118" s="24"/>
      <c r="O118" s="24" t="str">
        <f aca="false">B118</f>
        <v>ABDUL KHOLIQ</v>
      </c>
      <c r="P118" s="24" t="s">
        <v>78</v>
      </c>
      <c r="Q118" s="24"/>
      <c r="R118" s="24" t="str">
        <f aca="false">B118</f>
        <v>ABDUL KHOLIQ</v>
      </c>
      <c r="S118" s="24"/>
      <c r="T118" s="24"/>
      <c r="U118" s="24" t="n">
        <f aca="false">COUNTIF(B118:T118,"H")</f>
        <v>1</v>
      </c>
      <c r="V118" s="24" t="n">
        <f aca="false">COUNTIF(B118:T118,"ST")</f>
        <v>0</v>
      </c>
      <c r="W118" s="24" t="n">
        <f aca="false">COUNTIF(B118:T118,"I")</f>
        <v>0</v>
      </c>
      <c r="X118" s="24" t="n">
        <f aca="false">COUNTIF(B118:T118,"S")</f>
        <v>0</v>
      </c>
      <c r="Y118" s="24" t="n">
        <f aca="false">COUNTIF(B118:T118,"A")</f>
        <v>0</v>
      </c>
      <c r="Z118" s="24" t="str">
        <f aca="false">B118</f>
        <v>ABDUL KHOLIQ</v>
      </c>
      <c r="AA118" s="24"/>
    </row>
    <row r="119" customFormat="false" ht="15.75" hidden="false" customHeight="false" outlineLevel="0" collapsed="false">
      <c r="A119" s="24" t="n">
        <v>11</v>
      </c>
      <c r="B119" s="24" t="str">
        <f aca="false">'absensi setoran'!B119</f>
        <v>IYAN FARID</v>
      </c>
      <c r="C119" s="24" t="n">
        <f aca="false">'absensi setoran'!C119</f>
        <v>13</v>
      </c>
      <c r="D119" s="24"/>
      <c r="E119" s="24"/>
      <c r="F119" s="24" t="str">
        <f aca="false">B119</f>
        <v>IYAN FARID</v>
      </c>
      <c r="G119" s="24"/>
      <c r="H119" s="24"/>
      <c r="I119" s="24" t="str">
        <f aca="false">B119</f>
        <v>IYAN FARID</v>
      </c>
      <c r="J119" s="24"/>
      <c r="K119" s="24"/>
      <c r="L119" s="24" t="str">
        <f aca="false">B119</f>
        <v>IYAN FARID</v>
      </c>
      <c r="M119" s="24"/>
      <c r="N119" s="24"/>
      <c r="O119" s="24" t="str">
        <f aca="false">B119</f>
        <v>IYAN FARID</v>
      </c>
      <c r="P119" s="24" t="s">
        <v>78</v>
      </c>
      <c r="Q119" s="24"/>
      <c r="R119" s="24" t="str">
        <f aca="false">B119</f>
        <v>IYAN FARID</v>
      </c>
      <c r="S119" s="24"/>
      <c r="T119" s="24"/>
      <c r="U119" s="24" t="n">
        <f aca="false">COUNTIF(B119:T119,"H")</f>
        <v>1</v>
      </c>
      <c r="V119" s="24" t="n">
        <f aca="false">COUNTIF(B119:T119,"ST")</f>
        <v>0</v>
      </c>
      <c r="W119" s="24" t="n">
        <f aca="false">COUNTIF(B119:T119,"I")</f>
        <v>0</v>
      </c>
      <c r="X119" s="24" t="n">
        <f aca="false">COUNTIF(B119:T119,"S")</f>
        <v>0</v>
      </c>
      <c r="Y119" s="24" t="n">
        <f aca="false">COUNTIF(B119:T119,"A")</f>
        <v>0</v>
      </c>
      <c r="Z119" s="24" t="str">
        <f aca="false">B119</f>
        <v>IYAN FARID</v>
      </c>
      <c r="AA119" s="24"/>
    </row>
    <row r="120" customFormat="false" ht="15.75" hidden="false" customHeight="false" outlineLevel="0" collapsed="false">
      <c r="A120" s="24" t="n">
        <v>12</v>
      </c>
      <c r="B120" s="24" t="str">
        <f aca="false">'absensi setoran'!B120</f>
        <v>ZAENI NURIL HIKAM</v>
      </c>
      <c r="C120" s="24" t="n">
        <f aca="false">'absensi setoran'!C120</f>
        <v>12</v>
      </c>
      <c r="D120" s="24"/>
      <c r="E120" s="24"/>
      <c r="F120" s="24" t="str">
        <f aca="false">B120</f>
        <v>ZAENI NURIL HIKAM</v>
      </c>
      <c r="G120" s="24"/>
      <c r="H120" s="24"/>
      <c r="I120" s="24" t="str">
        <f aca="false">B120</f>
        <v>ZAENI NURIL HIKAM</v>
      </c>
      <c r="J120" s="24"/>
      <c r="K120" s="24"/>
      <c r="L120" s="24" t="str">
        <f aca="false">B120</f>
        <v>ZAENI NURIL HIKAM</v>
      </c>
      <c r="M120" s="24"/>
      <c r="N120" s="24"/>
      <c r="O120" s="24" t="str">
        <f aca="false">B120</f>
        <v>ZAENI NURIL HIKAM</v>
      </c>
      <c r="P120" s="24" t="s">
        <v>78</v>
      </c>
      <c r="Q120" s="24"/>
      <c r="R120" s="24" t="str">
        <f aca="false">B120</f>
        <v>ZAENI NURIL HIKAM</v>
      </c>
      <c r="S120" s="24"/>
      <c r="T120" s="24"/>
      <c r="U120" s="24" t="n">
        <f aca="false">COUNTIF(B120:T120,"H")</f>
        <v>1</v>
      </c>
      <c r="V120" s="24" t="n">
        <f aca="false">COUNTIF(B120:T120,"ST")</f>
        <v>0</v>
      </c>
      <c r="W120" s="24" t="n">
        <f aca="false">COUNTIF(B120:T120,"I")</f>
        <v>0</v>
      </c>
      <c r="X120" s="24" t="n">
        <f aca="false">COUNTIF(B120:T120,"S")</f>
        <v>0</v>
      </c>
      <c r="Y120" s="24" t="n">
        <f aca="false">COUNTIF(B120:T120,"A")</f>
        <v>0</v>
      </c>
      <c r="Z120" s="24" t="str">
        <f aca="false">B120</f>
        <v>ZAENI NURIL HIKAM</v>
      </c>
      <c r="AA120" s="24"/>
    </row>
    <row r="121" customFormat="false" ht="15.75" hidden="false" customHeight="false" outlineLevel="0" collapsed="false">
      <c r="A121" s="24" t="n">
        <v>13</v>
      </c>
      <c r="B121" s="24" t="str">
        <f aca="false">'absensi setoran'!B121</f>
        <v>LUCKY KURNIAWAN</v>
      </c>
      <c r="C121" s="24" t="n">
        <f aca="false">'absensi setoran'!C121</f>
        <v>12</v>
      </c>
      <c r="D121" s="24"/>
      <c r="E121" s="24"/>
      <c r="F121" s="24" t="str">
        <f aca="false">B121</f>
        <v>LUCKY KURNIAWAN</v>
      </c>
      <c r="G121" s="24"/>
      <c r="H121" s="24"/>
      <c r="I121" s="24" t="str">
        <f aca="false">B121</f>
        <v>LUCKY KURNIAWAN</v>
      </c>
      <c r="J121" s="24"/>
      <c r="K121" s="24"/>
      <c r="L121" s="24" t="str">
        <f aca="false">B121</f>
        <v>LUCKY KURNIAWAN</v>
      </c>
      <c r="M121" s="24"/>
      <c r="N121" s="24"/>
      <c r="O121" s="24" t="str">
        <f aca="false">B121</f>
        <v>LUCKY KURNIAWAN</v>
      </c>
      <c r="P121" s="24" t="s">
        <v>78</v>
      </c>
      <c r="Q121" s="24"/>
      <c r="R121" s="24" t="str">
        <f aca="false">B121</f>
        <v>LUCKY KURNIAWAN</v>
      </c>
      <c r="S121" s="24"/>
      <c r="T121" s="24"/>
      <c r="U121" s="24" t="n">
        <f aca="false">COUNTIF(B121:T121,"H")</f>
        <v>1</v>
      </c>
      <c r="V121" s="24" t="n">
        <f aca="false">COUNTIF(B121:T121,"ST")</f>
        <v>0</v>
      </c>
      <c r="W121" s="24" t="n">
        <f aca="false">COUNTIF(B121:T121,"I")</f>
        <v>0</v>
      </c>
      <c r="X121" s="24" t="n">
        <f aca="false">COUNTIF(B121:T121,"S")</f>
        <v>0</v>
      </c>
      <c r="Y121" s="24" t="n">
        <f aca="false">COUNTIF(B121:T121,"A")</f>
        <v>0</v>
      </c>
      <c r="Z121" s="24" t="str">
        <f aca="false">B121</f>
        <v>LUCKY KURNIAWAN</v>
      </c>
      <c r="AA121" s="24"/>
    </row>
    <row r="122" customFormat="false" ht="15.75" hidden="false" customHeight="false" outlineLevel="0" collapsed="false">
      <c r="A122" s="24" t="n">
        <v>14</v>
      </c>
      <c r="B122" s="24" t="str">
        <f aca="false">'absensi setoran'!B122</f>
        <v>MUHAMMAD RAFIK MUHARAM</v>
      </c>
      <c r="C122" s="24" t="n">
        <f aca="false">'absensi setoran'!C122</f>
        <v>12</v>
      </c>
      <c r="D122" s="24"/>
      <c r="E122" s="24"/>
      <c r="F122" s="24" t="str">
        <f aca="false">B122</f>
        <v>MUHAMMAD RAFIK MUHARAM</v>
      </c>
      <c r="G122" s="24"/>
      <c r="H122" s="24"/>
      <c r="I122" s="24" t="str">
        <f aca="false">B122</f>
        <v>MUHAMMAD RAFIK MUHARAM</v>
      </c>
      <c r="J122" s="24"/>
      <c r="K122" s="24"/>
      <c r="L122" s="24" t="str">
        <f aca="false">B122</f>
        <v>MUHAMMAD RAFIK MUHARAM</v>
      </c>
      <c r="M122" s="24"/>
      <c r="N122" s="24"/>
      <c r="O122" s="24" t="str">
        <f aca="false">B122</f>
        <v>MUHAMMAD RAFIK MUHARAM</v>
      </c>
      <c r="P122" s="24" t="s">
        <v>75</v>
      </c>
      <c r="Q122" s="24"/>
      <c r="R122" s="24" t="str">
        <f aca="false">B122</f>
        <v>MUHAMMAD RAFIK MUHARAM</v>
      </c>
      <c r="S122" s="24"/>
      <c r="T122" s="24"/>
      <c r="U122" s="24" t="n">
        <f aca="false">COUNTIF(B122:T122,"H")</f>
        <v>0</v>
      </c>
      <c r="V122" s="24" t="n">
        <f aca="false">COUNTIF(B122:T122,"ST")</f>
        <v>0</v>
      </c>
      <c r="W122" s="24" t="n">
        <f aca="false">COUNTIF(B122:T122,"I")</f>
        <v>0</v>
      </c>
      <c r="X122" s="24" t="n">
        <f aca="false">COUNTIF(B122:T122,"S")</f>
        <v>0</v>
      </c>
      <c r="Y122" s="24" t="n">
        <f aca="false">COUNTIF(B122:T122,"A")</f>
        <v>1</v>
      </c>
      <c r="Z122" s="24" t="str">
        <f aca="false">B122</f>
        <v>MUHAMMAD RAFIK MUHARAM</v>
      </c>
      <c r="AA122" s="24"/>
    </row>
    <row r="123" customFormat="false" ht="15.75" hidden="false" customHeight="false" outlineLevel="0" collapsed="false">
      <c r="A123" s="24" t="n">
        <v>15</v>
      </c>
      <c r="B123" s="24" t="str">
        <f aca="false">'absensi setoran'!B123</f>
        <v>UMAR ABDUL MALIK</v>
      </c>
      <c r="C123" s="24" t="n">
        <f aca="false">'absensi setoran'!C123</f>
        <v>11</v>
      </c>
      <c r="D123" s="24"/>
      <c r="E123" s="24"/>
      <c r="F123" s="24" t="str">
        <f aca="false">B123</f>
        <v>UMAR ABDUL MALIK</v>
      </c>
      <c r="G123" s="24"/>
      <c r="H123" s="24"/>
      <c r="I123" s="24" t="str">
        <f aca="false">B123</f>
        <v>UMAR ABDUL MALIK</v>
      </c>
      <c r="J123" s="24"/>
      <c r="K123" s="24"/>
      <c r="L123" s="24" t="str">
        <f aca="false">B123</f>
        <v>UMAR ABDUL MALIK</v>
      </c>
      <c r="M123" s="24"/>
      <c r="N123" s="24"/>
      <c r="O123" s="24" t="str">
        <f aca="false">B123</f>
        <v>UMAR ABDUL MALIK</v>
      </c>
      <c r="P123" s="24" t="s">
        <v>75</v>
      </c>
      <c r="Q123" s="24"/>
      <c r="R123" s="24" t="str">
        <f aca="false">B123</f>
        <v>UMAR ABDUL MALIK</v>
      </c>
      <c r="S123" s="24"/>
      <c r="T123" s="24"/>
      <c r="U123" s="24" t="n">
        <f aca="false">COUNTIF(B123:T123,"H")</f>
        <v>0</v>
      </c>
      <c r="V123" s="24" t="n">
        <f aca="false">COUNTIF(B123:T123,"ST")</f>
        <v>0</v>
      </c>
      <c r="W123" s="24" t="n">
        <f aca="false">COUNTIF(B123:T123,"I")</f>
        <v>0</v>
      </c>
      <c r="X123" s="24" t="n">
        <f aca="false">COUNTIF(B123:T123,"S")</f>
        <v>0</v>
      </c>
      <c r="Y123" s="24" t="n">
        <f aca="false">COUNTIF(B123:T123,"A")</f>
        <v>1</v>
      </c>
      <c r="Z123" s="24" t="str">
        <f aca="false">B123</f>
        <v>UMAR ABDUL MALIK</v>
      </c>
      <c r="AA123" s="24"/>
    </row>
    <row r="124" customFormat="false" ht="15.75" hidden="false" customHeight="false" outlineLevel="0" collapsed="false">
      <c r="A124" s="24" t="n">
        <v>16</v>
      </c>
      <c r="B124" s="24" t="str">
        <f aca="false">'absensi setoran'!B124</f>
        <v>AHMAD HAFIDZ ALHAWARI</v>
      </c>
      <c r="C124" s="24" t="n">
        <f aca="false">'absensi setoran'!C124</f>
        <v>10</v>
      </c>
      <c r="D124" s="24"/>
      <c r="E124" s="24"/>
      <c r="F124" s="24" t="str">
        <f aca="false">B124</f>
        <v>AHMAD HAFIDZ ALHAWARI</v>
      </c>
      <c r="G124" s="24"/>
      <c r="H124" s="24"/>
      <c r="I124" s="24" t="str">
        <f aca="false">B124</f>
        <v>AHMAD HAFIDZ ALHAWARI</v>
      </c>
      <c r="J124" s="24"/>
      <c r="K124" s="24"/>
      <c r="L124" s="24" t="str">
        <f aca="false">B124</f>
        <v>AHMAD HAFIDZ ALHAWARI</v>
      </c>
      <c r="M124" s="24"/>
      <c r="N124" s="24"/>
      <c r="O124" s="24" t="str">
        <f aca="false">B124</f>
        <v>AHMAD HAFIDZ ALHAWARI</v>
      </c>
      <c r="P124" s="24" t="s">
        <v>78</v>
      </c>
      <c r="Q124" s="24"/>
      <c r="R124" s="24" t="str">
        <f aca="false">B124</f>
        <v>AHMAD HAFIDZ ALHAWARI</v>
      </c>
      <c r="S124" s="24"/>
      <c r="T124" s="24"/>
      <c r="U124" s="24" t="n">
        <f aca="false">COUNTIF(B124:T124,"H")</f>
        <v>1</v>
      </c>
      <c r="V124" s="24" t="n">
        <f aca="false">COUNTIF(B124:T124,"ST")</f>
        <v>0</v>
      </c>
      <c r="W124" s="24" t="n">
        <f aca="false">COUNTIF(B124:T124,"I")</f>
        <v>0</v>
      </c>
      <c r="X124" s="24" t="n">
        <f aca="false">COUNTIF(B124:T124,"S")</f>
        <v>0</v>
      </c>
      <c r="Y124" s="24" t="n">
        <f aca="false">COUNTIF(B124:T124,"A")</f>
        <v>0</v>
      </c>
      <c r="Z124" s="24" t="str">
        <f aca="false">B124</f>
        <v>AHMAD HAFIDZ ALHAWARI</v>
      </c>
      <c r="AA124" s="24"/>
    </row>
    <row r="125" customFormat="false" ht="15.75" hidden="false" customHeight="false" outlineLevel="0" collapsed="false">
      <c r="A125" s="24" t="n">
        <v>17</v>
      </c>
      <c r="B125" s="24" t="str">
        <f aca="false">'absensi setoran'!B125</f>
        <v>MUHAMMAD FAUZAN</v>
      </c>
      <c r="C125" s="24" t="n">
        <f aca="false">'absensi setoran'!C125</f>
        <v>10</v>
      </c>
      <c r="D125" s="24"/>
      <c r="E125" s="24"/>
      <c r="F125" s="24" t="str">
        <f aca="false">B125</f>
        <v>MUHAMMAD FAUZAN</v>
      </c>
      <c r="G125" s="24"/>
      <c r="H125" s="24"/>
      <c r="I125" s="24" t="str">
        <f aca="false">B125</f>
        <v>MUHAMMAD FAUZAN</v>
      </c>
      <c r="J125" s="24"/>
      <c r="K125" s="24"/>
      <c r="L125" s="24" t="str">
        <f aca="false">B125</f>
        <v>MUHAMMAD FAUZAN</v>
      </c>
      <c r="M125" s="24"/>
      <c r="N125" s="24"/>
      <c r="O125" s="24" t="str">
        <f aca="false">B125</f>
        <v>MUHAMMAD FAUZAN</v>
      </c>
      <c r="P125" s="24" t="s">
        <v>78</v>
      </c>
      <c r="Q125" s="24"/>
      <c r="R125" s="24" t="str">
        <f aca="false">B125</f>
        <v>MUHAMMAD FAUZAN</v>
      </c>
      <c r="S125" s="24"/>
      <c r="T125" s="24"/>
      <c r="U125" s="24" t="n">
        <f aca="false">COUNTIF(B125:T125,"H")</f>
        <v>1</v>
      </c>
      <c r="V125" s="24" t="n">
        <f aca="false">COUNTIF(B125:T125,"ST")</f>
        <v>0</v>
      </c>
      <c r="W125" s="24" t="n">
        <f aca="false">COUNTIF(B125:T125,"I")</f>
        <v>0</v>
      </c>
      <c r="X125" s="24" t="n">
        <f aca="false">COUNTIF(B125:T125,"S")</f>
        <v>0</v>
      </c>
      <c r="Y125" s="24" t="n">
        <f aca="false">COUNTIF(B125:T125,"A")</f>
        <v>0</v>
      </c>
      <c r="Z125" s="24" t="str">
        <f aca="false">B125</f>
        <v>MUHAMMAD FAUZAN</v>
      </c>
      <c r="AA125" s="24"/>
    </row>
    <row r="126" customFormat="false" ht="15.75" hidden="false" customHeight="false" outlineLevel="0" collapsed="false">
      <c r="A126" s="24" t="n">
        <v>18</v>
      </c>
      <c r="B126" s="24" t="str">
        <f aca="false">'absensi setoran'!B126</f>
        <v>AKBAR RAMADAN</v>
      </c>
      <c r="C126" s="24" t="n">
        <f aca="false">'absensi setoran'!C126</f>
        <v>9</v>
      </c>
      <c r="D126" s="24"/>
      <c r="E126" s="24"/>
      <c r="F126" s="24" t="str">
        <f aca="false">B126</f>
        <v>AKBAR RAMADAN</v>
      </c>
      <c r="G126" s="24"/>
      <c r="H126" s="24"/>
      <c r="I126" s="24" t="str">
        <f aca="false">B126</f>
        <v>AKBAR RAMADAN</v>
      </c>
      <c r="J126" s="24"/>
      <c r="K126" s="24"/>
      <c r="L126" s="24" t="str">
        <f aca="false">B126</f>
        <v>AKBAR RAMADAN</v>
      </c>
      <c r="M126" s="24"/>
      <c r="N126" s="24"/>
      <c r="O126" s="24" t="str">
        <f aca="false">B126</f>
        <v>AKBAR RAMADAN</v>
      </c>
      <c r="P126" s="24" t="s">
        <v>78</v>
      </c>
      <c r="Q126" s="24"/>
      <c r="R126" s="24" t="str">
        <f aca="false">B126</f>
        <v>AKBAR RAMADAN</v>
      </c>
      <c r="S126" s="24"/>
      <c r="T126" s="24"/>
      <c r="U126" s="24" t="n">
        <f aca="false">COUNTIF(B126:T126,"H")</f>
        <v>1</v>
      </c>
      <c r="V126" s="24" t="n">
        <f aca="false">COUNTIF(B126:T126,"ST")</f>
        <v>0</v>
      </c>
      <c r="W126" s="24" t="n">
        <f aca="false">COUNTIF(B126:T126,"I")</f>
        <v>0</v>
      </c>
      <c r="X126" s="24" t="n">
        <f aca="false">COUNTIF(B126:T126,"S")</f>
        <v>0</v>
      </c>
      <c r="Y126" s="24" t="n">
        <f aca="false">COUNTIF(B126:T126,"A")</f>
        <v>0</v>
      </c>
      <c r="Z126" s="24" t="str">
        <f aca="false">B126</f>
        <v>AKBAR RAMADAN</v>
      </c>
      <c r="AA126" s="24"/>
    </row>
    <row r="127" customFormat="false" ht="15.75" hidden="false" customHeight="false" outlineLevel="0" collapsed="false">
      <c r="A127" s="24" t="n">
        <v>19</v>
      </c>
      <c r="B127" s="24" t="e">
        <f aca="false">'absensi setoran'!B127</f>
        <v>#REF!</v>
      </c>
      <c r="C127" s="24" t="e">
        <f aca="false">'absensi setoran'!C127</f>
        <v>#REF!</v>
      </c>
      <c r="D127" s="24"/>
      <c r="E127" s="24"/>
      <c r="F127" s="24" t="e">
        <f aca="false">B127</f>
        <v>#REF!</v>
      </c>
      <c r="G127" s="24"/>
      <c r="H127" s="24"/>
      <c r="I127" s="24" t="e">
        <f aca="false">B127</f>
        <v>#REF!</v>
      </c>
      <c r="J127" s="24"/>
      <c r="K127" s="24"/>
      <c r="L127" s="24" t="e">
        <f aca="false">B127</f>
        <v>#REF!</v>
      </c>
      <c r="M127" s="24"/>
      <c r="N127" s="24"/>
      <c r="O127" s="24" t="e">
        <f aca="false">B127</f>
        <v>#REF!</v>
      </c>
      <c r="P127" s="24" t="s">
        <v>78</v>
      </c>
      <c r="Q127" s="24"/>
      <c r="R127" s="24" t="e">
        <f aca="false">B127</f>
        <v>#REF!</v>
      </c>
      <c r="S127" s="24"/>
      <c r="T127" s="24"/>
      <c r="U127" s="24" t="n">
        <f aca="false">COUNTIF(B127:T127,"H")</f>
        <v>1</v>
      </c>
      <c r="V127" s="24" t="n">
        <f aca="false">COUNTIF(B127:T127,"ST")</f>
        <v>0</v>
      </c>
      <c r="W127" s="24" t="n">
        <f aca="false">COUNTIF(B127:T127,"I")</f>
        <v>0</v>
      </c>
      <c r="X127" s="24" t="n">
        <f aca="false">COUNTIF(B127:T127,"S")</f>
        <v>0</v>
      </c>
      <c r="Y127" s="24" t="n">
        <f aca="false">COUNTIF(B127:T127,"A")</f>
        <v>0</v>
      </c>
      <c r="Z127" s="24" t="e">
        <f aca="false">B127</f>
        <v>#REF!</v>
      </c>
      <c r="AA127" s="24"/>
    </row>
    <row r="128" customFormat="false" ht="15.75" hidden="false" customHeight="false" outlineLevel="0" collapsed="false">
      <c r="A128" s="24" t="n">
        <v>20</v>
      </c>
      <c r="B128" s="24" t="str">
        <f aca="false">'absensi setoran'!B128</f>
        <v>ABIDZAR ALGHIFARI</v>
      </c>
      <c r="C128" s="24" t="n">
        <f aca="false">'absensi setoran'!C128</f>
        <v>8</v>
      </c>
      <c r="D128" s="24"/>
      <c r="E128" s="24"/>
      <c r="F128" s="24" t="str">
        <f aca="false">B128</f>
        <v>ABIDZAR ALGHIFARI</v>
      </c>
      <c r="G128" s="24"/>
      <c r="H128" s="24"/>
      <c r="I128" s="24" t="str">
        <f aca="false">B128</f>
        <v>ABIDZAR ALGHIFARI</v>
      </c>
      <c r="J128" s="24"/>
      <c r="K128" s="24"/>
      <c r="L128" s="24" t="str">
        <f aca="false">B128</f>
        <v>ABIDZAR ALGHIFARI</v>
      </c>
      <c r="M128" s="24"/>
      <c r="N128" s="24"/>
      <c r="O128" s="24" t="str">
        <f aca="false">B128</f>
        <v>ABIDZAR ALGHIFARI</v>
      </c>
      <c r="P128" s="24" t="s">
        <v>78</v>
      </c>
      <c r="Q128" s="24"/>
      <c r="R128" s="24" t="str">
        <f aca="false">B128</f>
        <v>ABIDZAR ALGHIFARI</v>
      </c>
      <c r="S128" s="24"/>
      <c r="T128" s="24"/>
      <c r="U128" s="24" t="n">
        <f aca="false">COUNTIF(B128:T128,"H")</f>
        <v>1</v>
      </c>
      <c r="V128" s="24" t="n">
        <f aca="false">COUNTIF(B128:T128,"ST")</f>
        <v>0</v>
      </c>
      <c r="W128" s="24" t="n">
        <f aca="false">COUNTIF(B128:T128,"I")</f>
        <v>0</v>
      </c>
      <c r="X128" s="24" t="n">
        <f aca="false">COUNTIF(B128:T128,"S")</f>
        <v>0</v>
      </c>
      <c r="Y128" s="24" t="n">
        <f aca="false">COUNTIF(B128:T128,"A")</f>
        <v>0</v>
      </c>
      <c r="Z128" s="24" t="str">
        <f aca="false">B128</f>
        <v>ABIDZAR ALGHIFARI</v>
      </c>
      <c r="AA128" s="24"/>
    </row>
    <row r="129" customFormat="false" ht="15.75" hidden="false" customHeight="false" outlineLevel="0" collapsed="false">
      <c r="A129" s="24" t="n">
        <v>21</v>
      </c>
      <c r="B129" s="24" t="str">
        <f aca="false">'absensi setoran'!B129</f>
        <v>KAFY MUHAMMAD AZIZY</v>
      </c>
      <c r="C129" s="24" t="n">
        <f aca="false">'absensi setoran'!C129</f>
        <v>7</v>
      </c>
      <c r="D129" s="24"/>
      <c r="E129" s="24"/>
      <c r="F129" s="24" t="str">
        <f aca="false">B129</f>
        <v>KAFY MUHAMMAD AZIZY</v>
      </c>
      <c r="G129" s="24"/>
      <c r="H129" s="24"/>
      <c r="I129" s="24" t="str">
        <f aca="false">B129</f>
        <v>KAFY MUHAMMAD AZIZY</v>
      </c>
      <c r="J129" s="24"/>
      <c r="K129" s="24"/>
      <c r="L129" s="24" t="str">
        <f aca="false">B129</f>
        <v>KAFY MUHAMMAD AZIZY</v>
      </c>
      <c r="M129" s="24"/>
      <c r="N129" s="24"/>
      <c r="O129" s="24" t="str">
        <f aca="false">B129</f>
        <v>KAFY MUHAMMAD AZIZY</v>
      </c>
      <c r="P129" s="24" t="s">
        <v>78</v>
      </c>
      <c r="Q129" s="24"/>
      <c r="R129" s="24" t="str">
        <f aca="false">B129</f>
        <v>KAFY MUHAMMAD AZIZY</v>
      </c>
      <c r="S129" s="24"/>
      <c r="T129" s="24"/>
      <c r="U129" s="24" t="n">
        <f aca="false">COUNTIF(B129:T129,"H")</f>
        <v>1</v>
      </c>
      <c r="V129" s="24" t="n">
        <f aca="false">COUNTIF(B129:T129,"ST")</f>
        <v>0</v>
      </c>
      <c r="W129" s="24" t="n">
        <f aca="false">COUNTIF(B129:T129,"I")</f>
        <v>0</v>
      </c>
      <c r="X129" s="24" t="n">
        <f aca="false">COUNTIF(B129:T129,"S")</f>
        <v>0</v>
      </c>
      <c r="Y129" s="24" t="n">
        <f aca="false">COUNTIF(B129:T129,"A")</f>
        <v>0</v>
      </c>
      <c r="Z129" s="24" t="str">
        <f aca="false">B129</f>
        <v>KAFY MUHAMMAD AZIZY</v>
      </c>
      <c r="AA129" s="24"/>
    </row>
    <row r="130" customFormat="false" ht="15.75" hidden="false" customHeight="false" outlineLevel="0" collapsed="false">
      <c r="A130" s="24" t="n">
        <v>22</v>
      </c>
      <c r="B130" s="24" t="e">
        <f aca="false">'absensi setoran'!B130</f>
        <v>#REF!</v>
      </c>
      <c r="C130" s="24" t="e">
        <f aca="false">'absensi setoran'!C130</f>
        <v>#REF!</v>
      </c>
      <c r="D130" s="24"/>
      <c r="E130" s="24"/>
      <c r="F130" s="24" t="e">
        <f aca="false">B130</f>
        <v>#REF!</v>
      </c>
      <c r="G130" s="24"/>
      <c r="H130" s="24"/>
      <c r="I130" s="24" t="e">
        <f aca="false">B130</f>
        <v>#REF!</v>
      </c>
      <c r="J130" s="24"/>
      <c r="K130" s="24"/>
      <c r="L130" s="24" t="e">
        <f aca="false">B130</f>
        <v>#REF!</v>
      </c>
      <c r="M130" s="24"/>
      <c r="N130" s="24"/>
      <c r="O130" s="24" t="e">
        <f aca="false">B130</f>
        <v>#REF!</v>
      </c>
      <c r="P130" s="24" t="s">
        <v>78</v>
      </c>
      <c r="Q130" s="24"/>
      <c r="R130" s="24" t="e">
        <f aca="false">B130</f>
        <v>#REF!</v>
      </c>
      <c r="S130" s="24"/>
      <c r="T130" s="24"/>
      <c r="U130" s="24" t="n">
        <f aca="false">COUNTIF(B130:T130,"H")</f>
        <v>1</v>
      </c>
      <c r="V130" s="24" t="n">
        <f aca="false">COUNTIF(B130:T130,"ST")</f>
        <v>0</v>
      </c>
      <c r="W130" s="24" t="n">
        <f aca="false">COUNTIF(B130:T130,"I")</f>
        <v>0</v>
      </c>
      <c r="X130" s="24" t="n">
        <f aca="false">COUNTIF(B130:T130,"S")</f>
        <v>0</v>
      </c>
      <c r="Y130" s="24" t="n">
        <f aca="false">COUNTIF(B130:T130,"A")</f>
        <v>0</v>
      </c>
      <c r="Z130" s="24" t="e">
        <f aca="false">B130</f>
        <v>#REF!</v>
      </c>
      <c r="AA130" s="24"/>
    </row>
    <row r="131" customFormat="false" ht="15.75" hidden="false" customHeight="false" outlineLevel="0" collapsed="false">
      <c r="A131" s="24" t="n">
        <v>23</v>
      </c>
      <c r="B131" s="24" t="str">
        <f aca="false">'absensi setoran'!B131</f>
        <v>MUHAMMAD MUNAWWAR KHOLIL</v>
      </c>
      <c r="C131" s="24" t="n">
        <f aca="false">'absensi setoran'!C131</f>
        <v>4</v>
      </c>
      <c r="D131" s="24"/>
      <c r="E131" s="24"/>
      <c r="F131" s="24" t="str">
        <f aca="false">B131</f>
        <v>MUHAMMAD MUNAWWAR KHOLIL</v>
      </c>
      <c r="G131" s="24"/>
      <c r="H131" s="24"/>
      <c r="I131" s="24" t="str">
        <f aca="false">B131</f>
        <v>MUHAMMAD MUNAWWAR KHOLIL</v>
      </c>
      <c r="J131" s="24"/>
      <c r="K131" s="24"/>
      <c r="L131" s="24" t="str">
        <f aca="false">B131</f>
        <v>MUHAMMAD MUNAWWAR KHOLIL</v>
      </c>
      <c r="M131" s="24"/>
      <c r="N131" s="24"/>
      <c r="O131" s="24" t="str">
        <f aca="false">B131</f>
        <v>MUHAMMAD MUNAWWAR KHOLIL</v>
      </c>
      <c r="P131" s="24" t="s">
        <v>78</v>
      </c>
      <c r="Q131" s="24"/>
      <c r="R131" s="24" t="str">
        <f aca="false">B131</f>
        <v>MUHAMMAD MUNAWWAR KHOLIL</v>
      </c>
      <c r="S131" s="24"/>
      <c r="T131" s="24"/>
      <c r="U131" s="24" t="n">
        <f aca="false">COUNTIF(B131:T131,"H")</f>
        <v>1</v>
      </c>
      <c r="V131" s="24" t="n">
        <f aca="false">COUNTIF(B131:T131,"ST")</f>
        <v>0</v>
      </c>
      <c r="W131" s="24" t="n">
        <f aca="false">COUNTIF(B131:T131,"I")</f>
        <v>0</v>
      </c>
      <c r="X131" s="24" t="n">
        <f aca="false">COUNTIF(B131:T131,"S")</f>
        <v>0</v>
      </c>
      <c r="Y131" s="24" t="n">
        <f aca="false">COUNTIF(B131:T131,"A")</f>
        <v>0</v>
      </c>
      <c r="Z131" s="24" t="str">
        <f aca="false">B131</f>
        <v>MUHAMMAD MUNAWWAR KHOLIL</v>
      </c>
      <c r="AA131" s="24"/>
    </row>
    <row r="132" customFormat="false" ht="15.75" hidden="false" customHeight="false" outlineLevel="0" collapsed="false">
      <c r="A132" s="24" t="n">
        <v>24</v>
      </c>
      <c r="B132" s="24" t="str">
        <f aca="false">'absensi setoran'!B132</f>
        <v>ALWI</v>
      </c>
      <c r="C132" s="24" t="n">
        <f aca="false">'absensi setoran'!C132</f>
        <v>3</v>
      </c>
      <c r="D132" s="24"/>
      <c r="E132" s="24"/>
      <c r="F132" s="24" t="str">
        <f aca="false">B132</f>
        <v>ALWI</v>
      </c>
      <c r="G132" s="24"/>
      <c r="H132" s="24"/>
      <c r="I132" s="24" t="str">
        <f aca="false">B132</f>
        <v>ALWI</v>
      </c>
      <c r="J132" s="24"/>
      <c r="K132" s="24"/>
      <c r="L132" s="24" t="str">
        <f aca="false">B132</f>
        <v>ALWI</v>
      </c>
      <c r="M132" s="24"/>
      <c r="N132" s="24"/>
      <c r="O132" s="24" t="str">
        <f aca="false">B132</f>
        <v>ALWI</v>
      </c>
      <c r="P132" s="24" t="s">
        <v>78</v>
      </c>
      <c r="Q132" s="24"/>
      <c r="R132" s="24" t="str">
        <f aca="false">B132</f>
        <v>ALWI</v>
      </c>
      <c r="S132" s="24"/>
      <c r="T132" s="24"/>
      <c r="U132" s="24" t="n">
        <f aca="false">COUNTIF(B132:T132,"H")</f>
        <v>1</v>
      </c>
      <c r="V132" s="24" t="n">
        <f aca="false">COUNTIF(B132:T132,"ST")</f>
        <v>0</v>
      </c>
      <c r="W132" s="24" t="n">
        <f aca="false">COUNTIF(B132:T132,"I")</f>
        <v>0</v>
      </c>
      <c r="X132" s="24" t="n">
        <f aca="false">COUNTIF(B132:T132,"S")</f>
        <v>0</v>
      </c>
      <c r="Y132" s="24" t="n">
        <f aca="false">COUNTIF(B132:T132,"A")</f>
        <v>0</v>
      </c>
      <c r="Z132" s="24" t="str">
        <f aca="false">B132</f>
        <v>ALWI</v>
      </c>
      <c r="AA132" s="24"/>
    </row>
    <row r="133" customFormat="false" ht="15.75" hidden="false" customHeight="false" outlineLevel="0" collapsed="false">
      <c r="A133" s="24" t="n">
        <v>25</v>
      </c>
      <c r="B133" s="24" t="str">
        <f aca="false">'absensi setoran'!B133</f>
        <v>PIRMAN</v>
      </c>
      <c r="C133" s="24" t="n">
        <f aca="false">'absensi setoran'!C133</f>
        <v>1</v>
      </c>
      <c r="D133" s="24"/>
      <c r="E133" s="24"/>
      <c r="F133" s="24" t="str">
        <f aca="false">B133</f>
        <v>PIRMAN</v>
      </c>
      <c r="G133" s="24"/>
      <c r="H133" s="24"/>
      <c r="I133" s="24" t="str">
        <f aca="false">B133</f>
        <v>PIRMAN</v>
      </c>
      <c r="J133" s="24"/>
      <c r="K133" s="24"/>
      <c r="L133" s="24" t="str">
        <f aca="false">B133</f>
        <v>PIRMAN</v>
      </c>
      <c r="M133" s="24"/>
      <c r="N133" s="24"/>
      <c r="O133" s="24" t="str">
        <f aca="false">B133</f>
        <v>PIRMAN</v>
      </c>
      <c r="P133" s="24" t="s">
        <v>78</v>
      </c>
      <c r="Q133" s="24"/>
      <c r="R133" s="24" t="str">
        <f aca="false">B133</f>
        <v>PIRMAN</v>
      </c>
      <c r="S133" s="24"/>
      <c r="T133" s="24"/>
      <c r="U133" s="24" t="n">
        <f aca="false">COUNTIF(B133:T133,"H")</f>
        <v>1</v>
      </c>
      <c r="V133" s="24" t="n">
        <f aca="false">COUNTIF(B133:T133,"ST")</f>
        <v>0</v>
      </c>
      <c r="W133" s="24" t="n">
        <f aca="false">COUNTIF(B133:T133,"I")</f>
        <v>0</v>
      </c>
      <c r="X133" s="24" t="n">
        <f aca="false">COUNTIF(B133:T133,"S")</f>
        <v>0</v>
      </c>
      <c r="Y133" s="24" t="n">
        <f aca="false">COUNTIF(B133:T133,"A")</f>
        <v>0</v>
      </c>
      <c r="Z133" s="24" t="str">
        <f aca="false">B133</f>
        <v>PIRMAN</v>
      </c>
      <c r="AA133" s="24"/>
    </row>
    <row r="134" customFormat="false" ht="15.75" hidden="false" customHeight="false" outlineLevel="0" collapsed="false">
      <c r="A134" s="24" t="n">
        <v>26</v>
      </c>
      <c r="B134" s="24" t="str">
        <f aca="false">'absensi setoran'!B134</f>
        <v>MUHAMMAD DENMAR NABAWI</v>
      </c>
      <c r="C134" s="24" t="n">
        <f aca="false">'absensi setoran'!C134</f>
        <v>1</v>
      </c>
      <c r="D134" s="24"/>
      <c r="E134" s="24"/>
      <c r="F134" s="24" t="str">
        <f aca="false">B134</f>
        <v>MUHAMMAD DENMAR NABAWI</v>
      </c>
      <c r="G134" s="24"/>
      <c r="H134" s="24"/>
      <c r="I134" s="24" t="str">
        <f aca="false">B134</f>
        <v>MUHAMMAD DENMAR NABAWI</v>
      </c>
      <c r="J134" s="24"/>
      <c r="K134" s="24"/>
      <c r="L134" s="24" t="str">
        <f aca="false">B134</f>
        <v>MUHAMMAD DENMAR NABAWI</v>
      </c>
      <c r="M134" s="24"/>
      <c r="N134" s="24"/>
      <c r="O134" s="24" t="str">
        <f aca="false">B134</f>
        <v>MUHAMMAD DENMAR NABAWI</v>
      </c>
      <c r="P134" s="24" t="s">
        <v>78</v>
      </c>
      <c r="Q134" s="24"/>
      <c r="R134" s="24" t="str">
        <f aca="false">B134</f>
        <v>MUHAMMAD DENMAR NABAWI</v>
      </c>
      <c r="S134" s="24"/>
      <c r="T134" s="24"/>
      <c r="U134" s="24" t="n">
        <f aca="false">COUNTIF(B134:T134,"H")</f>
        <v>1</v>
      </c>
      <c r="V134" s="24" t="n">
        <f aca="false">COUNTIF(B134:T134,"ST")</f>
        <v>0</v>
      </c>
      <c r="W134" s="24" t="n">
        <f aca="false">COUNTIF(B134:T134,"I")</f>
        <v>0</v>
      </c>
      <c r="X134" s="24" t="n">
        <f aca="false">COUNTIF(B134:T134,"S")</f>
        <v>0</v>
      </c>
      <c r="Y134" s="24" t="n">
        <f aca="false">COUNTIF(B134:T134,"A")</f>
        <v>0</v>
      </c>
      <c r="Z134" s="24" t="str">
        <f aca="false">B134</f>
        <v>MUHAMMAD DENMAR NABAWI</v>
      </c>
      <c r="AA134" s="24"/>
    </row>
    <row r="135" customFormat="false" ht="15.75" hidden="false" customHeight="false" outlineLevel="0" collapsed="false">
      <c r="A135" s="24" t="n">
        <v>27</v>
      </c>
      <c r="B135" s="24" t="e">
        <f aca="false">'absensi setoran'!B135</f>
        <v>#REF!</v>
      </c>
      <c r="C135" s="24" t="e">
        <f aca="false">'absensi setoran'!C135</f>
        <v>#REF!</v>
      </c>
      <c r="D135" s="24"/>
      <c r="E135" s="24"/>
      <c r="F135" s="24" t="e">
        <f aca="false">B135</f>
        <v>#REF!</v>
      </c>
      <c r="G135" s="24"/>
      <c r="H135" s="24"/>
      <c r="I135" s="24" t="e">
        <f aca="false">B135</f>
        <v>#REF!</v>
      </c>
      <c r="J135" s="24"/>
      <c r="K135" s="24"/>
      <c r="L135" s="24" t="e">
        <f aca="false">B135</f>
        <v>#REF!</v>
      </c>
      <c r="M135" s="24"/>
      <c r="N135" s="24"/>
      <c r="O135" s="24" t="e">
        <f aca="false">B135</f>
        <v>#REF!</v>
      </c>
      <c r="P135" s="24" t="s">
        <v>78</v>
      </c>
      <c r="Q135" s="24"/>
      <c r="R135" s="24" t="e">
        <f aca="false">B135</f>
        <v>#REF!</v>
      </c>
      <c r="S135" s="24"/>
      <c r="T135" s="24"/>
      <c r="U135" s="24" t="n">
        <f aca="false">COUNTIF(B135:T135,"H")</f>
        <v>1</v>
      </c>
      <c r="V135" s="24" t="n">
        <f aca="false">COUNTIF(B135:T135,"ST")</f>
        <v>0</v>
      </c>
      <c r="W135" s="24" t="n">
        <f aca="false">COUNTIF(B135:T135,"I")</f>
        <v>0</v>
      </c>
      <c r="X135" s="24" t="n">
        <f aca="false">COUNTIF(B135:T135,"S")</f>
        <v>0</v>
      </c>
      <c r="Y135" s="24" t="n">
        <f aca="false">COUNTIF(B135:T135,"A")</f>
        <v>0</v>
      </c>
      <c r="Z135" s="24" t="e">
        <f aca="false">B135</f>
        <v>#REF!</v>
      </c>
      <c r="AA135" s="24"/>
    </row>
    <row r="136" customFormat="false" ht="15.75" hidden="false" customHeight="false" outlineLevel="0" collapsed="false">
      <c r="A136" s="24" t="n">
        <v>28</v>
      </c>
      <c r="B136" s="24" t="e">
        <f aca="false">'absensi setoran'!B136</f>
        <v>#REF!</v>
      </c>
      <c r="C136" s="24" t="e">
        <f aca="false">'absensi setoran'!C136</f>
        <v>#REF!</v>
      </c>
      <c r="D136" s="24"/>
      <c r="E136" s="24"/>
      <c r="F136" s="24" t="e">
        <f aca="false">B136</f>
        <v>#REF!</v>
      </c>
      <c r="G136" s="24"/>
      <c r="H136" s="24"/>
      <c r="I136" s="24" t="e">
        <f aca="false">B136</f>
        <v>#REF!</v>
      </c>
      <c r="J136" s="24"/>
      <c r="K136" s="24"/>
      <c r="L136" s="24" t="e">
        <f aca="false">B136</f>
        <v>#REF!</v>
      </c>
      <c r="M136" s="24"/>
      <c r="N136" s="24"/>
      <c r="O136" s="24" t="e">
        <f aca="false">B136</f>
        <v>#REF!</v>
      </c>
      <c r="P136" s="24" t="s">
        <v>78</v>
      </c>
      <c r="Q136" s="24"/>
      <c r="R136" s="24" t="e">
        <f aca="false">B136</f>
        <v>#REF!</v>
      </c>
      <c r="S136" s="24"/>
      <c r="T136" s="24"/>
      <c r="U136" s="24" t="n">
        <f aca="false">COUNTIF(B136:T136,"H")</f>
        <v>1</v>
      </c>
      <c r="V136" s="24" t="n">
        <f aca="false">COUNTIF(B136:T136,"ST")</f>
        <v>0</v>
      </c>
      <c r="W136" s="24" t="n">
        <f aca="false">COUNTIF(B136:T136,"I")</f>
        <v>0</v>
      </c>
      <c r="X136" s="24" t="n">
        <f aca="false">COUNTIF(B136:T136,"S")</f>
        <v>0</v>
      </c>
      <c r="Y136" s="24" t="n">
        <f aca="false">COUNTIF(B136:T136,"A")</f>
        <v>0</v>
      </c>
      <c r="Z136" s="24" t="e">
        <f aca="false">B136</f>
        <v>#REF!</v>
      </c>
      <c r="AA136" s="24"/>
    </row>
    <row r="137" customFormat="false" ht="15.75" hidden="false" customHeight="false" outlineLevel="0" collapsed="false">
      <c r="A137" s="19" t="s">
        <v>48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24"/>
    </row>
    <row r="138" customFormat="false" ht="15.75" hidden="false" customHeight="fals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24"/>
    </row>
    <row r="139" customFormat="false" ht="15.75" hidden="false" customHeight="fals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24"/>
    </row>
    <row r="140" customFormat="false" ht="15.75" hidden="false" customHeight="false" outlineLevel="0" collapsed="false">
      <c r="A140" s="20" t="s">
        <v>301</v>
      </c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4"/>
    </row>
    <row r="141" customFormat="false" ht="15.75" hidden="false" customHeight="false" outlineLevel="0" collapsed="false">
      <c r="A141" s="21" t="s">
        <v>1</v>
      </c>
      <c r="B141" s="21" t="s">
        <v>2</v>
      </c>
      <c r="C141" s="22"/>
      <c r="D141" s="21" t="s">
        <v>262</v>
      </c>
      <c r="E141" s="21"/>
      <c r="F141" s="21" t="s">
        <v>2</v>
      </c>
      <c r="G141" s="21" t="s">
        <v>302</v>
      </c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39" t="s">
        <v>49</v>
      </c>
      <c r="V141" s="39"/>
      <c r="W141" s="39"/>
      <c r="X141" s="39"/>
      <c r="Y141" s="39"/>
      <c r="Z141" s="39"/>
      <c r="AA141" s="24"/>
    </row>
    <row r="142" customFormat="false" ht="15.75" hidden="false" customHeight="false" outlineLevel="0" collapsed="false">
      <c r="A142" s="21"/>
      <c r="B142" s="21"/>
      <c r="C142" s="22" t="s">
        <v>50</v>
      </c>
      <c r="D142" s="40" t="s">
        <v>296</v>
      </c>
      <c r="E142" s="40" t="s">
        <v>67</v>
      </c>
      <c r="F142" s="21"/>
      <c r="G142" s="40" t="s">
        <v>296</v>
      </c>
      <c r="H142" s="40" t="s">
        <v>67</v>
      </c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4" t="s">
        <v>51</v>
      </c>
      <c r="V142" s="24" t="s">
        <v>52</v>
      </c>
      <c r="W142" s="24" t="s">
        <v>53</v>
      </c>
      <c r="X142" s="24" t="s">
        <v>54</v>
      </c>
      <c r="Y142" s="24" t="s">
        <v>55</v>
      </c>
      <c r="Z142" s="24"/>
      <c r="AA142" s="24"/>
    </row>
    <row r="143" customFormat="false" ht="15.75" hidden="false" customHeight="false" outlineLevel="0" collapsed="false">
      <c r="A143" s="24" t="n">
        <v>1</v>
      </c>
      <c r="B143" s="24" t="str">
        <f aca="false">'absensi setoran'!B143</f>
        <v>AYI KOSIM HATIMI</v>
      </c>
      <c r="C143" s="24" t="n">
        <f aca="false">'absensi setoran'!C143</f>
        <v>30</v>
      </c>
      <c r="D143" s="24"/>
      <c r="E143" s="24"/>
      <c r="F143" s="24" t="str">
        <f aca="false">B143</f>
        <v>AYI KOSIM HATIMI</v>
      </c>
      <c r="G143" s="24"/>
      <c r="H143" s="24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4" t="n">
        <f aca="false">COUNTIF(B143:T143,"H")</f>
        <v>0</v>
      </c>
      <c r="V143" s="24" t="n">
        <f aca="false">COUNTIF(B143:T143,"ST")</f>
        <v>0</v>
      </c>
      <c r="W143" s="24" t="n">
        <f aca="false">COUNTIF(B143:T143,"I")</f>
        <v>0</v>
      </c>
      <c r="X143" s="24" t="n">
        <f aca="false">COUNTIF(B143:T143,"S")</f>
        <v>0</v>
      </c>
      <c r="Y143" s="24" t="n">
        <f aca="false">COUNTIF(B143:T143,"A")</f>
        <v>0</v>
      </c>
      <c r="Z143" s="24" t="str">
        <f aca="false">B143</f>
        <v>AYI KOSIM HATIMI</v>
      </c>
      <c r="AA143" s="24"/>
    </row>
    <row r="144" customFormat="false" ht="15.75" hidden="false" customHeight="false" outlineLevel="0" collapsed="false">
      <c r="A144" s="24" t="n">
        <v>2</v>
      </c>
      <c r="B144" s="24" t="str">
        <f aca="false">'absensi setoran'!B144</f>
        <v>ABRURRAHMAN AFANDI</v>
      </c>
      <c r="C144" s="24" t="n">
        <f aca="false">'absensi setoran'!C144</f>
        <v>30</v>
      </c>
      <c r="D144" s="24"/>
      <c r="E144" s="24"/>
      <c r="F144" s="24" t="str">
        <f aca="false">B144</f>
        <v>ABRURRAHMAN AFANDI</v>
      </c>
      <c r="G144" s="24"/>
      <c r="H144" s="24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4" t="n">
        <f aca="false">COUNTIF(B144:T144,"H")</f>
        <v>0</v>
      </c>
      <c r="V144" s="24" t="n">
        <f aca="false">COUNTIF(B144:T144,"ST")</f>
        <v>0</v>
      </c>
      <c r="W144" s="24" t="n">
        <f aca="false">COUNTIF(B144:T144,"I")</f>
        <v>0</v>
      </c>
      <c r="X144" s="24" t="n">
        <f aca="false">COUNTIF(B144:T144,"S")</f>
        <v>0</v>
      </c>
      <c r="Y144" s="24" t="n">
        <f aca="false">COUNTIF(B144:T144,"A")</f>
        <v>0</v>
      </c>
      <c r="Z144" s="24" t="str">
        <f aca="false">B144</f>
        <v>ABRURRAHMAN AFANDI</v>
      </c>
      <c r="AA144" s="24"/>
    </row>
    <row r="145" customFormat="false" ht="15.75" hidden="false" customHeight="false" outlineLevel="0" collapsed="false">
      <c r="A145" s="24" t="n">
        <v>3</v>
      </c>
      <c r="B145" s="24" t="str">
        <f aca="false">'absensi setoran'!B145</f>
        <v>CECEP ABDULATIF</v>
      </c>
      <c r="C145" s="24" t="n">
        <f aca="false">'absensi setoran'!C145</f>
        <v>30</v>
      </c>
      <c r="D145" s="24"/>
      <c r="E145" s="24"/>
      <c r="F145" s="24" t="str">
        <f aca="false">B145</f>
        <v>CECEP ABDULATIF</v>
      </c>
      <c r="G145" s="24"/>
      <c r="H145" s="24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4" t="n">
        <f aca="false">COUNTIF(B145:T145,"H")</f>
        <v>0</v>
      </c>
      <c r="V145" s="24" t="n">
        <f aca="false">COUNTIF(B145:T145,"ST")</f>
        <v>0</v>
      </c>
      <c r="W145" s="24" t="n">
        <f aca="false">COUNTIF(B145:T145,"I")</f>
        <v>0</v>
      </c>
      <c r="X145" s="24" t="n">
        <f aca="false">COUNTIF(B145:T145,"S")</f>
        <v>0</v>
      </c>
      <c r="Y145" s="24" t="n">
        <f aca="false">COUNTIF(B145:T145,"A")</f>
        <v>0</v>
      </c>
      <c r="Z145" s="24" t="str">
        <f aca="false">B145</f>
        <v>CECEP ABDULATIF</v>
      </c>
      <c r="AA145" s="24"/>
    </row>
    <row r="146" customFormat="false" ht="15.75" hidden="false" customHeight="false" outlineLevel="0" collapsed="false">
      <c r="A146" s="24" t="n">
        <v>4</v>
      </c>
      <c r="B146" s="24" t="str">
        <f aca="false">'absensi setoran'!B146</f>
        <v>DONI SUPRIATNA</v>
      </c>
      <c r="C146" s="24" t="n">
        <f aca="false">'absensi setoran'!C146</f>
        <v>30</v>
      </c>
      <c r="D146" s="24"/>
      <c r="E146" s="24"/>
      <c r="F146" s="24" t="str">
        <f aca="false">B146</f>
        <v>DONI SUPRIATNA</v>
      </c>
      <c r="G146" s="24"/>
      <c r="H146" s="24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4" t="n">
        <f aca="false">COUNTIF(B146:T146,"H")</f>
        <v>0</v>
      </c>
      <c r="V146" s="24" t="n">
        <f aca="false">COUNTIF(B146:T146,"ST")</f>
        <v>0</v>
      </c>
      <c r="W146" s="24" t="n">
        <f aca="false">COUNTIF(B146:T146,"I")</f>
        <v>0</v>
      </c>
      <c r="X146" s="24" t="n">
        <f aca="false">COUNTIF(B146:T146,"S")</f>
        <v>0</v>
      </c>
      <c r="Y146" s="24" t="n">
        <f aca="false">COUNTIF(B146:T146,"A")</f>
        <v>0</v>
      </c>
      <c r="Z146" s="24" t="str">
        <f aca="false">B146</f>
        <v>DONI SUPRIATNA</v>
      </c>
      <c r="AA146" s="24"/>
    </row>
    <row r="147" customFormat="false" ht="15.75" hidden="false" customHeight="false" outlineLevel="0" collapsed="false">
      <c r="A147" s="24" t="n">
        <v>5</v>
      </c>
      <c r="B147" s="24" t="e">
        <f aca="false">'absensi setoran'!B147</f>
        <v>#REF!</v>
      </c>
      <c r="C147" s="24" t="e">
        <f aca="false">'absensi setoran'!C147</f>
        <v>#REF!</v>
      </c>
      <c r="D147" s="24"/>
      <c r="E147" s="24"/>
      <c r="F147" s="24" t="e">
        <f aca="false">B147</f>
        <v>#REF!</v>
      </c>
      <c r="G147" s="24"/>
      <c r="H147" s="24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4" t="n">
        <f aca="false">COUNTIF(B147:T147,"H")</f>
        <v>0</v>
      </c>
      <c r="V147" s="24" t="n">
        <f aca="false">COUNTIF(B147:T147,"ST")</f>
        <v>0</v>
      </c>
      <c r="W147" s="24" t="n">
        <f aca="false">COUNTIF(B147:T147,"I")</f>
        <v>0</v>
      </c>
      <c r="X147" s="24" t="n">
        <f aca="false">COUNTIF(B147:T147,"S")</f>
        <v>0</v>
      </c>
      <c r="Y147" s="24" t="n">
        <f aca="false">COUNTIF(B147:T147,"A")</f>
        <v>0</v>
      </c>
      <c r="Z147" s="24" t="e">
        <f aca="false">B147</f>
        <v>#REF!</v>
      </c>
      <c r="AA147" s="24"/>
    </row>
    <row r="148" customFormat="false" ht="15.75" hidden="false" customHeight="false" outlineLevel="0" collapsed="false">
      <c r="A148" s="24" t="n">
        <v>6</v>
      </c>
      <c r="B148" s="24" t="str">
        <f aca="false">'absensi setoran'!B148</f>
        <v>ZAKY AZHARI</v>
      </c>
      <c r="C148" s="24" t="n">
        <f aca="false">'absensi setoran'!C148</f>
        <v>30</v>
      </c>
      <c r="D148" s="24"/>
      <c r="E148" s="24"/>
      <c r="F148" s="24" t="str">
        <f aca="false">B148</f>
        <v>ZAKY AZHARI</v>
      </c>
      <c r="G148" s="24"/>
      <c r="H148" s="24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4" t="n">
        <f aca="false">COUNTIF(B148:T148,"H")</f>
        <v>0</v>
      </c>
      <c r="V148" s="24" t="n">
        <f aca="false">COUNTIF(B148:T148,"ST")</f>
        <v>0</v>
      </c>
      <c r="W148" s="24" t="n">
        <f aca="false">COUNTIF(B148:T148,"I")</f>
        <v>0</v>
      </c>
      <c r="X148" s="24" t="n">
        <f aca="false">COUNTIF(B148:T148,"S")</f>
        <v>0</v>
      </c>
      <c r="Y148" s="24" t="n">
        <f aca="false">COUNTIF(B148:T148,"A")</f>
        <v>0</v>
      </c>
      <c r="Z148" s="24" t="str">
        <f aca="false">B148</f>
        <v>ZAKY AZHARI</v>
      </c>
      <c r="AA148" s="24"/>
    </row>
    <row r="149" customFormat="false" ht="15.75" hidden="false" customHeight="false" outlineLevel="0" collapsed="false">
      <c r="A149" s="24" t="n">
        <v>7</v>
      </c>
      <c r="B149" s="24" t="str">
        <f aca="false">'absensi setoran'!B149</f>
        <v>MUHAMMAD FAUZIL ADZIM</v>
      </c>
      <c r="C149" s="24" t="n">
        <f aca="false">'absensi setoran'!C149</f>
        <v>30</v>
      </c>
      <c r="D149" s="24"/>
      <c r="E149" s="24"/>
      <c r="F149" s="24" t="str">
        <f aca="false">B149</f>
        <v>MUHAMMAD FAUZIL ADZIM</v>
      </c>
      <c r="G149" s="24"/>
      <c r="H149" s="24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4" t="n">
        <f aca="false">COUNTIF(B149:T149,"H")</f>
        <v>0</v>
      </c>
      <c r="V149" s="24" t="n">
        <f aca="false">COUNTIF(B149:T149,"ST")</f>
        <v>0</v>
      </c>
      <c r="W149" s="24" t="n">
        <f aca="false">COUNTIF(B149:T149,"I")</f>
        <v>0</v>
      </c>
      <c r="X149" s="24" t="n">
        <f aca="false">COUNTIF(B149:T149,"S")</f>
        <v>0</v>
      </c>
      <c r="Y149" s="24" t="n">
        <f aca="false">COUNTIF(B149:T149,"A")</f>
        <v>0</v>
      </c>
      <c r="Z149" s="24" t="str">
        <f aca="false">B149</f>
        <v>MUHAMMAD FAUZIL ADZIM</v>
      </c>
      <c r="AA149" s="24"/>
    </row>
    <row r="150" customFormat="false" ht="15.75" hidden="false" customHeight="false" outlineLevel="0" collapsed="false">
      <c r="A150" s="24" t="n">
        <v>8</v>
      </c>
      <c r="B150" s="24" t="str">
        <f aca="false">'absensi setoran'!B150</f>
        <v>MUHAMMAD DZIKRI HUSAENI</v>
      </c>
      <c r="C150" s="24" t="n">
        <f aca="false">'absensi setoran'!C150</f>
        <v>18</v>
      </c>
      <c r="D150" s="24"/>
      <c r="E150" s="24"/>
      <c r="F150" s="24" t="str">
        <f aca="false">B150</f>
        <v>MUHAMMAD DZIKRI HUSAENI</v>
      </c>
      <c r="G150" s="24"/>
      <c r="H150" s="24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4" t="n">
        <f aca="false">COUNTIF(B150:T150,"H")</f>
        <v>0</v>
      </c>
      <c r="V150" s="24" t="n">
        <f aca="false">COUNTIF(B150:T150,"ST")</f>
        <v>0</v>
      </c>
      <c r="W150" s="24" t="n">
        <f aca="false">COUNTIF(B150:T150,"I")</f>
        <v>0</v>
      </c>
      <c r="X150" s="24" t="n">
        <f aca="false">COUNTIF(B150:T150,"S")</f>
        <v>0</v>
      </c>
      <c r="Y150" s="24" t="n">
        <f aca="false">COUNTIF(B150:T150,"A")</f>
        <v>0</v>
      </c>
      <c r="Z150" s="24" t="str">
        <f aca="false">B150</f>
        <v>MUHAMMAD DZIKRI HUSAENI</v>
      </c>
      <c r="AA150" s="24"/>
    </row>
    <row r="151" customFormat="false" ht="15.75" hidden="false" customHeight="false" outlineLevel="0" collapsed="false">
      <c r="A151" s="24" t="n">
        <v>9</v>
      </c>
      <c r="B151" s="24" t="e">
        <f aca="false">'absensi setoran'!B151</f>
        <v>#REF!</v>
      </c>
      <c r="C151" s="24" t="e">
        <f aca="false">'absensi setoran'!C151</f>
        <v>#REF!</v>
      </c>
      <c r="D151" s="24"/>
      <c r="E151" s="24"/>
      <c r="F151" s="24" t="e">
        <f aca="false">B151</f>
        <v>#REF!</v>
      </c>
      <c r="G151" s="24"/>
      <c r="H151" s="24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4" t="n">
        <f aca="false">COUNTIF(B151:T151,"H")</f>
        <v>0</v>
      </c>
      <c r="V151" s="24" t="n">
        <f aca="false">COUNTIF(B151:T151,"ST")</f>
        <v>0</v>
      </c>
      <c r="W151" s="24" t="n">
        <f aca="false">COUNTIF(B151:T151,"I")</f>
        <v>0</v>
      </c>
      <c r="X151" s="24" t="n">
        <f aca="false">COUNTIF(B151:T151,"S")</f>
        <v>0</v>
      </c>
      <c r="Y151" s="24" t="n">
        <f aca="false">COUNTIF(B151:T151,"A")</f>
        <v>0</v>
      </c>
      <c r="Z151" s="24" t="e">
        <f aca="false">B151</f>
        <v>#REF!</v>
      </c>
      <c r="AA151" s="24"/>
    </row>
    <row r="152" customFormat="false" ht="15.75" hidden="false" customHeight="false" outlineLevel="0" collapsed="false">
      <c r="A152" s="24" t="n">
        <v>10</v>
      </c>
      <c r="B152" s="24" t="str">
        <f aca="false">'absensi setoran'!B152</f>
        <v>ABDUL KHOLIQ</v>
      </c>
      <c r="C152" s="24" t="n">
        <f aca="false">'absensi setoran'!C152</f>
        <v>14</v>
      </c>
      <c r="D152" s="24"/>
      <c r="E152" s="24"/>
      <c r="F152" s="24" t="str">
        <f aca="false">B152</f>
        <v>ABDUL KHOLIQ</v>
      </c>
      <c r="G152" s="24"/>
      <c r="H152" s="24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4" t="n">
        <f aca="false">COUNTIF(B152:T152,"H")</f>
        <v>0</v>
      </c>
      <c r="V152" s="24" t="n">
        <f aca="false">COUNTIF(B152:T152,"ST")</f>
        <v>0</v>
      </c>
      <c r="W152" s="24" t="n">
        <f aca="false">COUNTIF(B152:T152,"I")</f>
        <v>0</v>
      </c>
      <c r="X152" s="24" t="n">
        <f aca="false">COUNTIF(B152:T152,"S")</f>
        <v>0</v>
      </c>
      <c r="Y152" s="24" t="n">
        <f aca="false">COUNTIF(B152:T152,"A")</f>
        <v>0</v>
      </c>
      <c r="Z152" s="24" t="str">
        <f aca="false">B152</f>
        <v>ABDUL KHOLIQ</v>
      </c>
      <c r="AA152" s="24"/>
    </row>
    <row r="153" customFormat="false" ht="15.75" hidden="false" customHeight="false" outlineLevel="0" collapsed="false">
      <c r="A153" s="24" t="n">
        <v>11</v>
      </c>
      <c r="B153" s="24" t="str">
        <f aca="false">'absensi setoran'!B153</f>
        <v>IYAN FARID</v>
      </c>
      <c r="C153" s="24" t="n">
        <f aca="false">'absensi setoran'!C153</f>
        <v>13</v>
      </c>
      <c r="D153" s="24"/>
      <c r="E153" s="24"/>
      <c r="F153" s="24" t="str">
        <f aca="false">B153</f>
        <v>IYAN FARID</v>
      </c>
      <c r="G153" s="24"/>
      <c r="H153" s="24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4" t="n">
        <f aca="false">COUNTIF(B153:T153,"H")</f>
        <v>0</v>
      </c>
      <c r="V153" s="24" t="n">
        <f aca="false">COUNTIF(B153:T153,"ST")</f>
        <v>0</v>
      </c>
      <c r="W153" s="24" t="n">
        <f aca="false">COUNTIF(B153:T153,"I")</f>
        <v>0</v>
      </c>
      <c r="X153" s="24" t="n">
        <f aca="false">COUNTIF(B153:T153,"S")</f>
        <v>0</v>
      </c>
      <c r="Y153" s="24" t="n">
        <f aca="false">COUNTIF(B153:T153,"A")</f>
        <v>0</v>
      </c>
      <c r="Z153" s="24" t="str">
        <f aca="false">B153</f>
        <v>IYAN FARID</v>
      </c>
      <c r="AA153" s="24"/>
    </row>
    <row r="154" customFormat="false" ht="15.75" hidden="false" customHeight="false" outlineLevel="0" collapsed="false">
      <c r="A154" s="24" t="n">
        <v>12</v>
      </c>
      <c r="B154" s="24" t="str">
        <f aca="false">'absensi setoran'!B154</f>
        <v>ZAENI NURIL HIKAM</v>
      </c>
      <c r="C154" s="24" t="n">
        <f aca="false">'absensi setoran'!C154</f>
        <v>12</v>
      </c>
      <c r="D154" s="24"/>
      <c r="E154" s="24"/>
      <c r="F154" s="24" t="str">
        <f aca="false">B154</f>
        <v>ZAENI NURIL HIKAM</v>
      </c>
      <c r="G154" s="24"/>
      <c r="H154" s="24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4" t="n">
        <f aca="false">COUNTIF(B154:T154,"H")</f>
        <v>0</v>
      </c>
      <c r="V154" s="24" t="n">
        <f aca="false">COUNTIF(B154:T154,"ST")</f>
        <v>0</v>
      </c>
      <c r="W154" s="24" t="n">
        <f aca="false">COUNTIF(B154:T154,"I")</f>
        <v>0</v>
      </c>
      <c r="X154" s="24" t="n">
        <f aca="false">COUNTIF(B154:T154,"S")</f>
        <v>0</v>
      </c>
      <c r="Y154" s="24" t="n">
        <f aca="false">COUNTIF(B154:T154,"A")</f>
        <v>0</v>
      </c>
      <c r="Z154" s="24" t="str">
        <f aca="false">B154</f>
        <v>ZAENI NURIL HIKAM</v>
      </c>
      <c r="AA154" s="24"/>
    </row>
    <row r="155" customFormat="false" ht="15.75" hidden="false" customHeight="false" outlineLevel="0" collapsed="false">
      <c r="A155" s="24" t="n">
        <v>13</v>
      </c>
      <c r="B155" s="24" t="str">
        <f aca="false">'absensi setoran'!B155</f>
        <v>LUCKY KURNIAWAN</v>
      </c>
      <c r="C155" s="24" t="n">
        <f aca="false">'absensi setoran'!C155</f>
        <v>12</v>
      </c>
      <c r="D155" s="24"/>
      <c r="E155" s="24"/>
      <c r="F155" s="24" t="str">
        <f aca="false">B155</f>
        <v>LUCKY KURNIAWAN</v>
      </c>
      <c r="G155" s="24"/>
      <c r="H155" s="24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4" t="n">
        <f aca="false">COUNTIF(B155:T155,"H")</f>
        <v>0</v>
      </c>
      <c r="V155" s="24" t="n">
        <f aca="false">COUNTIF(B155:T155,"ST")</f>
        <v>0</v>
      </c>
      <c r="W155" s="24" t="n">
        <f aca="false">COUNTIF(B155:T155,"I")</f>
        <v>0</v>
      </c>
      <c r="X155" s="24" t="n">
        <f aca="false">COUNTIF(B155:T155,"S")</f>
        <v>0</v>
      </c>
      <c r="Y155" s="24" t="n">
        <f aca="false">COUNTIF(B155:T155,"A")</f>
        <v>0</v>
      </c>
      <c r="Z155" s="24" t="str">
        <f aca="false">B155</f>
        <v>LUCKY KURNIAWAN</v>
      </c>
      <c r="AA155" s="24"/>
    </row>
    <row r="156" customFormat="false" ht="15.75" hidden="false" customHeight="false" outlineLevel="0" collapsed="false">
      <c r="A156" s="24" t="n">
        <v>14</v>
      </c>
      <c r="B156" s="24" t="str">
        <f aca="false">'absensi setoran'!B156</f>
        <v>MUHAMMAD RAFIK MUHARAM</v>
      </c>
      <c r="C156" s="24" t="n">
        <f aca="false">'absensi setoran'!C156</f>
        <v>12</v>
      </c>
      <c r="D156" s="24"/>
      <c r="E156" s="24"/>
      <c r="F156" s="24" t="str">
        <f aca="false">B156</f>
        <v>MUHAMMAD RAFIK MUHARAM</v>
      </c>
      <c r="G156" s="24"/>
      <c r="H156" s="24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4" t="n">
        <f aca="false">COUNTIF(B156:T156,"H")</f>
        <v>0</v>
      </c>
      <c r="V156" s="24" t="n">
        <f aca="false">COUNTIF(B156:T156,"ST")</f>
        <v>0</v>
      </c>
      <c r="W156" s="24" t="n">
        <f aca="false">COUNTIF(B156:T156,"I")</f>
        <v>0</v>
      </c>
      <c r="X156" s="24" t="n">
        <f aca="false">COUNTIF(B156:T156,"S")</f>
        <v>0</v>
      </c>
      <c r="Y156" s="24" t="n">
        <f aca="false">COUNTIF(B156:T156,"A")</f>
        <v>0</v>
      </c>
      <c r="Z156" s="24" t="str">
        <f aca="false">B156</f>
        <v>MUHAMMAD RAFIK MUHARAM</v>
      </c>
      <c r="AA156" s="24"/>
    </row>
    <row r="157" customFormat="false" ht="15.75" hidden="false" customHeight="false" outlineLevel="0" collapsed="false">
      <c r="A157" s="24" t="n">
        <v>15</v>
      </c>
      <c r="B157" s="24" t="str">
        <f aca="false">'absensi setoran'!B157</f>
        <v>UMAR ABDUL MALIK</v>
      </c>
      <c r="C157" s="24" t="n">
        <f aca="false">'absensi setoran'!C157</f>
        <v>11</v>
      </c>
      <c r="D157" s="24"/>
      <c r="E157" s="24"/>
      <c r="F157" s="24" t="str">
        <f aca="false">B157</f>
        <v>UMAR ABDUL MALIK</v>
      </c>
      <c r="G157" s="24"/>
      <c r="H157" s="24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4" t="n">
        <f aca="false">COUNTIF(B157:T157,"H")</f>
        <v>0</v>
      </c>
      <c r="V157" s="24" t="n">
        <f aca="false">COUNTIF(B157:T157,"ST")</f>
        <v>0</v>
      </c>
      <c r="W157" s="24" t="n">
        <f aca="false">COUNTIF(B157:T157,"I")</f>
        <v>0</v>
      </c>
      <c r="X157" s="24" t="n">
        <f aca="false">COUNTIF(B157:T157,"S")</f>
        <v>0</v>
      </c>
      <c r="Y157" s="24" t="n">
        <f aca="false">COUNTIF(B157:T157,"A")</f>
        <v>0</v>
      </c>
      <c r="Z157" s="24" t="str">
        <f aca="false">B157</f>
        <v>UMAR ABDUL MALIK</v>
      </c>
      <c r="AA157" s="24"/>
    </row>
    <row r="158" customFormat="false" ht="15.75" hidden="false" customHeight="false" outlineLevel="0" collapsed="false">
      <c r="A158" s="24" t="n">
        <v>16</v>
      </c>
      <c r="B158" s="24" t="str">
        <f aca="false">'absensi setoran'!B158</f>
        <v>AHMAD HAFIDZ ALHAWARI</v>
      </c>
      <c r="C158" s="24" t="n">
        <f aca="false">'absensi setoran'!C158</f>
        <v>10</v>
      </c>
      <c r="D158" s="24"/>
      <c r="E158" s="24"/>
      <c r="F158" s="24" t="str">
        <f aca="false">B158</f>
        <v>AHMAD HAFIDZ ALHAWARI</v>
      </c>
      <c r="G158" s="24"/>
      <c r="H158" s="24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4" t="n">
        <f aca="false">COUNTIF(B158:T158,"H")</f>
        <v>0</v>
      </c>
      <c r="V158" s="24" t="n">
        <f aca="false">COUNTIF(B158:T158,"ST")</f>
        <v>0</v>
      </c>
      <c r="W158" s="24" t="n">
        <f aca="false">COUNTIF(B158:T158,"I")</f>
        <v>0</v>
      </c>
      <c r="X158" s="24" t="n">
        <f aca="false">COUNTIF(B158:T158,"S")</f>
        <v>0</v>
      </c>
      <c r="Y158" s="24" t="n">
        <f aca="false">COUNTIF(B158:T158,"A")</f>
        <v>0</v>
      </c>
      <c r="Z158" s="24" t="str">
        <f aca="false">B158</f>
        <v>AHMAD HAFIDZ ALHAWARI</v>
      </c>
      <c r="AA158" s="24"/>
    </row>
    <row r="159" customFormat="false" ht="15.75" hidden="false" customHeight="false" outlineLevel="0" collapsed="false">
      <c r="A159" s="24" t="n">
        <v>17</v>
      </c>
      <c r="B159" s="24" t="str">
        <f aca="false">'absensi setoran'!B159</f>
        <v>ABIDZAR FAYYAD AL FARIZI</v>
      </c>
      <c r="C159" s="24" t="n">
        <f aca="false">'absensi setoran'!C159</f>
        <v>10</v>
      </c>
      <c r="D159" s="24"/>
      <c r="E159" s="24"/>
      <c r="F159" s="24" t="str">
        <f aca="false">B159</f>
        <v>ABIDZAR FAYYAD AL FARIZI</v>
      </c>
      <c r="G159" s="24"/>
      <c r="H159" s="24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4" t="n">
        <f aca="false">COUNTIF(B159:T159,"H")</f>
        <v>0</v>
      </c>
      <c r="V159" s="24" t="n">
        <f aca="false">COUNTIF(B159:T159,"ST")</f>
        <v>0</v>
      </c>
      <c r="W159" s="24" t="n">
        <f aca="false">COUNTIF(B159:T159,"I")</f>
        <v>0</v>
      </c>
      <c r="X159" s="24" t="n">
        <f aca="false">COUNTIF(B159:T159,"S")</f>
        <v>0</v>
      </c>
      <c r="Y159" s="24" t="n">
        <f aca="false">COUNTIF(B159:T159,"A")</f>
        <v>0</v>
      </c>
      <c r="Z159" s="24" t="str">
        <f aca="false">B159</f>
        <v>ABIDZAR FAYYAD AL FARIZI</v>
      </c>
      <c r="AA159" s="24"/>
    </row>
    <row r="160" customFormat="false" ht="15.75" hidden="false" customHeight="false" outlineLevel="0" collapsed="false">
      <c r="A160" s="24" t="n">
        <v>18</v>
      </c>
      <c r="B160" s="24" t="str">
        <f aca="false">'absensi setoran'!B160</f>
        <v>AKBAR RAMADAN</v>
      </c>
      <c r="C160" s="24" t="n">
        <f aca="false">'absensi setoran'!C160</f>
        <v>9</v>
      </c>
      <c r="D160" s="24"/>
      <c r="E160" s="24"/>
      <c r="F160" s="24" t="str">
        <f aca="false">B160</f>
        <v>AKBAR RAMADAN</v>
      </c>
      <c r="G160" s="24"/>
      <c r="H160" s="24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4" t="n">
        <f aca="false">COUNTIF(B160:T160,"H")</f>
        <v>0</v>
      </c>
      <c r="V160" s="24" t="n">
        <f aca="false">COUNTIF(B160:T160,"ST")</f>
        <v>0</v>
      </c>
      <c r="W160" s="24" t="n">
        <f aca="false">COUNTIF(B160:T160,"I")</f>
        <v>0</v>
      </c>
      <c r="X160" s="24" t="n">
        <f aca="false">COUNTIF(B160:T160,"S")</f>
        <v>0</v>
      </c>
      <c r="Y160" s="24" t="n">
        <f aca="false">COUNTIF(B160:T160,"A")</f>
        <v>0</v>
      </c>
      <c r="Z160" s="24" t="str">
        <f aca="false">B160</f>
        <v>AKBAR RAMADAN</v>
      </c>
      <c r="AA160" s="24"/>
    </row>
    <row r="161" customFormat="false" ht="15.75" hidden="false" customHeight="false" outlineLevel="0" collapsed="false">
      <c r="A161" s="24" t="n">
        <v>19</v>
      </c>
      <c r="B161" s="24" t="e">
        <f aca="false">'absensi setoran'!B161</f>
        <v>#REF!</v>
      </c>
      <c r="C161" s="24" t="e">
        <f aca="false">'absensi setoran'!C161</f>
        <v>#REF!</v>
      </c>
      <c r="D161" s="24"/>
      <c r="E161" s="24"/>
      <c r="F161" s="24" t="e">
        <f aca="false">B161</f>
        <v>#REF!</v>
      </c>
      <c r="G161" s="24"/>
      <c r="H161" s="24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4" t="n">
        <f aca="false">COUNTIF(B161:T161,"H")</f>
        <v>0</v>
      </c>
      <c r="V161" s="24" t="n">
        <f aca="false">COUNTIF(B161:T161,"ST")</f>
        <v>0</v>
      </c>
      <c r="W161" s="24" t="n">
        <f aca="false">COUNTIF(B161:T161,"I")</f>
        <v>0</v>
      </c>
      <c r="X161" s="24" t="n">
        <f aca="false">COUNTIF(B161:T161,"S")</f>
        <v>0</v>
      </c>
      <c r="Y161" s="24" t="n">
        <f aca="false">COUNTIF(B161:T161,"A")</f>
        <v>0</v>
      </c>
      <c r="Z161" s="24" t="e">
        <f aca="false">B161</f>
        <v>#REF!</v>
      </c>
      <c r="AA161" s="24"/>
    </row>
    <row r="162" customFormat="false" ht="15.75" hidden="false" customHeight="false" outlineLevel="0" collapsed="false">
      <c r="A162" s="24" t="n">
        <v>20</v>
      </c>
      <c r="B162" s="24" t="str">
        <f aca="false">'absensi setoran'!B162</f>
        <v>ABIDZAR ALGHIFARI</v>
      </c>
      <c r="C162" s="24" t="n">
        <f aca="false">'absensi setoran'!C162</f>
        <v>8</v>
      </c>
      <c r="D162" s="24"/>
      <c r="E162" s="24"/>
      <c r="F162" s="24" t="str">
        <f aca="false">B162</f>
        <v>ABIDZAR ALGHIFARI</v>
      </c>
      <c r="G162" s="24"/>
      <c r="H162" s="24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4" t="n">
        <f aca="false">COUNTIF(B162:T162,"H")</f>
        <v>0</v>
      </c>
      <c r="V162" s="24" t="n">
        <f aca="false">COUNTIF(B162:T162,"ST")</f>
        <v>0</v>
      </c>
      <c r="W162" s="24" t="n">
        <f aca="false">COUNTIF(B162:T162,"I")</f>
        <v>0</v>
      </c>
      <c r="X162" s="24" t="n">
        <f aca="false">COUNTIF(B162:T162,"S")</f>
        <v>0</v>
      </c>
      <c r="Y162" s="24" t="n">
        <f aca="false">COUNTIF(B162:T162,"A")</f>
        <v>0</v>
      </c>
      <c r="Z162" s="24" t="str">
        <f aca="false">B162</f>
        <v>ABIDZAR ALGHIFARI</v>
      </c>
      <c r="AA162" s="24"/>
    </row>
    <row r="163" customFormat="false" ht="15.75" hidden="false" customHeight="false" outlineLevel="0" collapsed="false">
      <c r="A163" s="24" t="n">
        <v>21</v>
      </c>
      <c r="B163" s="24" t="str">
        <f aca="false">'absensi setoran'!B163</f>
        <v>MUHAMMAD ALWI ARIZKY</v>
      </c>
      <c r="C163" s="24" t="n">
        <f aca="false">'absensi setoran'!C163</f>
        <v>7</v>
      </c>
      <c r="D163" s="24"/>
      <c r="E163" s="24"/>
      <c r="F163" s="24" t="str">
        <f aca="false">B163</f>
        <v>MUHAMMAD ALWI ARIZKY</v>
      </c>
      <c r="G163" s="24"/>
      <c r="H163" s="24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4" t="n">
        <f aca="false">COUNTIF(B163:T163,"H")</f>
        <v>0</v>
      </c>
      <c r="V163" s="24" t="n">
        <f aca="false">COUNTIF(B163:T163,"ST")</f>
        <v>0</v>
      </c>
      <c r="W163" s="24" t="n">
        <f aca="false">COUNTIF(B163:T163,"I")</f>
        <v>0</v>
      </c>
      <c r="X163" s="24" t="n">
        <f aca="false">COUNTIF(B163:T163,"S")</f>
        <v>0</v>
      </c>
      <c r="Y163" s="24" t="n">
        <f aca="false">COUNTIF(B163:T163,"A")</f>
        <v>0</v>
      </c>
      <c r="Z163" s="24" t="str">
        <f aca="false">B163</f>
        <v>MUHAMMAD ALWI ARIZKY</v>
      </c>
      <c r="AA163" s="24"/>
    </row>
    <row r="164" customFormat="false" ht="15.75" hidden="false" customHeight="false" outlineLevel="0" collapsed="false">
      <c r="A164" s="24" t="n">
        <v>22</v>
      </c>
      <c r="B164" s="24" t="e">
        <f aca="false">'absensi setoran'!B164</f>
        <v>#REF!</v>
      </c>
      <c r="C164" s="24" t="e">
        <f aca="false">'absensi setoran'!C164</f>
        <v>#REF!</v>
      </c>
      <c r="D164" s="24"/>
      <c r="E164" s="24"/>
      <c r="F164" s="24" t="e">
        <f aca="false">B164</f>
        <v>#REF!</v>
      </c>
      <c r="G164" s="24"/>
      <c r="H164" s="24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4" t="n">
        <f aca="false">COUNTIF(B164:T164,"H")</f>
        <v>0</v>
      </c>
      <c r="V164" s="24" t="n">
        <f aca="false">COUNTIF(B164:T164,"ST")</f>
        <v>0</v>
      </c>
      <c r="W164" s="24" t="n">
        <f aca="false">COUNTIF(B164:T164,"I")</f>
        <v>0</v>
      </c>
      <c r="X164" s="24" t="n">
        <f aca="false">COUNTIF(B164:T164,"S")</f>
        <v>0</v>
      </c>
      <c r="Y164" s="24" t="n">
        <f aca="false">COUNTIF(B164:T164,"A")</f>
        <v>0</v>
      </c>
      <c r="Z164" s="24" t="e">
        <f aca="false">B164</f>
        <v>#REF!</v>
      </c>
      <c r="AA164" s="24"/>
    </row>
    <row r="165" customFormat="false" ht="15.75" hidden="false" customHeight="false" outlineLevel="0" collapsed="false">
      <c r="A165" s="24" t="n">
        <v>23</v>
      </c>
      <c r="B165" s="24" t="str">
        <f aca="false">'absensi setoran'!B165</f>
        <v>MUHAMMAD MUNAWWAR KHOLIL</v>
      </c>
      <c r="C165" s="24" t="n">
        <f aca="false">'absensi setoran'!C165</f>
        <v>4</v>
      </c>
      <c r="D165" s="24"/>
      <c r="E165" s="24"/>
      <c r="F165" s="24" t="str">
        <f aca="false">B165</f>
        <v>MUHAMMAD MUNAWWAR KHOLIL</v>
      </c>
      <c r="G165" s="24"/>
      <c r="H165" s="24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4" t="n">
        <f aca="false">COUNTIF(B165:T165,"H")</f>
        <v>0</v>
      </c>
      <c r="V165" s="24" t="n">
        <f aca="false">COUNTIF(B165:T165,"ST")</f>
        <v>0</v>
      </c>
      <c r="W165" s="24" t="n">
        <f aca="false">COUNTIF(B165:T165,"I")</f>
        <v>0</v>
      </c>
      <c r="X165" s="24" t="n">
        <f aca="false">COUNTIF(B165:T165,"S")</f>
        <v>0</v>
      </c>
      <c r="Y165" s="24" t="n">
        <f aca="false">COUNTIF(B165:T165,"A")</f>
        <v>0</v>
      </c>
      <c r="Z165" s="24" t="str">
        <f aca="false">B165</f>
        <v>MUHAMMAD MUNAWWAR KHOLIL</v>
      </c>
      <c r="AA165" s="24"/>
    </row>
    <row r="166" customFormat="false" ht="15.75" hidden="false" customHeight="false" outlineLevel="0" collapsed="false">
      <c r="A166" s="24" t="n">
        <v>24</v>
      </c>
      <c r="B166" s="24" t="str">
        <f aca="false">'absensi setoran'!B166</f>
        <v>MUHAMMAD MUNAWAR KHOLIL</v>
      </c>
      <c r="C166" s="24" t="n">
        <f aca="false">'absensi setoran'!C166</f>
        <v>3</v>
      </c>
      <c r="D166" s="24"/>
      <c r="E166" s="24"/>
      <c r="F166" s="24" t="str">
        <f aca="false">B166</f>
        <v>MUHAMMAD MUNAWAR KHOLIL</v>
      </c>
      <c r="G166" s="24"/>
      <c r="H166" s="24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4" t="n">
        <f aca="false">COUNTIF(B166:T166,"H")</f>
        <v>0</v>
      </c>
      <c r="V166" s="24" t="n">
        <f aca="false">COUNTIF(B166:T166,"ST")</f>
        <v>0</v>
      </c>
      <c r="W166" s="24" t="n">
        <f aca="false">COUNTIF(B166:T166,"I")</f>
        <v>0</v>
      </c>
      <c r="X166" s="24" t="n">
        <f aca="false">COUNTIF(B166:T166,"S")</f>
        <v>0</v>
      </c>
      <c r="Y166" s="24" t="n">
        <f aca="false">COUNTIF(B166:T166,"A")</f>
        <v>0</v>
      </c>
      <c r="Z166" s="24" t="str">
        <f aca="false">B166</f>
        <v>MUHAMMAD MUNAWAR KHOLIL</v>
      </c>
      <c r="AA166" s="24"/>
    </row>
    <row r="167" customFormat="false" ht="15.75" hidden="false" customHeight="false" outlineLevel="0" collapsed="false">
      <c r="A167" s="24" t="n">
        <v>25</v>
      </c>
      <c r="B167" s="24" t="str">
        <f aca="false">'absensi setoran'!B167</f>
        <v>MUHAMMAD DENMAR NABAWI</v>
      </c>
      <c r="C167" s="24" t="n">
        <f aca="false">'absensi setoran'!C167</f>
        <v>1</v>
      </c>
      <c r="D167" s="24"/>
      <c r="E167" s="24"/>
      <c r="F167" s="24" t="str">
        <f aca="false">B167</f>
        <v>MUHAMMAD DENMAR NABAWI</v>
      </c>
      <c r="G167" s="24"/>
      <c r="H167" s="24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4" t="n">
        <f aca="false">COUNTIF(B167:T167,"H")</f>
        <v>0</v>
      </c>
      <c r="V167" s="24" t="n">
        <f aca="false">COUNTIF(B167:T167,"ST")</f>
        <v>0</v>
      </c>
      <c r="W167" s="24" t="n">
        <f aca="false">COUNTIF(B167:T167,"I")</f>
        <v>0</v>
      </c>
      <c r="X167" s="24" t="n">
        <f aca="false">COUNTIF(B167:T167,"S")</f>
        <v>0</v>
      </c>
      <c r="Y167" s="24" t="n">
        <f aca="false">COUNTIF(B167:T167,"A")</f>
        <v>0</v>
      </c>
      <c r="Z167" s="24" t="str">
        <f aca="false">B167</f>
        <v>MUHAMMAD DENMAR NABAWI</v>
      </c>
      <c r="AA167" s="24"/>
    </row>
    <row r="168" customFormat="false" ht="15.75" hidden="false" customHeight="false" outlineLevel="0" collapsed="false">
      <c r="A168" s="24" t="n">
        <v>26</v>
      </c>
      <c r="B168" s="24" t="str">
        <f aca="false">'absensi setoran'!B168</f>
        <v>MUHAMMAD RAFIK MUHARAM</v>
      </c>
      <c r="C168" s="24" t="n">
        <f aca="false">'absensi setoran'!C168</f>
        <v>1</v>
      </c>
      <c r="D168" s="24"/>
      <c r="E168" s="24"/>
      <c r="F168" s="24" t="str">
        <f aca="false">B168</f>
        <v>MUHAMMAD RAFIK MUHARAM</v>
      </c>
      <c r="G168" s="24"/>
      <c r="H168" s="24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4" t="n">
        <f aca="false">COUNTIF(B168:T168,"H")</f>
        <v>0</v>
      </c>
      <c r="V168" s="24" t="n">
        <f aca="false">COUNTIF(B168:T168,"ST")</f>
        <v>0</v>
      </c>
      <c r="W168" s="24" t="n">
        <f aca="false">COUNTIF(B168:T168,"I")</f>
        <v>0</v>
      </c>
      <c r="X168" s="24" t="n">
        <f aca="false">COUNTIF(B168:T168,"S")</f>
        <v>0</v>
      </c>
      <c r="Y168" s="24" t="n">
        <f aca="false">COUNTIF(B168:T168,"A")</f>
        <v>0</v>
      </c>
      <c r="Z168" s="24" t="str">
        <f aca="false">B168</f>
        <v>MUHAMMAD RAFIK MUHARAM</v>
      </c>
      <c r="AA168" s="24"/>
    </row>
    <row r="169" customFormat="false" ht="15.75" hidden="false" customHeight="false" outlineLevel="0" collapsed="false">
      <c r="A169" s="24" t="n">
        <v>27</v>
      </c>
      <c r="B169" s="24" t="str">
        <f aca="false">'absensi setoran'!B169</f>
        <v>FATRAH MUHAMMAD RAMADAN</v>
      </c>
      <c r="C169" s="24" t="e">
        <f aca="false">'absensi setoran'!C169</f>
        <v>#REF!</v>
      </c>
      <c r="D169" s="24"/>
      <c r="E169" s="24"/>
      <c r="F169" s="24" t="str">
        <f aca="false">B169</f>
        <v>FATRAH MUHAMMAD RAMADAN</v>
      </c>
      <c r="G169" s="24"/>
      <c r="H169" s="24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4" t="n">
        <f aca="false">COUNTIF(B169:T169,"H")</f>
        <v>0</v>
      </c>
      <c r="V169" s="24" t="n">
        <f aca="false">COUNTIF(B169:T169,"ST")</f>
        <v>0</v>
      </c>
      <c r="W169" s="24" t="n">
        <f aca="false">COUNTIF(B169:T169,"I")</f>
        <v>0</v>
      </c>
      <c r="X169" s="24" t="n">
        <f aca="false">COUNTIF(B169:T169,"S")</f>
        <v>0</v>
      </c>
      <c r="Y169" s="24" t="n">
        <f aca="false">COUNTIF(B169:T169,"A")</f>
        <v>0</v>
      </c>
      <c r="Z169" s="24" t="str">
        <f aca="false">B169</f>
        <v>FATRAH MUHAMMAD RAMADAN</v>
      </c>
      <c r="AA169" s="24"/>
    </row>
    <row r="170" customFormat="false" ht="15.75" hidden="false" customHeight="false" outlineLevel="0" collapsed="false">
      <c r="A170" s="24" t="n">
        <v>28</v>
      </c>
      <c r="B170" s="24" t="e">
        <f aca="false">'absensi setoran'!B170</f>
        <v>#REF!</v>
      </c>
      <c r="C170" s="24" t="e">
        <f aca="false">'absensi setoran'!C170</f>
        <v>#REF!</v>
      </c>
      <c r="D170" s="24"/>
      <c r="E170" s="24"/>
      <c r="F170" s="24" t="e">
        <f aca="false">B170</f>
        <v>#REF!</v>
      </c>
      <c r="G170" s="24"/>
      <c r="H170" s="24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4" t="n">
        <f aca="false">COUNTIF(B170:T170,"H")</f>
        <v>0</v>
      </c>
      <c r="V170" s="24" t="n">
        <f aca="false">COUNTIF(B170:T170,"ST")</f>
        <v>0</v>
      </c>
      <c r="W170" s="24" t="n">
        <f aca="false">COUNTIF(B170:T170,"I")</f>
        <v>0</v>
      </c>
      <c r="X170" s="24" t="n">
        <f aca="false">COUNTIF(B170:T170,"S")</f>
        <v>0</v>
      </c>
      <c r="Y170" s="24" t="n">
        <f aca="false">COUNTIF(B170:T170,"A")</f>
        <v>0</v>
      </c>
      <c r="Z170" s="24" t="e">
        <f aca="false">B170</f>
        <v>#REF!</v>
      </c>
      <c r="AA170" s="24"/>
    </row>
    <row r="171" customFormat="false" ht="15.75" hidden="false" customHeight="false" outlineLevel="0" collapsed="false">
      <c r="A171" s="24"/>
      <c r="B171" s="24"/>
      <c r="C171" s="24"/>
      <c r="D171" s="24"/>
      <c r="E171" s="24"/>
      <c r="F171" s="24"/>
      <c r="G171" s="24"/>
      <c r="H171" s="24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24"/>
      <c r="V171" s="24"/>
      <c r="W171" s="24"/>
      <c r="X171" s="24"/>
      <c r="Y171" s="24"/>
      <c r="Z171" s="24"/>
      <c r="AA171" s="24"/>
    </row>
    <row r="172" customFormat="false" ht="15.75" hidden="false" customHeight="false" outlineLevel="0" collapsed="false">
      <c r="A172" s="24"/>
      <c r="B172" s="24"/>
      <c r="C172" s="24"/>
      <c r="D172" s="24"/>
      <c r="E172" s="24"/>
      <c r="F172" s="24"/>
      <c r="G172" s="24"/>
      <c r="H172" s="24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24"/>
      <c r="V172" s="24"/>
      <c r="W172" s="24"/>
      <c r="X172" s="24"/>
      <c r="Y172" s="24"/>
      <c r="Z172" s="24"/>
      <c r="AA172" s="24"/>
    </row>
    <row r="173" customFormat="false" ht="15.75" hidden="false" customHeight="false" outlineLevel="0" collapsed="false">
      <c r="A173" s="24"/>
      <c r="B173" s="24"/>
      <c r="C173" s="24"/>
      <c r="D173" s="24"/>
      <c r="E173" s="24"/>
      <c r="F173" s="24"/>
      <c r="G173" s="24"/>
      <c r="H173" s="24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24"/>
      <c r="V173" s="24"/>
      <c r="W173" s="24"/>
      <c r="X173" s="24"/>
      <c r="Y173" s="24"/>
      <c r="Z173" s="24"/>
      <c r="AA173" s="24"/>
    </row>
    <row r="174" customFormat="false" ht="15.75" hidden="false" customHeight="false" outlineLevel="0" collapsed="false">
      <c r="A174" s="24"/>
      <c r="B174" s="24"/>
      <c r="C174" s="24"/>
      <c r="D174" s="24"/>
      <c r="E174" s="24"/>
      <c r="F174" s="24"/>
      <c r="G174" s="24"/>
      <c r="H174" s="24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24"/>
      <c r="V174" s="24"/>
      <c r="W174" s="24"/>
      <c r="X174" s="24"/>
      <c r="Y174" s="24"/>
      <c r="Z174" s="24"/>
      <c r="AA174" s="24"/>
    </row>
    <row r="175" customFormat="false" ht="15.75" hidden="false" customHeight="false" outlineLevel="0" collapsed="false">
      <c r="A175" s="24"/>
      <c r="B175" s="24"/>
      <c r="C175" s="24"/>
      <c r="D175" s="24"/>
      <c r="E175" s="24"/>
      <c r="F175" s="24"/>
      <c r="G175" s="24"/>
      <c r="H175" s="24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24"/>
      <c r="V175" s="24"/>
      <c r="W175" s="24"/>
      <c r="X175" s="24"/>
      <c r="Y175" s="24"/>
      <c r="Z175" s="24"/>
      <c r="AA175" s="24"/>
    </row>
    <row r="176" customFormat="false" ht="15.75" hidden="false" customHeight="false" outlineLevel="0" collapsed="false">
      <c r="A176" s="24"/>
      <c r="B176" s="24"/>
      <c r="C176" s="24"/>
      <c r="D176" s="24"/>
      <c r="E176" s="24"/>
      <c r="F176" s="24"/>
      <c r="G176" s="24"/>
      <c r="H176" s="24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24"/>
      <c r="V176" s="24"/>
      <c r="W176" s="24"/>
      <c r="X176" s="24"/>
      <c r="Y176" s="24"/>
      <c r="Z176" s="24"/>
      <c r="AA176" s="24"/>
    </row>
    <row r="177" customFormat="false" ht="15.75" hidden="false" customHeight="false" outlineLevel="0" collapsed="false">
      <c r="A177" s="24"/>
      <c r="B177" s="24"/>
      <c r="C177" s="24"/>
      <c r="D177" s="24"/>
      <c r="E177" s="24"/>
      <c r="F177" s="24"/>
      <c r="G177" s="24"/>
      <c r="H177" s="24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24"/>
      <c r="V177" s="24"/>
      <c r="W177" s="24"/>
      <c r="X177" s="24"/>
      <c r="Y177" s="24"/>
      <c r="Z177" s="24"/>
      <c r="AA177" s="24"/>
    </row>
    <row r="178" customFormat="false" ht="15.75" hidden="false" customHeight="false" outlineLevel="0" collapsed="false">
      <c r="A178" s="24"/>
      <c r="B178" s="24"/>
      <c r="C178" s="24"/>
      <c r="D178" s="24"/>
      <c r="E178" s="24"/>
      <c r="F178" s="24"/>
      <c r="G178" s="24"/>
      <c r="H178" s="24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24"/>
      <c r="V178" s="24"/>
      <c r="W178" s="24"/>
      <c r="X178" s="24"/>
      <c r="Y178" s="24"/>
      <c r="Z178" s="24"/>
      <c r="AA178" s="24"/>
    </row>
    <row r="179" customFormat="false" ht="15.75" hidden="false" customHeight="false" outlineLevel="0" collapsed="false">
      <c r="A179" s="24"/>
      <c r="B179" s="24"/>
      <c r="C179" s="24"/>
      <c r="D179" s="24"/>
      <c r="E179" s="24"/>
      <c r="F179" s="24"/>
      <c r="G179" s="24"/>
      <c r="H179" s="24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24"/>
      <c r="V179" s="24"/>
      <c r="W179" s="24"/>
      <c r="X179" s="24"/>
      <c r="Y179" s="24"/>
      <c r="Z179" s="24"/>
      <c r="AA179" s="24"/>
    </row>
    <row r="180" customFormat="false" ht="15.75" hidden="false" customHeight="false" outlineLevel="0" collapsed="false">
      <c r="A180" s="24"/>
      <c r="B180" s="24"/>
      <c r="C180" s="24"/>
      <c r="D180" s="24"/>
      <c r="E180" s="24"/>
      <c r="F180" s="24"/>
      <c r="G180" s="24"/>
      <c r="H180" s="24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24"/>
      <c r="V180" s="24"/>
      <c r="W180" s="24"/>
      <c r="X180" s="24"/>
      <c r="Y180" s="24"/>
      <c r="Z180" s="24"/>
      <c r="AA180" s="24"/>
    </row>
    <row r="181" customFormat="false" ht="15.75" hidden="false" customHeight="false" outlineLevel="0" collapsed="false">
      <c r="A181" s="24"/>
      <c r="B181" s="24"/>
      <c r="C181" s="24"/>
      <c r="D181" s="24"/>
      <c r="E181" s="24"/>
      <c r="F181" s="24"/>
      <c r="G181" s="24"/>
      <c r="H181" s="24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24"/>
      <c r="V181" s="24"/>
      <c r="W181" s="24"/>
      <c r="X181" s="24"/>
      <c r="Y181" s="24"/>
      <c r="Z181" s="24"/>
      <c r="AA181" s="24"/>
    </row>
    <row r="182" customFormat="false" ht="15.75" hidden="false" customHeight="false" outlineLevel="0" collapsed="false">
      <c r="A182" s="24"/>
      <c r="B182" s="24"/>
      <c r="C182" s="24"/>
      <c r="D182" s="24"/>
      <c r="E182" s="24"/>
      <c r="F182" s="24"/>
      <c r="G182" s="24"/>
      <c r="H182" s="24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24"/>
      <c r="V182" s="24"/>
      <c r="W182" s="24"/>
      <c r="X182" s="24"/>
      <c r="Y182" s="24"/>
      <c r="Z182" s="24"/>
      <c r="AA182" s="24"/>
    </row>
    <row r="183" customFormat="false" ht="15.75" hidden="false" customHeight="false" outlineLevel="0" collapsed="false">
      <c r="A183" s="24"/>
      <c r="B183" s="24"/>
      <c r="C183" s="24"/>
      <c r="D183" s="24"/>
      <c r="E183" s="24"/>
      <c r="F183" s="24"/>
      <c r="G183" s="24"/>
      <c r="H183" s="24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24"/>
      <c r="V183" s="24"/>
      <c r="W183" s="24"/>
      <c r="X183" s="24"/>
      <c r="Y183" s="24"/>
      <c r="Z183" s="24"/>
      <c r="AA183" s="24"/>
    </row>
    <row r="184" customFormat="false" ht="15.75" hidden="false" customHeight="false" outlineLevel="0" collapsed="false">
      <c r="A184" s="24"/>
      <c r="B184" s="24"/>
      <c r="C184" s="24"/>
      <c r="D184" s="24"/>
      <c r="E184" s="24"/>
      <c r="F184" s="24"/>
      <c r="G184" s="24"/>
      <c r="H184" s="24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24"/>
      <c r="V184" s="24"/>
      <c r="W184" s="24"/>
      <c r="X184" s="24"/>
      <c r="Y184" s="24"/>
      <c r="Z184" s="24"/>
      <c r="AA184" s="24"/>
    </row>
    <row r="185" customFormat="false" ht="15.75" hidden="false" customHeight="false" outlineLevel="0" collapsed="false">
      <c r="A185" s="24"/>
      <c r="B185" s="24"/>
      <c r="C185" s="24"/>
      <c r="D185" s="24"/>
      <c r="E185" s="24"/>
      <c r="F185" s="24"/>
      <c r="G185" s="24"/>
      <c r="H185" s="24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24"/>
      <c r="V185" s="24"/>
      <c r="W185" s="24"/>
      <c r="X185" s="24"/>
      <c r="Y185" s="24"/>
      <c r="Z185" s="24"/>
      <c r="AA185" s="24"/>
    </row>
    <row r="186" customFormat="false" ht="15.75" hidden="false" customHeight="false" outlineLevel="0" collapsed="false">
      <c r="A186" s="24"/>
      <c r="B186" s="24"/>
      <c r="C186" s="24"/>
      <c r="D186" s="24"/>
      <c r="E186" s="24"/>
      <c r="F186" s="24"/>
      <c r="G186" s="24"/>
      <c r="H186" s="24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24"/>
      <c r="V186" s="24"/>
      <c r="W186" s="24"/>
      <c r="X186" s="24"/>
      <c r="Y186" s="24"/>
      <c r="Z186" s="24"/>
      <c r="AA186" s="24"/>
    </row>
    <row r="187" customFormat="false" ht="15.75" hidden="false" customHeight="false" outlineLevel="0" collapsed="false">
      <c r="A187" s="24"/>
      <c r="B187" s="24"/>
      <c r="C187" s="24"/>
      <c r="D187" s="24"/>
      <c r="E187" s="24"/>
      <c r="F187" s="24"/>
      <c r="G187" s="24"/>
      <c r="H187" s="24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24"/>
      <c r="V187" s="24"/>
      <c r="W187" s="24"/>
      <c r="X187" s="24"/>
      <c r="Y187" s="24"/>
      <c r="Z187" s="24"/>
      <c r="AA187" s="24"/>
    </row>
    <row r="188" customFormat="false" ht="15.75" hidden="false" customHeight="false" outlineLevel="0" collapsed="false">
      <c r="A188" s="24"/>
      <c r="B188" s="24"/>
      <c r="C188" s="24"/>
      <c r="D188" s="24"/>
      <c r="E188" s="24"/>
      <c r="F188" s="24"/>
      <c r="G188" s="24"/>
      <c r="H188" s="24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24"/>
      <c r="V188" s="24"/>
      <c r="W188" s="24"/>
      <c r="X188" s="24"/>
      <c r="Y188" s="24"/>
      <c r="Z188" s="24"/>
      <c r="AA188" s="24"/>
    </row>
    <row r="189" customFormat="false" ht="15.75" hidden="false" customHeight="false" outlineLevel="0" collapsed="false">
      <c r="A189" s="24"/>
      <c r="B189" s="24"/>
      <c r="C189" s="24"/>
      <c r="D189" s="24"/>
      <c r="E189" s="24"/>
      <c r="F189" s="24"/>
      <c r="G189" s="24"/>
      <c r="H189" s="24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24"/>
      <c r="V189" s="24"/>
      <c r="W189" s="24"/>
      <c r="X189" s="24"/>
      <c r="Y189" s="24"/>
      <c r="Z189" s="24"/>
      <c r="AA189" s="24"/>
    </row>
    <row r="190" customFormat="false" ht="15.75" hidden="false" customHeight="false" outlineLevel="0" collapsed="false">
      <c r="A190" s="24"/>
      <c r="B190" s="24"/>
      <c r="C190" s="24"/>
      <c r="D190" s="24"/>
      <c r="E190" s="24"/>
      <c r="F190" s="24"/>
      <c r="G190" s="24"/>
      <c r="H190" s="24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24"/>
      <c r="V190" s="24"/>
      <c r="W190" s="24"/>
      <c r="X190" s="24"/>
      <c r="Y190" s="24"/>
      <c r="Z190" s="24"/>
      <c r="AA190" s="24"/>
    </row>
    <row r="191" customFormat="false" ht="15.75" hidden="false" customHeight="false" outlineLevel="0" collapsed="false">
      <c r="A191" s="24"/>
      <c r="B191" s="24"/>
      <c r="C191" s="24"/>
      <c r="D191" s="24"/>
      <c r="E191" s="24"/>
      <c r="F191" s="24"/>
      <c r="G191" s="24"/>
      <c r="H191" s="24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24"/>
      <c r="V191" s="24"/>
      <c r="W191" s="24"/>
      <c r="X191" s="24"/>
      <c r="Y191" s="24"/>
      <c r="Z191" s="24"/>
      <c r="AA191" s="24"/>
    </row>
    <row r="192" customFormat="false" ht="15.75" hidden="false" customHeight="false" outlineLevel="0" collapsed="false">
      <c r="A192" s="24"/>
      <c r="B192" s="24"/>
      <c r="C192" s="24"/>
      <c r="D192" s="24"/>
      <c r="E192" s="24"/>
      <c r="F192" s="24"/>
      <c r="G192" s="24"/>
      <c r="H192" s="24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24"/>
      <c r="V192" s="24"/>
      <c r="W192" s="24"/>
      <c r="X192" s="24"/>
      <c r="Y192" s="24"/>
      <c r="Z192" s="24"/>
      <c r="AA192" s="24"/>
    </row>
    <row r="193" customFormat="false" ht="15.75" hidden="false" customHeight="false" outlineLevel="0" collapsed="false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customFormat="false" ht="15.75" hidden="false" customHeight="false" outlineLevel="0" collapsed="false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customFormat="false" ht="15.75" hidden="false" customHeight="false" outlineLevel="0" collapsed="false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customFormat="false" ht="15.75" hidden="false" customHeight="false" outlineLevel="0" collapsed="false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customFormat="false" ht="15.75" hidden="false" customHeight="false" outlineLevel="0" collapsed="false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customFormat="false" ht="15.75" hidden="false" customHeight="false" outlineLevel="0" collapsed="false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customFormat="false" ht="15.75" hidden="false" customHeight="false" outlineLevel="0" collapsed="false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customFormat="false" ht="15.75" hidden="false" customHeight="false" outlineLevel="0" collapsed="false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customFormat="false" ht="15.75" hidden="false" customHeight="false" outlineLevel="0" collapsed="false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customFormat="false" ht="15.75" hidden="false" customHeight="false" outlineLevel="0" collapsed="false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customFormat="false" ht="15.75" hidden="false" customHeight="false" outlineLevel="0" collapsed="false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customFormat="false" ht="15.75" hidden="false" customHeight="false" outlineLevel="0" collapsed="false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customFormat="false" ht="15.75" hidden="false" customHeight="false" outlineLevel="0" collapsed="false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customFormat="false" ht="15.75" hidden="false" customHeight="false" outlineLevel="0" collapsed="false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customFormat="false" ht="15.75" hidden="false" customHeight="false" outlineLevel="0" collapsed="false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customFormat="false" ht="15.75" hidden="false" customHeight="false" outlineLevel="0" collapsed="false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customFormat="false" ht="15.75" hidden="false" customHeight="false" outlineLevel="0" collapsed="false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customFormat="false" ht="15.75" hidden="false" customHeight="false" outlineLevel="0" collapsed="false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customFormat="false" ht="15.75" hidden="false" customHeight="false" outlineLevel="0" collapsed="false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customFormat="false" ht="15.75" hidden="false" customHeight="false" outlineLevel="0" collapsed="false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customFormat="false" ht="15.75" hidden="false" customHeight="false" outlineLevel="0" collapsed="false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customFormat="false" ht="15.75" hidden="false" customHeight="false" outlineLevel="0" collapsed="false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customFormat="false" ht="15.75" hidden="false" customHeight="false" outlineLevel="0" collapsed="false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customFormat="false" ht="15.75" hidden="false" customHeight="false" outlineLevel="0" collapsed="false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customFormat="false" ht="15.75" hidden="false" customHeight="false" outlineLevel="0" collapsed="false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customFormat="false" ht="15.75" hidden="false" customHeight="false" outlineLevel="0" collapsed="false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customFormat="false" ht="15.75" hidden="false" customHeight="false" outlineLevel="0" collapsed="false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customFormat="false" ht="15.75" hidden="false" customHeight="false" outlineLevel="0" collapsed="false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customFormat="false" ht="15.75" hidden="false" customHeight="false" outlineLevel="0" collapsed="false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customFormat="false" ht="15.75" hidden="false" customHeight="false" outlineLevel="0" collapsed="false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customFormat="false" ht="15.75" hidden="false" customHeight="false" outlineLevel="0" collapsed="false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customFormat="false" ht="15.75" hidden="false" customHeight="false" outlineLevel="0" collapsed="false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customFormat="false" ht="15.75" hidden="false" customHeight="false" outlineLevel="0" collapsed="false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customFormat="false" ht="15.75" hidden="false" customHeight="false" outlineLevel="0" collapsed="false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customFormat="false" ht="15.75" hidden="false" customHeight="false" outlineLevel="0" collapsed="false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customFormat="false" ht="15.75" hidden="false" customHeight="false" outlineLevel="0" collapsed="false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customFormat="false" ht="15.75" hidden="false" customHeight="false" outlineLevel="0" collapsed="false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customFormat="false" ht="15.75" hidden="false" customHeight="false" outlineLevel="0" collapsed="false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customFormat="false" ht="15.75" hidden="false" customHeight="false" outlineLevel="0" collapsed="false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customFormat="false" ht="15.75" hidden="false" customHeight="false" outlineLevel="0" collapsed="false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customFormat="false" ht="15.75" hidden="false" customHeight="false" outlineLevel="0" collapsed="false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customFormat="false" ht="15.75" hidden="false" customHeight="false" outlineLevel="0" collapsed="false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customFormat="false" ht="15.75" hidden="false" customHeight="false" outlineLevel="0" collapsed="false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customFormat="false" ht="15.75" hidden="false" customHeight="false" outlineLevel="0" collapsed="false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customFormat="false" ht="15.75" hidden="false" customHeight="false" outlineLevel="0" collapsed="false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customFormat="false" ht="15.75" hidden="false" customHeight="false" outlineLevel="0" collapsed="false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customFormat="false" ht="15.75" hidden="false" customHeight="false" outlineLevel="0" collapsed="false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customFormat="false" ht="15.75" hidden="false" customHeight="false" outlineLevel="0" collapsed="false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customFormat="false" ht="15.75" hidden="false" customHeight="false" outlineLevel="0" collapsed="false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customFormat="false" ht="15.75" hidden="false" customHeight="false" outlineLevel="0" collapsed="false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customFormat="false" ht="15.75" hidden="false" customHeight="false" outlineLevel="0" collapsed="false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customFormat="false" ht="15.75" hidden="false" customHeight="false" outlineLevel="0" collapsed="false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customFormat="false" ht="15.75" hidden="false" customHeight="false" outlineLevel="0" collapsed="false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customFormat="false" ht="15.75" hidden="false" customHeight="false" outlineLevel="0" collapsed="false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customFormat="false" ht="15.75" hidden="false" customHeight="false" outlineLevel="0" collapsed="false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customFormat="false" ht="15.75" hidden="false" customHeight="false" outlineLevel="0" collapsed="false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customFormat="false" ht="15.75" hidden="false" customHeight="false" outlineLevel="0" collapsed="false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</row>
    <row r="250" customFormat="false" ht="15.75" hidden="false" customHeight="false" outlineLevel="0" collapsed="false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</row>
    <row r="251" customFormat="false" ht="15.75" hidden="false" customHeight="false" outlineLevel="0" collapsed="false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 customFormat="false" ht="15.75" hidden="false" customHeight="false" outlineLevel="0" collapsed="false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 customFormat="false" ht="15.75" hidden="false" customHeight="false" outlineLevel="0" collapsed="false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 customFormat="false" ht="15.75" hidden="false" customHeight="false" outlineLevel="0" collapsed="false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</row>
    <row r="255" customFormat="false" ht="15.75" hidden="false" customHeight="false" outlineLevel="0" collapsed="false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 customFormat="false" ht="15.75" hidden="false" customHeight="false" outlineLevel="0" collapsed="false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 customFormat="false" ht="15.75" hidden="false" customHeight="false" outlineLevel="0" collapsed="false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 customFormat="false" ht="15.75" hidden="false" customHeight="false" outlineLevel="0" collapsed="false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</row>
    <row r="259" customFormat="false" ht="15.75" hidden="false" customHeight="false" outlineLevel="0" collapsed="false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 customFormat="false" ht="15.75" hidden="false" customHeight="false" outlineLevel="0" collapsed="false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 customFormat="false" ht="15.75" hidden="false" customHeight="false" outlineLevel="0" collapsed="false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 customFormat="false" ht="15.75" hidden="false" customHeight="false" outlineLevel="0" collapsed="false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 customFormat="false" ht="15.75" hidden="false" customHeight="false" outlineLevel="0" collapsed="false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 customFormat="false" ht="15.75" hidden="false" customHeight="false" outlineLevel="0" collapsed="false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 customFormat="false" ht="15.75" hidden="false" customHeight="false" outlineLevel="0" collapsed="false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 customFormat="false" ht="15.75" hidden="false" customHeight="false" outlineLevel="0" collapsed="false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 customFormat="false" ht="15.75" hidden="false" customHeight="false" outlineLevel="0" collapsed="false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 customFormat="false" ht="15.75" hidden="false" customHeight="false" outlineLevel="0" collapsed="false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 customFormat="false" ht="15.75" hidden="false" customHeight="false" outlineLevel="0" collapsed="false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 customFormat="false" ht="15.75" hidden="false" customHeight="false" outlineLevel="0" collapsed="false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 customFormat="false" ht="15.75" hidden="false" customHeight="false" outlineLevel="0" collapsed="false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 customFormat="false" ht="15.75" hidden="false" customHeight="false" outlineLevel="0" collapsed="false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 customFormat="false" ht="15.75" hidden="false" customHeight="false" outlineLevel="0" collapsed="false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 customFormat="false" ht="15.75" hidden="false" customHeight="false" outlineLevel="0" collapsed="false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</row>
    <row r="275" customFormat="false" ht="15.75" hidden="false" customHeight="false" outlineLevel="0" collapsed="false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 customFormat="false" ht="15.75" hidden="false" customHeight="false" outlineLevel="0" collapsed="false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 customFormat="false" ht="15.75" hidden="false" customHeight="false" outlineLevel="0" collapsed="false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 customFormat="false" ht="15.75" hidden="false" customHeight="false" outlineLevel="0" collapsed="false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 customFormat="false" ht="15.75" hidden="false" customHeight="false" outlineLevel="0" collapsed="false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 customFormat="false" ht="15.75" hidden="false" customHeight="false" outlineLevel="0" collapsed="false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 customFormat="false" ht="15.75" hidden="false" customHeight="false" outlineLevel="0" collapsed="false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</row>
    <row r="282" customFormat="false" ht="15.75" hidden="false" customHeight="false" outlineLevel="0" collapsed="false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 customFormat="false" ht="15.75" hidden="false" customHeight="false" outlineLevel="0" collapsed="false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 customFormat="false" ht="15.75" hidden="false" customHeight="false" outlineLevel="0" collapsed="false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</row>
    <row r="285" customFormat="false" ht="15.75" hidden="false" customHeight="false" outlineLevel="0" collapsed="false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</row>
    <row r="286" customFormat="false" ht="15.75" hidden="false" customHeight="false" outlineLevel="0" collapsed="false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</row>
    <row r="287" customFormat="false" ht="15.75" hidden="false" customHeight="false" outlineLevel="0" collapsed="false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</row>
    <row r="288" customFormat="false" ht="15.75" hidden="false" customHeight="false" outlineLevel="0" collapsed="false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</row>
    <row r="289" customFormat="false" ht="15.75" hidden="false" customHeight="false" outlineLevel="0" collapsed="false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</row>
    <row r="290" customFormat="false" ht="15.75" hidden="false" customHeight="false" outlineLevel="0" collapsed="false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</row>
    <row r="291" customFormat="false" ht="15.75" hidden="false" customHeight="false" outlineLevel="0" collapsed="false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</row>
    <row r="292" customFormat="false" ht="15.75" hidden="false" customHeight="false" outlineLevel="0" collapsed="false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 customFormat="false" ht="15.75" hidden="false" customHeight="false" outlineLevel="0" collapsed="false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 customFormat="false" ht="15.75" hidden="false" customHeight="false" outlineLevel="0" collapsed="false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</row>
    <row r="295" customFormat="false" ht="15.75" hidden="false" customHeight="false" outlineLevel="0" collapsed="false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 customFormat="false" ht="15.75" hidden="false" customHeight="false" outlineLevel="0" collapsed="false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 customFormat="false" ht="15.75" hidden="false" customHeight="false" outlineLevel="0" collapsed="false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 customFormat="false" ht="15.75" hidden="false" customHeight="false" outlineLevel="0" collapsed="false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 customFormat="false" ht="15.75" hidden="false" customHeight="false" outlineLevel="0" collapsed="false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 customFormat="false" ht="15.75" hidden="false" customHeight="false" outlineLevel="0" collapsed="false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 customFormat="false" ht="15.75" hidden="false" customHeight="false" outlineLevel="0" collapsed="false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 customFormat="false" ht="15.75" hidden="false" customHeight="false" outlineLevel="0" collapsed="false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 customFormat="false" ht="15.75" hidden="false" customHeight="false" outlineLevel="0" collapsed="false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 customFormat="false" ht="15.75" hidden="false" customHeight="false" outlineLevel="0" collapsed="false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 customFormat="false" ht="15.75" hidden="false" customHeight="false" outlineLevel="0" collapsed="false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 customFormat="false" ht="15.75" hidden="false" customHeight="false" outlineLevel="0" collapsed="false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 customFormat="false" ht="15.75" hidden="false" customHeight="false" outlineLevel="0" collapsed="false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 customFormat="false" ht="15.75" hidden="false" customHeight="false" outlineLevel="0" collapsed="false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 customFormat="false" ht="15.75" hidden="false" customHeight="false" outlineLevel="0" collapsed="false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 customFormat="false" ht="15.75" hidden="false" customHeight="false" outlineLevel="0" collapsed="false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 customFormat="false" ht="15.75" hidden="false" customHeight="false" outlineLevel="0" collapsed="false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 customFormat="false" ht="15.75" hidden="false" customHeight="false" outlineLevel="0" collapsed="false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 customFormat="false" ht="15.75" hidden="false" customHeight="false" outlineLevel="0" collapsed="false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 customFormat="false" ht="15.75" hidden="false" customHeight="false" outlineLevel="0" collapsed="false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 customFormat="false" ht="15.75" hidden="false" customHeight="false" outlineLevel="0" collapsed="false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 customFormat="false" ht="15.75" hidden="false" customHeight="false" outlineLevel="0" collapsed="false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 customFormat="false" ht="15.75" hidden="false" customHeight="false" outlineLevel="0" collapsed="false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 customFormat="false" ht="15.75" hidden="false" customHeight="false" outlineLevel="0" collapsed="false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 customFormat="false" ht="15.75" hidden="false" customHeight="false" outlineLevel="0" collapsed="false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 customFormat="false" ht="15.75" hidden="false" customHeight="false" outlineLevel="0" collapsed="false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 customFormat="false" ht="15.75" hidden="false" customHeight="false" outlineLevel="0" collapsed="false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 customFormat="false" ht="15.75" hidden="false" customHeight="false" outlineLevel="0" collapsed="false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 customFormat="false" ht="15.75" hidden="false" customHeight="false" outlineLevel="0" collapsed="false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</row>
    <row r="324" customFormat="false" ht="15.75" hidden="false" customHeight="false" outlineLevel="0" collapsed="false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 customFormat="false" ht="15.75" hidden="false" customHeight="false" outlineLevel="0" collapsed="false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 customFormat="false" ht="15.75" hidden="false" customHeight="false" outlineLevel="0" collapsed="false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</row>
    <row r="327" customFormat="false" ht="15.75" hidden="false" customHeight="false" outlineLevel="0" collapsed="false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</row>
    <row r="328" customFormat="false" ht="15.75" hidden="false" customHeight="false" outlineLevel="0" collapsed="false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</row>
    <row r="329" customFormat="false" ht="15.75" hidden="false" customHeight="false" outlineLevel="0" collapsed="false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 customFormat="false" ht="15.75" hidden="false" customHeight="false" outlineLevel="0" collapsed="false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</row>
    <row r="331" customFormat="false" ht="15.75" hidden="false" customHeight="false" outlineLevel="0" collapsed="false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</row>
    <row r="332" customFormat="false" ht="15.75" hidden="false" customHeight="false" outlineLevel="0" collapsed="false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</row>
    <row r="333" customFormat="false" ht="15.75" hidden="false" customHeight="false" outlineLevel="0" collapsed="false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</row>
    <row r="334" customFormat="false" ht="15.75" hidden="false" customHeight="false" outlineLevel="0" collapsed="false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 customFormat="false" ht="15.75" hidden="false" customHeight="false" outlineLevel="0" collapsed="false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 customFormat="false" ht="15.75" hidden="false" customHeight="false" outlineLevel="0" collapsed="false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</row>
    <row r="337" customFormat="false" ht="15.75" hidden="false" customHeight="false" outlineLevel="0" collapsed="false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 customFormat="false" ht="15.75" hidden="false" customHeight="false" outlineLevel="0" collapsed="false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 customFormat="false" ht="15.75" hidden="false" customHeight="false" outlineLevel="0" collapsed="false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 customFormat="false" ht="15.75" hidden="false" customHeight="false" outlineLevel="0" collapsed="false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 customFormat="false" ht="15.75" hidden="false" customHeight="false" outlineLevel="0" collapsed="false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 customFormat="false" ht="15.75" hidden="false" customHeight="false" outlineLevel="0" collapsed="false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 customFormat="false" ht="15.75" hidden="false" customHeight="false" outlineLevel="0" collapsed="false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 customFormat="false" ht="15.75" hidden="false" customHeight="false" outlineLevel="0" collapsed="false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 customFormat="false" ht="15.75" hidden="false" customHeight="false" outlineLevel="0" collapsed="false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 customFormat="false" ht="15.75" hidden="false" customHeight="false" outlineLevel="0" collapsed="false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 customFormat="false" ht="15.75" hidden="false" customHeight="false" outlineLevel="0" collapsed="false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 customFormat="false" ht="15.75" hidden="false" customHeight="false" outlineLevel="0" collapsed="false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 customFormat="false" ht="15.75" hidden="false" customHeight="false" outlineLevel="0" collapsed="false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 customFormat="false" ht="15.75" hidden="false" customHeight="false" outlineLevel="0" collapsed="false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 customFormat="false" ht="15.75" hidden="false" customHeight="false" outlineLevel="0" collapsed="false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 customFormat="false" ht="15.75" hidden="false" customHeight="false" outlineLevel="0" collapsed="false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 customFormat="false" ht="15.75" hidden="false" customHeight="false" outlineLevel="0" collapsed="false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 customFormat="false" ht="15.75" hidden="false" customHeight="false" outlineLevel="0" collapsed="false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 customFormat="false" ht="15.75" hidden="false" customHeight="false" outlineLevel="0" collapsed="false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 customFormat="false" ht="15.75" hidden="false" customHeight="false" outlineLevel="0" collapsed="false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 customFormat="false" ht="15.75" hidden="false" customHeight="false" outlineLevel="0" collapsed="false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 customFormat="false" ht="15.75" hidden="false" customHeight="false" outlineLevel="0" collapsed="false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 customFormat="false" ht="15.75" hidden="false" customHeight="false" outlineLevel="0" collapsed="false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 customFormat="false" ht="15.75" hidden="false" customHeight="false" outlineLevel="0" collapsed="false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 customFormat="false" ht="15.75" hidden="false" customHeight="false" outlineLevel="0" collapsed="false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 customFormat="false" ht="15.75" hidden="false" customHeight="false" outlineLevel="0" collapsed="false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 customFormat="false" ht="15.75" hidden="false" customHeight="false" outlineLevel="0" collapsed="false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</row>
    <row r="364" customFormat="false" ht="15.75" hidden="false" customHeight="false" outlineLevel="0" collapsed="false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 customFormat="false" ht="15.75" hidden="false" customHeight="false" outlineLevel="0" collapsed="false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 customFormat="false" ht="15.75" hidden="false" customHeight="false" outlineLevel="0" collapsed="false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</row>
    <row r="367" customFormat="false" ht="15.75" hidden="false" customHeight="false" outlineLevel="0" collapsed="false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</row>
    <row r="368" customFormat="false" ht="15.75" hidden="false" customHeight="false" outlineLevel="0" collapsed="false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</row>
    <row r="369" customFormat="false" ht="15.75" hidden="false" customHeight="false" outlineLevel="0" collapsed="false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</row>
    <row r="370" customFormat="false" ht="15.75" hidden="false" customHeight="false" outlineLevel="0" collapsed="false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</row>
    <row r="371" customFormat="false" ht="15.75" hidden="false" customHeight="false" outlineLevel="0" collapsed="false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</row>
    <row r="372" customFormat="false" ht="15.75" hidden="false" customHeight="false" outlineLevel="0" collapsed="false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</row>
    <row r="373" customFormat="false" ht="15.75" hidden="false" customHeight="false" outlineLevel="0" collapsed="false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</row>
    <row r="374" customFormat="false" ht="15.75" hidden="false" customHeight="false" outlineLevel="0" collapsed="false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 customFormat="false" ht="15.75" hidden="false" customHeight="false" outlineLevel="0" collapsed="false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 customFormat="false" ht="15.75" hidden="false" customHeight="false" outlineLevel="0" collapsed="false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</row>
    <row r="377" customFormat="false" ht="15.75" hidden="false" customHeight="false" outlineLevel="0" collapsed="false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 customFormat="false" ht="15.75" hidden="false" customHeight="false" outlineLevel="0" collapsed="false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 customFormat="false" ht="15.75" hidden="false" customHeight="false" outlineLevel="0" collapsed="false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 customFormat="false" ht="15.75" hidden="false" customHeight="false" outlineLevel="0" collapsed="false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 customFormat="false" ht="15.75" hidden="false" customHeight="false" outlineLevel="0" collapsed="false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 customFormat="false" ht="15.75" hidden="false" customHeight="false" outlineLevel="0" collapsed="false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 customFormat="false" ht="15.75" hidden="false" customHeight="false" outlineLevel="0" collapsed="false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 customFormat="false" ht="15.75" hidden="false" customHeight="false" outlineLevel="0" collapsed="false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 customFormat="false" ht="15.75" hidden="false" customHeight="false" outlineLevel="0" collapsed="false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 customFormat="false" ht="15.75" hidden="false" customHeight="false" outlineLevel="0" collapsed="false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 customFormat="false" ht="15.75" hidden="false" customHeight="false" outlineLevel="0" collapsed="false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 customFormat="false" ht="15.75" hidden="false" customHeight="false" outlineLevel="0" collapsed="false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 customFormat="false" ht="15.75" hidden="false" customHeight="false" outlineLevel="0" collapsed="false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 customFormat="false" ht="15.75" hidden="false" customHeight="false" outlineLevel="0" collapsed="false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 customFormat="false" ht="15.75" hidden="false" customHeight="false" outlineLevel="0" collapsed="false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 customFormat="false" ht="15.75" hidden="false" customHeight="false" outlineLevel="0" collapsed="false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 customFormat="false" ht="15.75" hidden="false" customHeight="false" outlineLevel="0" collapsed="false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 customFormat="false" ht="15.75" hidden="false" customHeight="false" outlineLevel="0" collapsed="false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 customFormat="false" ht="15.75" hidden="false" customHeight="false" outlineLevel="0" collapsed="false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 customFormat="false" ht="15.75" hidden="false" customHeight="false" outlineLevel="0" collapsed="false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 customFormat="false" ht="15.75" hidden="false" customHeight="false" outlineLevel="0" collapsed="false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 customFormat="false" ht="15.75" hidden="false" customHeight="false" outlineLevel="0" collapsed="false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 customFormat="false" ht="15.75" hidden="false" customHeight="false" outlineLevel="0" collapsed="false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 customFormat="false" ht="15.75" hidden="false" customHeight="false" outlineLevel="0" collapsed="false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 customFormat="false" ht="15.75" hidden="false" customHeight="false" outlineLevel="0" collapsed="false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</row>
    <row r="402" customFormat="false" ht="15.75" hidden="false" customHeight="false" outlineLevel="0" collapsed="false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 customFormat="false" ht="15.75" hidden="false" customHeight="false" outlineLevel="0" collapsed="false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 customFormat="false" ht="15.75" hidden="false" customHeight="false" outlineLevel="0" collapsed="false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</row>
    <row r="405" customFormat="false" ht="15.75" hidden="false" customHeight="false" outlineLevel="0" collapsed="false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</row>
    <row r="406" customFormat="false" ht="15.75" hidden="false" customHeight="false" outlineLevel="0" collapsed="false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</row>
    <row r="407" customFormat="false" ht="15.75" hidden="false" customHeight="false" outlineLevel="0" collapsed="false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</row>
    <row r="408" customFormat="false" ht="15.75" hidden="false" customHeight="false" outlineLevel="0" collapsed="false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</row>
    <row r="409" customFormat="false" ht="15.75" hidden="false" customHeight="false" outlineLevel="0" collapsed="false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</row>
    <row r="410" customFormat="false" ht="15.75" hidden="false" customHeight="false" outlineLevel="0" collapsed="false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</row>
    <row r="411" customFormat="false" ht="15.75" hidden="false" customHeight="false" outlineLevel="0" collapsed="false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 customFormat="false" ht="15.75" hidden="false" customHeight="false" outlineLevel="0" collapsed="false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 customFormat="false" ht="15.75" hidden="false" customHeight="false" outlineLevel="0" collapsed="false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</row>
    <row r="414" customFormat="false" ht="15.75" hidden="false" customHeight="false" outlineLevel="0" collapsed="false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 customFormat="false" ht="15.75" hidden="false" customHeight="false" outlineLevel="0" collapsed="false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 customFormat="false" ht="15.75" hidden="false" customHeight="false" outlineLevel="0" collapsed="false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 customFormat="false" ht="15.75" hidden="false" customHeight="false" outlineLevel="0" collapsed="false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 customFormat="false" ht="15.75" hidden="false" customHeight="false" outlineLevel="0" collapsed="false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 customFormat="false" ht="15.75" hidden="false" customHeight="false" outlineLevel="0" collapsed="false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 customFormat="false" ht="15.75" hidden="false" customHeight="false" outlineLevel="0" collapsed="false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 customFormat="false" ht="15.75" hidden="false" customHeight="false" outlineLevel="0" collapsed="false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 customFormat="false" ht="15.75" hidden="false" customHeight="false" outlineLevel="0" collapsed="false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 customFormat="false" ht="15.75" hidden="false" customHeight="false" outlineLevel="0" collapsed="false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</row>
    <row r="424" customFormat="false" ht="15.75" hidden="false" customHeight="false" outlineLevel="0" collapsed="false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 customFormat="false" ht="15.75" hidden="false" customHeight="false" outlineLevel="0" collapsed="false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 customFormat="false" ht="15.75" hidden="false" customHeight="false" outlineLevel="0" collapsed="false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 customFormat="false" ht="15.75" hidden="false" customHeight="false" outlineLevel="0" collapsed="false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 customFormat="false" ht="15.75" hidden="false" customHeight="false" outlineLevel="0" collapsed="false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 customFormat="false" ht="15.75" hidden="false" customHeight="false" outlineLevel="0" collapsed="false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 customFormat="false" ht="15.75" hidden="false" customHeight="false" outlineLevel="0" collapsed="false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 customFormat="false" ht="15.75" hidden="false" customHeight="false" outlineLevel="0" collapsed="false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 customFormat="false" ht="15.75" hidden="false" customHeight="false" outlineLevel="0" collapsed="false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 customFormat="false" ht="15.75" hidden="false" customHeight="false" outlineLevel="0" collapsed="false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 customFormat="false" ht="15.75" hidden="false" customHeight="false" outlineLevel="0" collapsed="false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 customFormat="false" ht="15.75" hidden="false" customHeight="false" outlineLevel="0" collapsed="false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 customFormat="false" ht="15.75" hidden="false" customHeight="false" outlineLevel="0" collapsed="false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 customFormat="false" ht="15.75" hidden="false" customHeight="false" outlineLevel="0" collapsed="false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 customFormat="false" ht="15.75" hidden="false" customHeight="false" outlineLevel="0" collapsed="false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</row>
    <row r="439" customFormat="false" ht="15.75" hidden="false" customHeight="false" outlineLevel="0" collapsed="false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 customFormat="false" ht="15.75" hidden="false" customHeight="false" outlineLevel="0" collapsed="false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 customFormat="false" ht="15.75" hidden="false" customHeight="false" outlineLevel="0" collapsed="false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</row>
    <row r="442" customFormat="false" ht="15.75" hidden="false" customHeight="false" outlineLevel="0" collapsed="false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</row>
    <row r="443" customFormat="false" ht="15.75" hidden="false" customHeight="false" outlineLevel="0" collapsed="false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</row>
    <row r="444" customFormat="false" ht="15.75" hidden="false" customHeight="false" outlineLevel="0" collapsed="false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</row>
    <row r="445" customFormat="false" ht="15.75" hidden="false" customHeight="false" outlineLevel="0" collapsed="false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</row>
    <row r="446" customFormat="false" ht="15.75" hidden="false" customHeight="false" outlineLevel="0" collapsed="false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</row>
    <row r="447" customFormat="false" ht="15.75" hidden="false" customHeight="false" outlineLevel="0" collapsed="false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</row>
    <row r="448" customFormat="false" ht="15.75" hidden="false" customHeight="false" outlineLevel="0" collapsed="false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 customFormat="false" ht="15.75" hidden="false" customHeight="false" outlineLevel="0" collapsed="false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 customFormat="false" ht="15.75" hidden="false" customHeight="false" outlineLevel="0" collapsed="false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 customFormat="false" ht="15.75" hidden="false" customHeight="false" outlineLevel="0" collapsed="false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 customFormat="false" ht="15.75" hidden="false" customHeight="false" outlineLevel="0" collapsed="false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 customFormat="false" ht="15.75" hidden="false" customHeight="false" outlineLevel="0" collapsed="false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 customFormat="false" ht="15.75" hidden="false" customHeight="false" outlineLevel="0" collapsed="false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 customFormat="false" ht="15.75" hidden="false" customHeight="false" outlineLevel="0" collapsed="false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 customFormat="false" ht="15.75" hidden="false" customHeight="false" outlineLevel="0" collapsed="false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 customFormat="false" ht="15.75" hidden="false" customHeight="false" outlineLevel="0" collapsed="false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 customFormat="false" ht="15.75" hidden="false" customHeight="false" outlineLevel="0" collapsed="false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</row>
    <row r="459" customFormat="false" ht="15.75" hidden="false" customHeight="false" outlineLevel="0" collapsed="false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 customFormat="false" ht="15.75" hidden="false" customHeight="false" outlineLevel="0" collapsed="false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 customFormat="false" ht="15.75" hidden="false" customHeight="false" outlineLevel="0" collapsed="false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 customFormat="false" ht="15.75" hidden="false" customHeight="false" outlineLevel="0" collapsed="false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 customFormat="false" ht="15.75" hidden="false" customHeight="false" outlineLevel="0" collapsed="false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 customFormat="false" ht="15.75" hidden="false" customHeight="false" outlineLevel="0" collapsed="false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 customFormat="false" ht="15.75" hidden="false" customHeight="false" outlineLevel="0" collapsed="false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 customFormat="false" ht="15.75" hidden="false" customHeight="false" outlineLevel="0" collapsed="false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 customFormat="false" ht="15.75" hidden="false" customHeight="false" outlineLevel="0" collapsed="false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 customFormat="false" ht="15.75" hidden="false" customHeight="false" outlineLevel="0" collapsed="false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 customFormat="false" ht="15.75" hidden="false" customHeight="false" outlineLevel="0" collapsed="false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 customFormat="false" ht="15.75" hidden="false" customHeight="false" outlineLevel="0" collapsed="false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</row>
    <row r="471" customFormat="false" ht="15.75" hidden="false" customHeight="false" outlineLevel="0" collapsed="false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 customFormat="false" ht="15.75" hidden="false" customHeight="false" outlineLevel="0" collapsed="false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 customFormat="false" ht="15.75" hidden="false" customHeight="false" outlineLevel="0" collapsed="false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</row>
    <row r="474" customFormat="false" ht="15.75" hidden="false" customHeight="false" outlineLevel="0" collapsed="false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 customFormat="false" ht="15.75" hidden="false" customHeight="false" outlineLevel="0" collapsed="false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 customFormat="false" ht="15.75" hidden="false" customHeight="false" outlineLevel="0" collapsed="false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</row>
    <row r="477" customFormat="false" ht="15.75" hidden="false" customHeight="false" outlineLevel="0" collapsed="false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</row>
    <row r="478" customFormat="false" ht="15.75" hidden="false" customHeight="false" outlineLevel="0" collapsed="false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</row>
    <row r="479" customFormat="false" ht="15.75" hidden="false" customHeight="false" outlineLevel="0" collapsed="false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</row>
    <row r="480" customFormat="false" ht="15.75" hidden="false" customHeight="false" outlineLevel="0" collapsed="false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</row>
    <row r="481" customFormat="false" ht="15.75" hidden="false" customHeight="false" outlineLevel="0" collapsed="false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</row>
    <row r="482" customFormat="false" ht="15.75" hidden="false" customHeight="false" outlineLevel="0" collapsed="false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 customFormat="false" ht="15.75" hidden="false" customHeight="false" outlineLevel="0" collapsed="false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</row>
    <row r="484" customFormat="false" ht="15.75" hidden="false" customHeight="false" outlineLevel="0" collapsed="false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</row>
    <row r="485" customFormat="false" ht="15.75" hidden="false" customHeight="false" outlineLevel="0" collapsed="false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</row>
    <row r="486" customFormat="false" ht="15.75" hidden="false" customHeight="false" outlineLevel="0" collapsed="false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</row>
    <row r="487" customFormat="false" ht="15.75" hidden="false" customHeight="false" outlineLevel="0" collapsed="false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</row>
    <row r="488" customFormat="false" ht="15.75" hidden="false" customHeight="false" outlineLevel="0" collapsed="false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</row>
    <row r="489" customFormat="false" ht="15.75" hidden="false" customHeight="false" outlineLevel="0" collapsed="false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</row>
    <row r="490" customFormat="false" ht="15.75" hidden="false" customHeight="false" outlineLevel="0" collapsed="false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</row>
    <row r="491" customFormat="false" ht="15.75" hidden="false" customHeight="false" outlineLevel="0" collapsed="false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</row>
    <row r="492" customFormat="false" ht="15.75" hidden="false" customHeight="false" outlineLevel="0" collapsed="false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</row>
    <row r="493" customFormat="false" ht="15.75" hidden="false" customHeight="false" outlineLevel="0" collapsed="false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</row>
    <row r="494" customFormat="false" ht="15.75" hidden="false" customHeight="false" outlineLevel="0" collapsed="false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</row>
    <row r="495" customFormat="false" ht="15.75" hidden="false" customHeight="false" outlineLevel="0" collapsed="false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</row>
    <row r="496" customFormat="false" ht="15.75" hidden="false" customHeight="false" outlineLevel="0" collapsed="false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</row>
    <row r="497" customFormat="false" ht="15.75" hidden="false" customHeight="false" outlineLevel="0" collapsed="false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</row>
    <row r="498" customFormat="false" ht="15.75" hidden="false" customHeight="false" outlineLevel="0" collapsed="false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</row>
    <row r="499" customFormat="false" ht="15.75" hidden="false" customHeight="false" outlineLevel="0" collapsed="false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</row>
    <row r="500" customFormat="false" ht="15.75" hidden="false" customHeight="false" outlineLevel="0" collapsed="false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</row>
    <row r="501" customFormat="false" ht="15.75" hidden="false" customHeight="false" outlineLevel="0" collapsed="false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</row>
    <row r="502" customFormat="false" ht="15.75" hidden="false" customHeight="false" outlineLevel="0" collapsed="false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 customFormat="false" ht="15.75" hidden="false" customHeight="false" outlineLevel="0" collapsed="false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</row>
    <row r="504" customFormat="false" ht="15.75" hidden="false" customHeight="false" outlineLevel="0" collapsed="false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</row>
    <row r="505" customFormat="false" ht="15.75" hidden="false" customHeight="false" outlineLevel="0" collapsed="false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</row>
    <row r="506" customFormat="false" ht="15.75" hidden="false" customHeight="false" outlineLevel="0" collapsed="false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</row>
    <row r="507" customFormat="false" ht="15.75" hidden="false" customHeight="false" outlineLevel="0" collapsed="false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</row>
    <row r="508" customFormat="false" ht="15.75" hidden="false" customHeight="false" outlineLevel="0" collapsed="false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 customFormat="false" ht="15.75" hidden="false" customHeight="false" outlineLevel="0" collapsed="false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</row>
    <row r="510" customFormat="false" ht="15.75" hidden="false" customHeight="false" outlineLevel="0" collapsed="false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</row>
    <row r="511" customFormat="false" ht="15.75" hidden="false" customHeight="false" outlineLevel="0" collapsed="false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 customFormat="false" ht="15.75" hidden="false" customHeight="false" outlineLevel="0" collapsed="false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</row>
    <row r="513" customFormat="false" ht="15.75" hidden="false" customHeight="false" outlineLevel="0" collapsed="false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</row>
    <row r="514" customFormat="false" ht="15.75" hidden="false" customHeight="false" outlineLevel="0" collapsed="false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 customFormat="false" ht="15.75" hidden="false" customHeight="false" outlineLevel="0" collapsed="false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</row>
    <row r="516" customFormat="false" ht="15.75" hidden="false" customHeight="false" outlineLevel="0" collapsed="false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 customFormat="false" ht="15.75" hidden="false" customHeight="false" outlineLevel="0" collapsed="false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 customFormat="false" ht="15.75" hidden="false" customHeight="false" outlineLevel="0" collapsed="false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</row>
    <row r="519" customFormat="false" ht="15.75" hidden="false" customHeight="false" outlineLevel="0" collapsed="false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</row>
    <row r="520" customFormat="false" ht="15.75" hidden="false" customHeight="false" outlineLevel="0" collapsed="false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</row>
    <row r="521" customFormat="false" ht="15.75" hidden="false" customHeight="false" outlineLevel="0" collapsed="false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</row>
    <row r="522" customFormat="false" ht="15.75" hidden="false" customHeight="false" outlineLevel="0" collapsed="false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</row>
    <row r="523" customFormat="false" ht="15.75" hidden="false" customHeight="false" outlineLevel="0" collapsed="false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</row>
    <row r="524" customFormat="false" ht="15.75" hidden="false" customHeight="false" outlineLevel="0" collapsed="false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</row>
    <row r="525" customFormat="false" ht="15.75" hidden="false" customHeight="false" outlineLevel="0" collapsed="false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 customFormat="false" ht="15.75" hidden="false" customHeight="false" outlineLevel="0" collapsed="false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 customFormat="false" ht="15.75" hidden="false" customHeight="false" outlineLevel="0" collapsed="false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</row>
    <row r="528" customFormat="false" ht="15.75" hidden="false" customHeight="false" outlineLevel="0" collapsed="false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 customFormat="false" ht="15.75" hidden="false" customHeight="false" outlineLevel="0" collapsed="false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</row>
    <row r="530" customFormat="false" ht="15.75" hidden="false" customHeight="false" outlineLevel="0" collapsed="false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</row>
    <row r="531" customFormat="false" ht="15.75" hidden="false" customHeight="false" outlineLevel="0" collapsed="false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 customFormat="false" ht="15.75" hidden="false" customHeight="false" outlineLevel="0" collapsed="false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 customFormat="false" ht="15.75" hidden="false" customHeight="false" outlineLevel="0" collapsed="false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 customFormat="false" ht="15.75" hidden="false" customHeight="false" outlineLevel="0" collapsed="false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 customFormat="false" ht="15.75" hidden="false" customHeight="false" outlineLevel="0" collapsed="false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 customFormat="false" ht="15.75" hidden="false" customHeight="false" outlineLevel="0" collapsed="false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</row>
    <row r="537" customFormat="false" ht="15.75" hidden="false" customHeight="false" outlineLevel="0" collapsed="false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 customFormat="false" ht="15.75" hidden="false" customHeight="false" outlineLevel="0" collapsed="false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 customFormat="false" ht="15.75" hidden="false" customHeight="false" outlineLevel="0" collapsed="false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</row>
    <row r="540" customFormat="false" ht="15.75" hidden="false" customHeight="false" outlineLevel="0" collapsed="false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</row>
    <row r="541" customFormat="false" ht="15.75" hidden="false" customHeight="false" outlineLevel="0" collapsed="false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</row>
    <row r="542" customFormat="false" ht="15.75" hidden="false" customHeight="false" outlineLevel="0" collapsed="false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</row>
    <row r="543" customFormat="false" ht="15.75" hidden="false" customHeight="false" outlineLevel="0" collapsed="false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 customFormat="false" ht="15.75" hidden="false" customHeight="false" outlineLevel="0" collapsed="false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</row>
    <row r="545" customFormat="false" ht="15.75" hidden="false" customHeight="false" outlineLevel="0" collapsed="false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</row>
    <row r="546" customFormat="false" ht="15.75" hidden="false" customHeight="false" outlineLevel="0" collapsed="false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</row>
    <row r="547" customFormat="false" ht="15.75" hidden="false" customHeight="false" outlineLevel="0" collapsed="false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</row>
    <row r="548" customFormat="false" ht="15.75" hidden="false" customHeight="false" outlineLevel="0" collapsed="false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</row>
    <row r="549" customFormat="false" ht="15.75" hidden="false" customHeight="false" outlineLevel="0" collapsed="false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</row>
    <row r="550" customFormat="false" ht="15.75" hidden="false" customHeight="false" outlineLevel="0" collapsed="false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</row>
    <row r="551" customFormat="false" ht="15.75" hidden="false" customHeight="false" outlineLevel="0" collapsed="false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</row>
    <row r="552" customFormat="false" ht="15.75" hidden="false" customHeight="false" outlineLevel="0" collapsed="false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 customFormat="false" ht="15.75" hidden="false" customHeight="false" outlineLevel="0" collapsed="false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</row>
    <row r="554" customFormat="false" ht="15.75" hidden="false" customHeight="false" outlineLevel="0" collapsed="false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</row>
    <row r="555" customFormat="false" ht="15.75" hidden="false" customHeight="false" outlineLevel="0" collapsed="false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</row>
    <row r="556" customFormat="false" ht="15.75" hidden="false" customHeight="false" outlineLevel="0" collapsed="false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</row>
    <row r="557" customFormat="false" ht="15.75" hidden="false" customHeight="false" outlineLevel="0" collapsed="false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</row>
    <row r="558" customFormat="false" ht="15.75" hidden="false" customHeight="false" outlineLevel="0" collapsed="false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</row>
    <row r="559" customFormat="false" ht="15.75" hidden="false" customHeight="false" outlineLevel="0" collapsed="false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</row>
    <row r="560" customFormat="false" ht="15.75" hidden="false" customHeight="false" outlineLevel="0" collapsed="false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</row>
    <row r="561" customFormat="false" ht="15.75" hidden="false" customHeight="false" outlineLevel="0" collapsed="false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 customFormat="false" ht="15.75" hidden="false" customHeight="false" outlineLevel="0" collapsed="false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 customFormat="false" ht="15.75" hidden="false" customHeight="false" outlineLevel="0" collapsed="false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</row>
    <row r="564" customFormat="false" ht="15.75" hidden="false" customHeight="false" outlineLevel="0" collapsed="false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</row>
    <row r="565" customFormat="false" ht="15.75" hidden="false" customHeight="false" outlineLevel="0" collapsed="false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 customFormat="false" ht="15.75" hidden="false" customHeight="false" outlineLevel="0" collapsed="false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 customFormat="false" ht="15.75" hidden="false" customHeight="false" outlineLevel="0" collapsed="false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 customFormat="false" ht="15.75" hidden="false" customHeight="false" outlineLevel="0" collapsed="false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 customFormat="false" ht="15.75" hidden="false" customHeight="false" outlineLevel="0" collapsed="false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</row>
    <row r="570" customFormat="false" ht="15.75" hidden="false" customHeight="false" outlineLevel="0" collapsed="false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 customFormat="false" ht="15.75" hidden="false" customHeight="false" outlineLevel="0" collapsed="false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 customFormat="false" ht="15.75" hidden="false" customHeight="false" outlineLevel="0" collapsed="false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 customFormat="false" ht="15.75" hidden="false" customHeight="false" outlineLevel="0" collapsed="false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</row>
    <row r="574" customFormat="false" ht="15.75" hidden="false" customHeight="false" outlineLevel="0" collapsed="false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 customFormat="false" ht="15.75" hidden="false" customHeight="false" outlineLevel="0" collapsed="false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 customFormat="false" ht="15.75" hidden="false" customHeight="false" outlineLevel="0" collapsed="false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</row>
    <row r="577" customFormat="false" ht="15.75" hidden="false" customHeight="false" outlineLevel="0" collapsed="false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</row>
    <row r="578" customFormat="false" ht="15.75" hidden="false" customHeight="false" outlineLevel="0" collapsed="false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 customFormat="false" ht="15.75" hidden="false" customHeight="false" outlineLevel="0" collapsed="false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 customFormat="false" ht="15.75" hidden="false" customHeight="false" outlineLevel="0" collapsed="false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 customFormat="false" ht="15.75" hidden="false" customHeight="false" outlineLevel="0" collapsed="false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 customFormat="false" ht="15.75" hidden="false" customHeight="false" outlineLevel="0" collapsed="false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 customFormat="false" ht="15.75" hidden="false" customHeight="false" outlineLevel="0" collapsed="false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</row>
    <row r="584" customFormat="false" ht="15.75" hidden="false" customHeight="false" outlineLevel="0" collapsed="false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 customFormat="false" ht="15.75" hidden="false" customHeight="false" outlineLevel="0" collapsed="false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</row>
    <row r="586" customFormat="false" ht="15.75" hidden="false" customHeight="false" outlineLevel="0" collapsed="false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 customFormat="false" ht="15.75" hidden="false" customHeight="false" outlineLevel="0" collapsed="false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</row>
    <row r="588" customFormat="false" ht="15.75" hidden="false" customHeight="false" outlineLevel="0" collapsed="false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</row>
    <row r="589" customFormat="false" ht="15.75" hidden="false" customHeight="false" outlineLevel="0" collapsed="false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 customFormat="false" ht="15.75" hidden="false" customHeight="false" outlineLevel="0" collapsed="false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 customFormat="false" ht="15.75" hidden="false" customHeight="false" outlineLevel="0" collapsed="false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 customFormat="false" ht="15.75" hidden="false" customHeight="false" outlineLevel="0" collapsed="false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</row>
    <row r="593" customFormat="false" ht="15.75" hidden="false" customHeight="false" outlineLevel="0" collapsed="false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 customFormat="false" ht="15.75" hidden="false" customHeight="false" outlineLevel="0" collapsed="false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</row>
    <row r="595" customFormat="false" ht="15.75" hidden="false" customHeight="false" outlineLevel="0" collapsed="false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</row>
    <row r="596" customFormat="false" ht="15.75" hidden="false" customHeight="false" outlineLevel="0" collapsed="false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</row>
    <row r="597" customFormat="false" ht="15.75" hidden="false" customHeight="false" outlineLevel="0" collapsed="false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</row>
    <row r="598" customFormat="false" ht="15.75" hidden="false" customHeight="false" outlineLevel="0" collapsed="false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</row>
    <row r="599" customFormat="false" ht="15.75" hidden="false" customHeight="false" outlineLevel="0" collapsed="false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</row>
    <row r="600" customFormat="false" ht="15.75" hidden="false" customHeight="false" outlineLevel="0" collapsed="false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</row>
    <row r="601" customFormat="false" ht="15.75" hidden="false" customHeight="false" outlineLevel="0" collapsed="false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</row>
    <row r="602" customFormat="false" ht="15.75" hidden="false" customHeight="false" outlineLevel="0" collapsed="false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 customFormat="false" ht="15.75" hidden="false" customHeight="false" outlineLevel="0" collapsed="false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 customFormat="false" ht="15.75" hidden="false" customHeight="false" outlineLevel="0" collapsed="false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 customFormat="false" ht="15.75" hidden="false" customHeight="false" outlineLevel="0" collapsed="false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</row>
    <row r="606" customFormat="false" ht="15.75" hidden="false" customHeight="false" outlineLevel="0" collapsed="false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</row>
    <row r="607" customFormat="false" ht="15.75" hidden="false" customHeight="false" outlineLevel="0" collapsed="false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</row>
    <row r="608" customFormat="false" ht="15.75" hidden="false" customHeight="false" outlineLevel="0" collapsed="false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 customFormat="false" ht="15.75" hidden="false" customHeight="false" outlineLevel="0" collapsed="false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 customFormat="false" ht="15.75" hidden="false" customHeight="false" outlineLevel="0" collapsed="false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</row>
    <row r="611" customFormat="false" ht="15.75" hidden="false" customHeight="false" outlineLevel="0" collapsed="false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</row>
    <row r="612" customFormat="false" ht="15.75" hidden="false" customHeight="false" outlineLevel="0" collapsed="false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 customFormat="false" ht="15.75" hidden="false" customHeight="false" outlineLevel="0" collapsed="false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</row>
    <row r="614" customFormat="false" ht="15.75" hidden="false" customHeight="false" outlineLevel="0" collapsed="false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 customFormat="false" ht="15.75" hidden="false" customHeight="false" outlineLevel="0" collapsed="false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 customFormat="false" ht="15.75" hidden="false" customHeight="false" outlineLevel="0" collapsed="false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</row>
    <row r="617" customFormat="false" ht="15.75" hidden="false" customHeight="false" outlineLevel="0" collapsed="false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 customFormat="false" ht="15.75" hidden="false" customHeight="false" outlineLevel="0" collapsed="false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</row>
    <row r="619" customFormat="false" ht="15.75" hidden="false" customHeight="false" outlineLevel="0" collapsed="false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 customFormat="false" ht="15.75" hidden="false" customHeight="false" outlineLevel="0" collapsed="false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 customFormat="false" ht="15.75" hidden="false" customHeight="false" outlineLevel="0" collapsed="false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 customFormat="false" ht="15.75" hidden="false" customHeight="false" outlineLevel="0" collapsed="false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</row>
    <row r="623" customFormat="false" ht="15.75" hidden="false" customHeight="false" outlineLevel="0" collapsed="false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 customFormat="false" ht="15.75" hidden="false" customHeight="false" outlineLevel="0" collapsed="false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 customFormat="false" ht="15.75" hidden="false" customHeight="false" outlineLevel="0" collapsed="false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</row>
    <row r="626" customFormat="false" ht="15.75" hidden="false" customHeight="false" outlineLevel="0" collapsed="false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</row>
    <row r="627" customFormat="false" ht="15.75" hidden="false" customHeight="false" outlineLevel="0" collapsed="false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 customFormat="false" ht="15.75" hidden="false" customHeight="false" outlineLevel="0" collapsed="false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</row>
    <row r="629" customFormat="false" ht="15.75" hidden="false" customHeight="false" outlineLevel="0" collapsed="false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 customFormat="false" ht="15.75" hidden="false" customHeight="false" outlineLevel="0" collapsed="false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</row>
    <row r="631" customFormat="false" ht="15.75" hidden="false" customHeight="false" outlineLevel="0" collapsed="false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 customFormat="false" ht="15.75" hidden="false" customHeight="false" outlineLevel="0" collapsed="false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 customFormat="false" ht="15.75" hidden="false" customHeight="false" outlineLevel="0" collapsed="false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 customFormat="false" ht="15.75" hidden="false" customHeight="false" outlineLevel="0" collapsed="false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 customFormat="false" ht="15.75" hidden="false" customHeight="false" outlineLevel="0" collapsed="false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 customFormat="false" ht="15.75" hidden="false" customHeight="false" outlineLevel="0" collapsed="false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</row>
    <row r="637" customFormat="false" ht="15.75" hidden="false" customHeight="false" outlineLevel="0" collapsed="false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 customFormat="false" ht="15.75" hidden="false" customHeight="false" outlineLevel="0" collapsed="false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</row>
    <row r="639" customFormat="false" ht="15.75" hidden="false" customHeight="false" outlineLevel="0" collapsed="false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</row>
    <row r="640" customFormat="false" ht="15.75" hidden="false" customHeight="false" outlineLevel="0" collapsed="false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</row>
    <row r="641" customFormat="false" ht="15.75" hidden="false" customHeight="false" outlineLevel="0" collapsed="false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</row>
    <row r="642" customFormat="false" ht="15.75" hidden="false" customHeight="false" outlineLevel="0" collapsed="false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</row>
    <row r="643" customFormat="false" ht="15.75" hidden="false" customHeight="false" outlineLevel="0" collapsed="false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</row>
    <row r="644" customFormat="false" ht="15.75" hidden="false" customHeight="false" outlineLevel="0" collapsed="false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</row>
    <row r="645" customFormat="false" ht="15.75" hidden="false" customHeight="false" outlineLevel="0" collapsed="false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</row>
    <row r="646" customFormat="false" ht="15.75" hidden="false" customHeight="false" outlineLevel="0" collapsed="false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 customFormat="false" ht="15.75" hidden="false" customHeight="false" outlineLevel="0" collapsed="false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 customFormat="false" ht="15.75" hidden="false" customHeight="false" outlineLevel="0" collapsed="false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 customFormat="false" ht="15.75" hidden="false" customHeight="false" outlineLevel="0" collapsed="false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</row>
    <row r="650" customFormat="false" ht="15.75" hidden="false" customHeight="false" outlineLevel="0" collapsed="false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 customFormat="false" ht="15.75" hidden="false" customHeight="false" outlineLevel="0" collapsed="false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 customFormat="false" ht="15.75" hidden="false" customHeight="false" outlineLevel="0" collapsed="false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 customFormat="false" ht="15.75" hidden="false" customHeight="false" outlineLevel="0" collapsed="false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 customFormat="false" ht="15.75" hidden="false" customHeight="false" outlineLevel="0" collapsed="false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 customFormat="false" ht="15.75" hidden="false" customHeight="false" outlineLevel="0" collapsed="false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 customFormat="false" ht="15.75" hidden="false" customHeight="false" outlineLevel="0" collapsed="false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 customFormat="false" ht="15.75" hidden="false" customHeight="false" outlineLevel="0" collapsed="false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 customFormat="false" ht="15.75" hidden="false" customHeight="false" outlineLevel="0" collapsed="false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 customFormat="false" ht="15.75" hidden="false" customHeight="false" outlineLevel="0" collapsed="false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 customFormat="false" ht="15.75" hidden="false" customHeight="false" outlineLevel="0" collapsed="false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 customFormat="false" ht="15.75" hidden="false" customHeight="false" outlineLevel="0" collapsed="false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 customFormat="false" ht="15.75" hidden="false" customHeight="false" outlineLevel="0" collapsed="false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 customFormat="false" ht="15.75" hidden="false" customHeight="false" outlineLevel="0" collapsed="false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 customFormat="false" ht="15.75" hidden="false" customHeight="false" outlineLevel="0" collapsed="false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 customFormat="false" ht="15.75" hidden="false" customHeight="false" outlineLevel="0" collapsed="false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</row>
    <row r="666" customFormat="false" ht="15.75" hidden="false" customHeight="false" outlineLevel="0" collapsed="false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 customFormat="false" ht="15.75" hidden="false" customHeight="false" outlineLevel="0" collapsed="false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 customFormat="false" ht="15.75" hidden="false" customHeight="false" outlineLevel="0" collapsed="false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 customFormat="false" ht="15.75" hidden="false" customHeight="false" outlineLevel="0" collapsed="false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</row>
    <row r="670" customFormat="false" ht="15.75" hidden="false" customHeight="false" outlineLevel="0" collapsed="false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 customFormat="false" ht="15.75" hidden="false" customHeight="false" outlineLevel="0" collapsed="false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</row>
    <row r="672" customFormat="false" ht="15.75" hidden="false" customHeight="false" outlineLevel="0" collapsed="false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 customFormat="false" ht="15.75" hidden="false" customHeight="false" outlineLevel="0" collapsed="false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 customFormat="false" ht="15.75" hidden="false" customHeight="false" outlineLevel="0" collapsed="false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 customFormat="false" ht="15.75" hidden="false" customHeight="false" outlineLevel="0" collapsed="false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 customFormat="false" ht="15.75" hidden="false" customHeight="false" outlineLevel="0" collapsed="false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 customFormat="false" ht="15.75" hidden="false" customHeight="false" outlineLevel="0" collapsed="false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</row>
    <row r="678" customFormat="false" ht="15.75" hidden="false" customHeight="false" outlineLevel="0" collapsed="false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 customFormat="false" ht="15.75" hidden="false" customHeight="false" outlineLevel="0" collapsed="false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 customFormat="false" ht="15.75" hidden="false" customHeight="false" outlineLevel="0" collapsed="false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</row>
    <row r="681" customFormat="false" ht="15.75" hidden="false" customHeight="false" outlineLevel="0" collapsed="false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</row>
    <row r="682" customFormat="false" ht="15.75" hidden="false" customHeight="false" outlineLevel="0" collapsed="false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</row>
    <row r="683" customFormat="false" ht="15.75" hidden="false" customHeight="false" outlineLevel="0" collapsed="false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</row>
    <row r="684" customFormat="false" ht="15.75" hidden="false" customHeight="false" outlineLevel="0" collapsed="false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</row>
    <row r="685" customFormat="false" ht="15.75" hidden="false" customHeight="false" outlineLevel="0" collapsed="false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</row>
    <row r="686" customFormat="false" ht="15.75" hidden="false" customHeight="false" outlineLevel="0" collapsed="false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 customFormat="false" ht="15.75" hidden="false" customHeight="false" outlineLevel="0" collapsed="false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</row>
    <row r="688" customFormat="false" ht="15.75" hidden="false" customHeight="false" outlineLevel="0" collapsed="false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</row>
    <row r="689" customFormat="false" ht="15.75" hidden="false" customHeight="false" outlineLevel="0" collapsed="false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</row>
    <row r="690" customFormat="false" ht="15.75" hidden="false" customHeight="false" outlineLevel="0" collapsed="false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 customFormat="false" ht="15.75" hidden="false" customHeight="false" outlineLevel="0" collapsed="false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 customFormat="false" ht="15.75" hidden="false" customHeight="false" outlineLevel="0" collapsed="false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 customFormat="false" ht="15.75" hidden="false" customHeight="false" outlineLevel="0" collapsed="false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</row>
    <row r="694" customFormat="false" ht="15.75" hidden="false" customHeight="false" outlineLevel="0" collapsed="false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</row>
    <row r="695" customFormat="false" ht="15.75" hidden="false" customHeight="false" outlineLevel="0" collapsed="false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 customFormat="false" ht="15.75" hidden="false" customHeight="false" outlineLevel="0" collapsed="false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 customFormat="false" ht="15.75" hidden="false" customHeight="false" outlineLevel="0" collapsed="false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 customFormat="false" ht="15.75" hidden="false" customHeight="false" outlineLevel="0" collapsed="false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</row>
    <row r="699" customFormat="false" ht="15.75" hidden="false" customHeight="false" outlineLevel="0" collapsed="false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 customFormat="false" ht="15.75" hidden="false" customHeight="false" outlineLevel="0" collapsed="false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</row>
    <row r="701" customFormat="false" ht="15.75" hidden="false" customHeight="false" outlineLevel="0" collapsed="false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 customFormat="false" ht="15.75" hidden="false" customHeight="false" outlineLevel="0" collapsed="false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 customFormat="false" ht="15.75" hidden="false" customHeight="false" outlineLevel="0" collapsed="false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 customFormat="false" ht="15.75" hidden="false" customHeight="false" outlineLevel="0" collapsed="false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 customFormat="false" ht="15.75" hidden="false" customHeight="false" outlineLevel="0" collapsed="false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 customFormat="false" ht="15.75" hidden="false" customHeight="false" outlineLevel="0" collapsed="false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 customFormat="false" ht="15.75" hidden="false" customHeight="false" outlineLevel="0" collapsed="false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 customFormat="false" ht="15.75" hidden="false" customHeight="false" outlineLevel="0" collapsed="false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 customFormat="false" ht="15.75" hidden="false" customHeight="false" outlineLevel="0" collapsed="false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 customFormat="false" ht="15.75" hidden="false" customHeight="false" outlineLevel="0" collapsed="false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 customFormat="false" ht="15.75" hidden="false" customHeight="false" outlineLevel="0" collapsed="false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 customFormat="false" ht="15.75" hidden="false" customHeight="false" outlineLevel="0" collapsed="false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 customFormat="false" ht="15.75" hidden="false" customHeight="false" outlineLevel="0" collapsed="false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 customFormat="false" ht="15.75" hidden="false" customHeight="false" outlineLevel="0" collapsed="false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 customFormat="false" ht="15.75" hidden="false" customHeight="false" outlineLevel="0" collapsed="false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 customFormat="false" ht="15.75" hidden="false" customHeight="false" outlineLevel="0" collapsed="false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 customFormat="false" ht="15.75" hidden="false" customHeight="false" outlineLevel="0" collapsed="false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 customFormat="false" ht="15.75" hidden="false" customHeight="false" outlineLevel="0" collapsed="false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</row>
    <row r="719" customFormat="false" ht="15.75" hidden="false" customHeight="false" outlineLevel="0" collapsed="false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</row>
    <row r="720" customFormat="false" ht="15.75" hidden="false" customHeight="false" outlineLevel="0" collapsed="false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</row>
    <row r="721" customFormat="false" ht="15.75" hidden="false" customHeight="false" outlineLevel="0" collapsed="false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</row>
    <row r="722" customFormat="false" ht="15.75" hidden="false" customHeight="false" outlineLevel="0" collapsed="false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</row>
    <row r="723" customFormat="false" ht="15.75" hidden="false" customHeight="false" outlineLevel="0" collapsed="false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</row>
    <row r="724" customFormat="false" ht="15.75" hidden="false" customHeight="false" outlineLevel="0" collapsed="false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</row>
    <row r="725" customFormat="false" ht="15.75" hidden="false" customHeight="false" outlineLevel="0" collapsed="false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</row>
    <row r="726" customFormat="false" ht="15.75" hidden="false" customHeight="false" outlineLevel="0" collapsed="false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</row>
    <row r="727" customFormat="false" ht="15.75" hidden="false" customHeight="false" outlineLevel="0" collapsed="false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</row>
    <row r="728" customFormat="false" ht="15.75" hidden="false" customHeight="false" outlineLevel="0" collapsed="false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</row>
    <row r="729" customFormat="false" ht="15.75" hidden="false" customHeight="false" outlineLevel="0" collapsed="false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</row>
    <row r="730" customFormat="false" ht="15.75" hidden="false" customHeight="false" outlineLevel="0" collapsed="false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</row>
    <row r="731" customFormat="false" ht="15.75" hidden="false" customHeight="false" outlineLevel="0" collapsed="false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</row>
    <row r="732" customFormat="false" ht="15.75" hidden="false" customHeight="false" outlineLevel="0" collapsed="false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</row>
    <row r="733" customFormat="false" ht="15.75" hidden="false" customHeight="false" outlineLevel="0" collapsed="false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</row>
    <row r="734" customFormat="false" ht="15.75" hidden="false" customHeight="false" outlineLevel="0" collapsed="false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</row>
    <row r="735" customFormat="false" ht="15.75" hidden="false" customHeight="false" outlineLevel="0" collapsed="false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</row>
    <row r="736" customFormat="false" ht="15.75" hidden="false" customHeight="false" outlineLevel="0" collapsed="false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</row>
    <row r="737" customFormat="false" ht="15.75" hidden="false" customHeight="false" outlineLevel="0" collapsed="false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</row>
    <row r="738" customFormat="false" ht="15.75" hidden="false" customHeight="false" outlineLevel="0" collapsed="false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</row>
    <row r="739" customFormat="false" ht="15.75" hidden="false" customHeight="false" outlineLevel="0" collapsed="false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</row>
    <row r="740" customFormat="false" ht="15.75" hidden="false" customHeight="false" outlineLevel="0" collapsed="false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</row>
    <row r="741" customFormat="false" ht="15.75" hidden="false" customHeight="false" outlineLevel="0" collapsed="false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</row>
    <row r="742" customFormat="false" ht="15.75" hidden="false" customHeight="false" outlineLevel="0" collapsed="false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</row>
    <row r="743" customFormat="false" ht="15.75" hidden="false" customHeight="false" outlineLevel="0" collapsed="false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</row>
    <row r="744" customFormat="false" ht="15.75" hidden="false" customHeight="false" outlineLevel="0" collapsed="false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</row>
    <row r="745" customFormat="false" ht="15.75" hidden="false" customHeight="false" outlineLevel="0" collapsed="false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</row>
    <row r="746" customFormat="false" ht="15.75" hidden="false" customHeight="false" outlineLevel="0" collapsed="false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</row>
    <row r="747" customFormat="false" ht="15.75" hidden="false" customHeight="false" outlineLevel="0" collapsed="false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</row>
    <row r="748" customFormat="false" ht="15.75" hidden="false" customHeight="false" outlineLevel="0" collapsed="false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</row>
    <row r="749" customFormat="false" ht="15.75" hidden="false" customHeight="false" outlineLevel="0" collapsed="false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</row>
    <row r="750" customFormat="false" ht="15.75" hidden="false" customHeight="false" outlineLevel="0" collapsed="false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</row>
    <row r="751" customFormat="false" ht="15.75" hidden="false" customHeight="false" outlineLevel="0" collapsed="false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</row>
    <row r="752" customFormat="false" ht="15.75" hidden="false" customHeight="false" outlineLevel="0" collapsed="false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</row>
    <row r="753" customFormat="false" ht="15.75" hidden="false" customHeight="false" outlineLevel="0" collapsed="false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</row>
    <row r="754" customFormat="false" ht="15.75" hidden="false" customHeight="false" outlineLevel="0" collapsed="false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</row>
    <row r="755" customFormat="false" ht="15.75" hidden="false" customHeight="false" outlineLevel="0" collapsed="false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</row>
    <row r="756" customFormat="false" ht="15.75" hidden="false" customHeight="false" outlineLevel="0" collapsed="false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</row>
    <row r="757" customFormat="false" ht="15.75" hidden="false" customHeight="false" outlineLevel="0" collapsed="false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</row>
    <row r="758" customFormat="false" ht="15.75" hidden="false" customHeight="false" outlineLevel="0" collapsed="false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</row>
    <row r="759" customFormat="false" ht="15.75" hidden="false" customHeight="false" outlineLevel="0" collapsed="false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</row>
    <row r="760" customFormat="false" ht="15.75" hidden="false" customHeight="false" outlineLevel="0" collapsed="false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</row>
    <row r="761" customFormat="false" ht="15.75" hidden="false" customHeight="false" outlineLevel="0" collapsed="false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</row>
    <row r="762" customFormat="false" ht="15.75" hidden="false" customHeight="false" outlineLevel="0" collapsed="false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</row>
    <row r="763" customFormat="false" ht="15.75" hidden="false" customHeight="false" outlineLevel="0" collapsed="false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</row>
    <row r="764" customFormat="false" ht="15.75" hidden="false" customHeight="false" outlineLevel="0" collapsed="false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</row>
    <row r="765" customFormat="false" ht="15.75" hidden="false" customHeight="false" outlineLevel="0" collapsed="false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</row>
    <row r="766" customFormat="false" ht="15.75" hidden="false" customHeight="false" outlineLevel="0" collapsed="false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</row>
    <row r="767" customFormat="false" ht="15.75" hidden="false" customHeight="false" outlineLevel="0" collapsed="false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</row>
    <row r="768" customFormat="false" ht="15.75" hidden="false" customHeight="false" outlineLevel="0" collapsed="false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</row>
    <row r="769" customFormat="false" ht="15.75" hidden="false" customHeight="false" outlineLevel="0" collapsed="false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</row>
    <row r="770" customFormat="false" ht="15.75" hidden="false" customHeight="false" outlineLevel="0" collapsed="false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</row>
    <row r="771" customFormat="false" ht="15.75" hidden="false" customHeight="false" outlineLevel="0" collapsed="false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</row>
    <row r="772" customFormat="false" ht="15.75" hidden="false" customHeight="false" outlineLevel="0" collapsed="false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</row>
    <row r="773" customFormat="false" ht="15.75" hidden="false" customHeight="false" outlineLevel="0" collapsed="false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</row>
    <row r="774" customFormat="false" ht="15.75" hidden="false" customHeight="false" outlineLevel="0" collapsed="false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</row>
    <row r="775" customFormat="false" ht="15.75" hidden="false" customHeight="false" outlineLevel="0" collapsed="false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</row>
    <row r="776" customFormat="false" ht="15.75" hidden="false" customHeight="false" outlineLevel="0" collapsed="false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</row>
    <row r="777" customFormat="false" ht="15.75" hidden="false" customHeight="false" outlineLevel="0" collapsed="false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</row>
    <row r="778" customFormat="false" ht="15.75" hidden="false" customHeight="false" outlineLevel="0" collapsed="false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</row>
    <row r="779" customFormat="false" ht="15.75" hidden="false" customHeight="false" outlineLevel="0" collapsed="false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</row>
    <row r="780" customFormat="false" ht="15.75" hidden="false" customHeight="false" outlineLevel="0" collapsed="false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</row>
    <row r="781" customFormat="false" ht="15.75" hidden="false" customHeight="false" outlineLevel="0" collapsed="false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</row>
    <row r="782" customFormat="false" ht="15.75" hidden="false" customHeight="false" outlineLevel="0" collapsed="false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</row>
    <row r="783" customFormat="false" ht="15.75" hidden="false" customHeight="false" outlineLevel="0" collapsed="false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</row>
    <row r="784" customFormat="false" ht="15.75" hidden="false" customHeight="false" outlineLevel="0" collapsed="false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</row>
    <row r="785" customFormat="false" ht="15.75" hidden="false" customHeight="false" outlineLevel="0" collapsed="false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</row>
    <row r="786" customFormat="false" ht="15.75" hidden="false" customHeight="false" outlineLevel="0" collapsed="false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</row>
    <row r="787" customFormat="false" ht="15.75" hidden="false" customHeight="false" outlineLevel="0" collapsed="false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</row>
    <row r="788" customFormat="false" ht="15.75" hidden="false" customHeight="false" outlineLevel="0" collapsed="false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</row>
    <row r="789" customFormat="false" ht="15.75" hidden="false" customHeight="false" outlineLevel="0" collapsed="false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</row>
    <row r="790" customFormat="false" ht="15.75" hidden="false" customHeight="false" outlineLevel="0" collapsed="false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</row>
    <row r="791" customFormat="false" ht="15.75" hidden="false" customHeight="false" outlineLevel="0" collapsed="false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</row>
    <row r="792" customFormat="false" ht="15.75" hidden="false" customHeight="false" outlineLevel="0" collapsed="false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</row>
    <row r="793" customFormat="false" ht="15.75" hidden="false" customHeight="false" outlineLevel="0" collapsed="false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</row>
    <row r="794" customFormat="false" ht="15.75" hidden="false" customHeight="false" outlineLevel="0" collapsed="false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</row>
    <row r="795" customFormat="false" ht="15.75" hidden="false" customHeight="false" outlineLevel="0" collapsed="false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</row>
    <row r="796" customFormat="false" ht="15.75" hidden="false" customHeight="false" outlineLevel="0" collapsed="false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</row>
    <row r="797" customFormat="false" ht="15.75" hidden="false" customHeight="false" outlineLevel="0" collapsed="false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</row>
    <row r="798" customFormat="false" ht="15.75" hidden="false" customHeight="false" outlineLevel="0" collapsed="false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</row>
    <row r="799" customFormat="false" ht="15.75" hidden="false" customHeight="false" outlineLevel="0" collapsed="false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</row>
    <row r="800" customFormat="false" ht="15.75" hidden="false" customHeight="false" outlineLevel="0" collapsed="false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</row>
    <row r="801" customFormat="false" ht="15.75" hidden="false" customHeight="false" outlineLevel="0" collapsed="false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</row>
    <row r="802" customFormat="false" ht="15.75" hidden="false" customHeight="false" outlineLevel="0" collapsed="false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</row>
    <row r="803" customFormat="false" ht="15.75" hidden="false" customHeight="false" outlineLevel="0" collapsed="false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</row>
    <row r="804" customFormat="false" ht="15.75" hidden="false" customHeight="false" outlineLevel="0" collapsed="false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</row>
    <row r="805" customFormat="false" ht="15.75" hidden="false" customHeight="false" outlineLevel="0" collapsed="false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</row>
    <row r="806" customFormat="false" ht="15.75" hidden="false" customHeight="false" outlineLevel="0" collapsed="false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</row>
    <row r="807" customFormat="false" ht="15.75" hidden="false" customHeight="false" outlineLevel="0" collapsed="false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</row>
    <row r="808" customFormat="false" ht="15.75" hidden="false" customHeight="false" outlineLevel="0" collapsed="false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</row>
    <row r="809" customFormat="false" ht="15.75" hidden="false" customHeight="false" outlineLevel="0" collapsed="false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</row>
    <row r="810" customFormat="false" ht="15.75" hidden="false" customHeight="false" outlineLevel="0" collapsed="false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</row>
    <row r="811" customFormat="false" ht="15.75" hidden="false" customHeight="false" outlineLevel="0" collapsed="false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</row>
    <row r="812" customFormat="false" ht="15.75" hidden="false" customHeight="false" outlineLevel="0" collapsed="false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</row>
    <row r="813" customFormat="false" ht="15.75" hidden="false" customHeight="false" outlineLevel="0" collapsed="false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</row>
    <row r="814" customFormat="false" ht="15.75" hidden="false" customHeight="false" outlineLevel="0" collapsed="false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</row>
    <row r="815" customFormat="false" ht="15.75" hidden="false" customHeight="false" outlineLevel="0" collapsed="false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</row>
    <row r="816" customFormat="false" ht="15.75" hidden="false" customHeight="false" outlineLevel="0" collapsed="false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</row>
    <row r="817" customFormat="false" ht="15.75" hidden="false" customHeight="false" outlineLevel="0" collapsed="false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</row>
    <row r="818" customFormat="false" ht="15.75" hidden="false" customHeight="false" outlineLevel="0" collapsed="false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</row>
    <row r="819" customFormat="false" ht="15.75" hidden="false" customHeight="false" outlineLevel="0" collapsed="false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</row>
    <row r="820" customFormat="false" ht="15.75" hidden="false" customHeight="false" outlineLevel="0" collapsed="false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</row>
    <row r="821" customFormat="false" ht="15.75" hidden="false" customHeight="false" outlineLevel="0" collapsed="false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</row>
    <row r="822" customFormat="false" ht="15.75" hidden="false" customHeight="false" outlineLevel="0" collapsed="false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</row>
    <row r="823" customFormat="false" ht="15.75" hidden="false" customHeight="false" outlineLevel="0" collapsed="false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</row>
    <row r="824" customFormat="false" ht="15.75" hidden="false" customHeight="false" outlineLevel="0" collapsed="false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</row>
    <row r="825" customFormat="false" ht="15.75" hidden="false" customHeight="false" outlineLevel="0" collapsed="false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</row>
    <row r="826" customFormat="false" ht="15.75" hidden="false" customHeight="false" outlineLevel="0" collapsed="false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</row>
    <row r="827" customFormat="false" ht="15.75" hidden="false" customHeight="false" outlineLevel="0" collapsed="false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</row>
    <row r="828" customFormat="false" ht="15.75" hidden="false" customHeight="false" outlineLevel="0" collapsed="false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</row>
    <row r="829" customFormat="false" ht="15.75" hidden="false" customHeight="false" outlineLevel="0" collapsed="false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</row>
    <row r="830" customFormat="false" ht="15.75" hidden="false" customHeight="false" outlineLevel="0" collapsed="false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</row>
    <row r="831" customFormat="false" ht="15.75" hidden="false" customHeight="false" outlineLevel="0" collapsed="false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</row>
    <row r="832" customFormat="false" ht="15.75" hidden="false" customHeight="false" outlineLevel="0" collapsed="false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</row>
    <row r="833" customFormat="false" ht="15.75" hidden="false" customHeight="false" outlineLevel="0" collapsed="false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</row>
    <row r="834" customFormat="false" ht="15.75" hidden="false" customHeight="false" outlineLevel="0" collapsed="false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</row>
    <row r="835" customFormat="false" ht="15.75" hidden="false" customHeight="false" outlineLevel="0" collapsed="false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</row>
    <row r="836" customFormat="false" ht="15.75" hidden="false" customHeight="false" outlineLevel="0" collapsed="false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</row>
    <row r="837" customFormat="false" ht="15.75" hidden="false" customHeight="false" outlineLevel="0" collapsed="false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</row>
    <row r="838" customFormat="false" ht="15.75" hidden="false" customHeight="false" outlineLevel="0" collapsed="false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</row>
    <row r="839" customFormat="false" ht="15.75" hidden="false" customHeight="false" outlineLevel="0" collapsed="false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</row>
    <row r="840" customFormat="false" ht="15.75" hidden="false" customHeight="false" outlineLevel="0" collapsed="false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</row>
    <row r="841" customFormat="false" ht="15.75" hidden="false" customHeight="false" outlineLevel="0" collapsed="false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</row>
    <row r="842" customFormat="false" ht="15.75" hidden="false" customHeight="false" outlineLevel="0" collapsed="false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</row>
    <row r="843" customFormat="false" ht="15.75" hidden="false" customHeight="false" outlineLevel="0" collapsed="false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</row>
    <row r="844" customFormat="false" ht="15.75" hidden="false" customHeight="false" outlineLevel="0" collapsed="false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</row>
    <row r="845" customFormat="false" ht="15.75" hidden="false" customHeight="false" outlineLevel="0" collapsed="false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</row>
    <row r="846" customFormat="false" ht="15.75" hidden="false" customHeight="false" outlineLevel="0" collapsed="false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</row>
    <row r="847" customFormat="false" ht="15.75" hidden="false" customHeight="false" outlineLevel="0" collapsed="false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</row>
    <row r="848" customFormat="false" ht="15.75" hidden="false" customHeight="false" outlineLevel="0" collapsed="false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</row>
    <row r="849" customFormat="false" ht="15.75" hidden="false" customHeight="false" outlineLevel="0" collapsed="false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</row>
    <row r="850" customFormat="false" ht="15.75" hidden="false" customHeight="false" outlineLevel="0" collapsed="false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</row>
    <row r="851" customFormat="false" ht="15.75" hidden="false" customHeight="false" outlineLevel="0" collapsed="false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</row>
    <row r="852" customFormat="false" ht="15.75" hidden="false" customHeight="false" outlineLevel="0" collapsed="false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</row>
    <row r="853" customFormat="false" ht="15.75" hidden="false" customHeight="false" outlineLevel="0" collapsed="false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</row>
    <row r="854" customFormat="false" ht="15.75" hidden="false" customHeight="false" outlineLevel="0" collapsed="false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</row>
    <row r="855" customFormat="false" ht="15.75" hidden="false" customHeight="false" outlineLevel="0" collapsed="false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</row>
    <row r="856" customFormat="false" ht="15.75" hidden="false" customHeight="false" outlineLevel="0" collapsed="false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</row>
    <row r="857" customFormat="false" ht="15.75" hidden="false" customHeight="false" outlineLevel="0" collapsed="false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</row>
    <row r="858" customFormat="false" ht="15.75" hidden="false" customHeight="false" outlineLevel="0" collapsed="false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</row>
    <row r="859" customFormat="false" ht="15.75" hidden="false" customHeight="false" outlineLevel="0" collapsed="false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</row>
    <row r="860" customFormat="false" ht="15.75" hidden="false" customHeight="false" outlineLevel="0" collapsed="false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</row>
    <row r="861" customFormat="false" ht="15.75" hidden="false" customHeight="false" outlineLevel="0" collapsed="false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</row>
    <row r="862" customFormat="false" ht="15.75" hidden="false" customHeight="false" outlineLevel="0" collapsed="false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</row>
    <row r="863" customFormat="false" ht="15.75" hidden="false" customHeight="false" outlineLevel="0" collapsed="false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</row>
    <row r="864" customFormat="false" ht="15.75" hidden="false" customHeight="false" outlineLevel="0" collapsed="false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</row>
    <row r="865" customFormat="false" ht="15.75" hidden="false" customHeight="false" outlineLevel="0" collapsed="false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</row>
    <row r="866" customFormat="false" ht="15.75" hidden="false" customHeight="false" outlineLevel="0" collapsed="false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</row>
    <row r="867" customFormat="false" ht="15.75" hidden="false" customHeight="false" outlineLevel="0" collapsed="false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</row>
    <row r="868" customFormat="false" ht="15.75" hidden="false" customHeight="false" outlineLevel="0" collapsed="false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</row>
    <row r="869" customFormat="false" ht="15.75" hidden="false" customHeight="false" outlineLevel="0" collapsed="false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</row>
    <row r="870" customFormat="false" ht="15.75" hidden="false" customHeight="false" outlineLevel="0" collapsed="false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</row>
    <row r="871" customFormat="false" ht="15.75" hidden="false" customHeight="false" outlineLevel="0" collapsed="false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</row>
    <row r="872" customFormat="false" ht="15.75" hidden="false" customHeight="false" outlineLevel="0" collapsed="false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</row>
    <row r="873" customFormat="false" ht="15.75" hidden="false" customHeight="false" outlineLevel="0" collapsed="false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</row>
    <row r="874" customFormat="false" ht="15.75" hidden="false" customHeight="false" outlineLevel="0" collapsed="false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</row>
    <row r="875" customFormat="false" ht="15.75" hidden="false" customHeight="false" outlineLevel="0" collapsed="false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</row>
    <row r="876" customFormat="false" ht="15.75" hidden="false" customHeight="false" outlineLevel="0" collapsed="false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</row>
    <row r="877" customFormat="false" ht="15.75" hidden="false" customHeight="false" outlineLevel="0" collapsed="false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</row>
    <row r="878" customFormat="false" ht="15.75" hidden="false" customHeight="false" outlineLevel="0" collapsed="false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</row>
    <row r="879" customFormat="false" ht="15.75" hidden="false" customHeight="false" outlineLevel="0" collapsed="false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</row>
    <row r="880" customFormat="false" ht="15.75" hidden="false" customHeight="false" outlineLevel="0" collapsed="false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</row>
    <row r="881" customFormat="false" ht="15.75" hidden="false" customHeight="false" outlineLevel="0" collapsed="false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</row>
    <row r="882" customFormat="false" ht="15.75" hidden="false" customHeight="false" outlineLevel="0" collapsed="false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</row>
    <row r="883" customFormat="false" ht="15.75" hidden="false" customHeight="false" outlineLevel="0" collapsed="false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</row>
    <row r="884" customFormat="false" ht="15.75" hidden="false" customHeight="false" outlineLevel="0" collapsed="false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</row>
    <row r="885" customFormat="false" ht="15.75" hidden="false" customHeight="false" outlineLevel="0" collapsed="false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</row>
    <row r="886" customFormat="false" ht="15.75" hidden="false" customHeight="false" outlineLevel="0" collapsed="false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</row>
    <row r="887" customFormat="false" ht="15.75" hidden="false" customHeight="false" outlineLevel="0" collapsed="false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</row>
    <row r="888" customFormat="false" ht="15.75" hidden="false" customHeight="false" outlineLevel="0" collapsed="false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</row>
    <row r="889" customFormat="false" ht="15.75" hidden="false" customHeight="false" outlineLevel="0" collapsed="false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</row>
    <row r="890" customFormat="false" ht="15.75" hidden="false" customHeight="false" outlineLevel="0" collapsed="false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</row>
    <row r="891" customFormat="false" ht="15.75" hidden="false" customHeight="false" outlineLevel="0" collapsed="false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</row>
    <row r="892" customFormat="false" ht="15.75" hidden="false" customHeight="false" outlineLevel="0" collapsed="false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</row>
    <row r="893" customFormat="false" ht="15.75" hidden="false" customHeight="false" outlineLevel="0" collapsed="false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</row>
    <row r="894" customFormat="false" ht="15.75" hidden="false" customHeight="false" outlineLevel="0" collapsed="false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</row>
    <row r="895" customFormat="false" ht="15.75" hidden="false" customHeight="false" outlineLevel="0" collapsed="false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</row>
    <row r="896" customFormat="false" ht="15.75" hidden="false" customHeight="false" outlineLevel="0" collapsed="false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</row>
    <row r="897" customFormat="false" ht="15.75" hidden="false" customHeight="false" outlineLevel="0" collapsed="false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</row>
    <row r="898" customFormat="false" ht="15.75" hidden="false" customHeight="false" outlineLevel="0" collapsed="false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</row>
    <row r="899" customFormat="false" ht="15.75" hidden="false" customHeight="false" outlineLevel="0" collapsed="false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</row>
    <row r="900" customFormat="false" ht="15.75" hidden="false" customHeight="false" outlineLevel="0" collapsed="false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</row>
    <row r="901" customFormat="false" ht="15.75" hidden="false" customHeight="false" outlineLevel="0" collapsed="false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</row>
    <row r="902" customFormat="false" ht="15.75" hidden="false" customHeight="false" outlineLevel="0" collapsed="false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</row>
    <row r="903" customFormat="false" ht="15.75" hidden="false" customHeight="false" outlineLevel="0" collapsed="false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</row>
    <row r="904" customFormat="false" ht="15.75" hidden="false" customHeight="false" outlineLevel="0" collapsed="false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</row>
    <row r="905" customFormat="false" ht="15.75" hidden="false" customHeight="false" outlineLevel="0" collapsed="false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</row>
    <row r="906" customFormat="false" ht="15.75" hidden="false" customHeight="false" outlineLevel="0" collapsed="false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</row>
    <row r="907" customFormat="false" ht="15.75" hidden="false" customHeight="false" outlineLevel="0" collapsed="false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</row>
    <row r="908" customFormat="false" ht="15.75" hidden="false" customHeight="false" outlineLevel="0" collapsed="false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</row>
    <row r="909" customFormat="false" ht="15.75" hidden="false" customHeight="false" outlineLevel="0" collapsed="false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</row>
    <row r="910" customFormat="false" ht="15.75" hidden="false" customHeight="false" outlineLevel="0" collapsed="false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</row>
    <row r="911" customFormat="false" ht="15.75" hidden="false" customHeight="false" outlineLevel="0" collapsed="false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</row>
    <row r="912" customFormat="false" ht="15.75" hidden="false" customHeight="false" outlineLevel="0" collapsed="false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</row>
    <row r="913" customFormat="false" ht="15.75" hidden="false" customHeight="false" outlineLevel="0" collapsed="false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</row>
    <row r="914" customFormat="false" ht="15.75" hidden="false" customHeight="false" outlineLevel="0" collapsed="false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</row>
    <row r="915" customFormat="false" ht="15.75" hidden="false" customHeight="false" outlineLevel="0" collapsed="false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</row>
    <row r="916" customFormat="false" ht="15.75" hidden="false" customHeight="false" outlineLevel="0" collapsed="false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</row>
    <row r="917" customFormat="false" ht="15.75" hidden="false" customHeight="false" outlineLevel="0" collapsed="false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</row>
    <row r="918" customFormat="false" ht="15.75" hidden="false" customHeight="false" outlineLevel="0" collapsed="false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</row>
    <row r="919" customFormat="false" ht="15.75" hidden="false" customHeight="false" outlineLevel="0" collapsed="false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</row>
    <row r="920" customFormat="false" ht="15.75" hidden="false" customHeight="false" outlineLevel="0" collapsed="false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</row>
    <row r="921" customFormat="false" ht="15.75" hidden="false" customHeight="false" outlineLevel="0" collapsed="false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</row>
    <row r="922" customFormat="false" ht="15.75" hidden="false" customHeight="false" outlineLevel="0" collapsed="false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</row>
    <row r="923" customFormat="false" ht="15.75" hidden="false" customHeight="false" outlineLevel="0" collapsed="false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</row>
    <row r="924" customFormat="false" ht="15.75" hidden="false" customHeight="false" outlineLevel="0" collapsed="false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</row>
    <row r="925" customFormat="false" ht="15.75" hidden="false" customHeight="false" outlineLevel="0" collapsed="false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</row>
    <row r="926" customFormat="false" ht="15.75" hidden="false" customHeight="false" outlineLevel="0" collapsed="false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</row>
    <row r="927" customFormat="false" ht="15.75" hidden="false" customHeight="false" outlineLevel="0" collapsed="false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</row>
    <row r="928" customFormat="false" ht="15.75" hidden="false" customHeight="false" outlineLevel="0" collapsed="false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</row>
    <row r="929" customFormat="false" ht="15.75" hidden="false" customHeight="false" outlineLevel="0" collapsed="false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</row>
    <row r="930" customFormat="false" ht="15.75" hidden="false" customHeight="false" outlineLevel="0" collapsed="false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</row>
    <row r="931" customFormat="false" ht="15.75" hidden="false" customHeight="false" outlineLevel="0" collapsed="false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</row>
    <row r="932" customFormat="false" ht="15.75" hidden="false" customHeight="false" outlineLevel="0" collapsed="false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</row>
    <row r="933" customFormat="false" ht="15.75" hidden="false" customHeight="false" outlineLevel="0" collapsed="false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</row>
    <row r="934" customFormat="false" ht="15.75" hidden="false" customHeight="false" outlineLevel="0" collapsed="false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</row>
    <row r="935" customFormat="false" ht="15.75" hidden="false" customHeight="false" outlineLevel="0" collapsed="false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</row>
    <row r="936" customFormat="false" ht="15.75" hidden="false" customHeight="false" outlineLevel="0" collapsed="false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</row>
    <row r="937" customFormat="false" ht="15.75" hidden="false" customHeight="false" outlineLevel="0" collapsed="false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</row>
    <row r="938" customFormat="false" ht="15.75" hidden="false" customHeight="false" outlineLevel="0" collapsed="false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</row>
    <row r="939" customFormat="false" ht="15.75" hidden="false" customHeight="false" outlineLevel="0" collapsed="false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</row>
    <row r="940" customFormat="false" ht="15.75" hidden="false" customHeight="false" outlineLevel="0" collapsed="false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</row>
    <row r="941" customFormat="false" ht="15.75" hidden="false" customHeight="false" outlineLevel="0" collapsed="false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</row>
    <row r="942" customFormat="false" ht="15.75" hidden="false" customHeight="false" outlineLevel="0" collapsed="false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</row>
    <row r="943" customFormat="false" ht="15.75" hidden="false" customHeight="false" outlineLevel="0" collapsed="false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</row>
    <row r="944" customFormat="false" ht="15.75" hidden="false" customHeight="false" outlineLevel="0" collapsed="false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</row>
    <row r="945" customFormat="false" ht="15.75" hidden="false" customHeight="false" outlineLevel="0" collapsed="false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</row>
    <row r="946" customFormat="false" ht="15.75" hidden="false" customHeight="false" outlineLevel="0" collapsed="false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</row>
    <row r="947" customFormat="false" ht="15.75" hidden="false" customHeight="false" outlineLevel="0" collapsed="false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</row>
    <row r="948" customFormat="false" ht="15.75" hidden="false" customHeight="false" outlineLevel="0" collapsed="false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</row>
    <row r="949" customFormat="false" ht="15.75" hidden="false" customHeight="false" outlineLevel="0" collapsed="false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</row>
    <row r="950" customFormat="false" ht="15.75" hidden="false" customHeight="false" outlineLevel="0" collapsed="false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</row>
    <row r="951" customFormat="false" ht="15.75" hidden="false" customHeight="false" outlineLevel="0" collapsed="false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</row>
    <row r="952" customFormat="false" ht="15.75" hidden="false" customHeight="false" outlineLevel="0" collapsed="false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</row>
    <row r="953" customFormat="false" ht="15.75" hidden="false" customHeight="false" outlineLevel="0" collapsed="false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</row>
    <row r="954" customFormat="false" ht="15.75" hidden="false" customHeight="false" outlineLevel="0" collapsed="false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</row>
    <row r="955" customFormat="false" ht="15.75" hidden="false" customHeight="false" outlineLevel="0" collapsed="false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</row>
    <row r="956" customFormat="false" ht="15.75" hidden="false" customHeight="false" outlineLevel="0" collapsed="false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</row>
    <row r="957" customFormat="false" ht="15.75" hidden="false" customHeight="false" outlineLevel="0" collapsed="false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</row>
    <row r="958" customFormat="false" ht="15.75" hidden="false" customHeight="false" outlineLevel="0" collapsed="false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</row>
    <row r="959" customFormat="false" ht="15.75" hidden="false" customHeight="false" outlineLevel="0" collapsed="false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</row>
    <row r="960" customFormat="false" ht="15.75" hidden="false" customHeight="false" outlineLevel="0" collapsed="false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</row>
    <row r="961" customFormat="false" ht="15.75" hidden="false" customHeight="false" outlineLevel="0" collapsed="false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</row>
    <row r="962" customFormat="false" ht="15.75" hidden="false" customHeight="false" outlineLevel="0" collapsed="false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</row>
    <row r="963" customFormat="false" ht="15.75" hidden="false" customHeight="false" outlineLevel="0" collapsed="false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</row>
    <row r="964" customFormat="false" ht="15.75" hidden="false" customHeight="false" outlineLevel="0" collapsed="false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</row>
    <row r="965" customFormat="false" ht="15.75" hidden="false" customHeight="false" outlineLevel="0" collapsed="false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</row>
    <row r="966" customFormat="false" ht="15.75" hidden="false" customHeight="false" outlineLevel="0" collapsed="false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</row>
    <row r="967" customFormat="false" ht="15.75" hidden="false" customHeight="false" outlineLevel="0" collapsed="false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</row>
    <row r="968" customFormat="false" ht="15.75" hidden="false" customHeight="false" outlineLevel="0" collapsed="false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</row>
    <row r="969" customFormat="false" ht="15.75" hidden="false" customHeight="false" outlineLevel="0" collapsed="false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</row>
    <row r="970" customFormat="false" ht="15.75" hidden="false" customHeight="false" outlineLevel="0" collapsed="false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</row>
    <row r="971" customFormat="false" ht="15.75" hidden="false" customHeight="false" outlineLevel="0" collapsed="false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</row>
    <row r="972" customFormat="false" ht="15.75" hidden="false" customHeight="false" outlineLevel="0" collapsed="false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</row>
    <row r="973" customFormat="false" ht="15.75" hidden="false" customHeight="false" outlineLevel="0" collapsed="false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</row>
    <row r="974" customFormat="false" ht="15.75" hidden="false" customHeight="false" outlineLevel="0" collapsed="false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</row>
    <row r="975" customFormat="false" ht="15.75" hidden="false" customHeight="false" outlineLevel="0" collapsed="false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</row>
    <row r="976" customFormat="false" ht="15.75" hidden="false" customHeight="false" outlineLevel="0" collapsed="false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</row>
    <row r="977" customFormat="false" ht="15.75" hidden="false" customHeight="false" outlineLevel="0" collapsed="false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</row>
    <row r="978" customFormat="false" ht="15.75" hidden="false" customHeight="false" outlineLevel="0" collapsed="false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</row>
    <row r="979" customFormat="false" ht="15.75" hidden="false" customHeight="false" outlineLevel="0" collapsed="false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</row>
    <row r="980" customFormat="false" ht="15.75" hidden="false" customHeight="false" outlineLevel="0" collapsed="false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</row>
    <row r="981" customFormat="false" ht="15.75" hidden="false" customHeight="false" outlineLevel="0" collapsed="false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</row>
    <row r="982" customFormat="false" ht="15.75" hidden="false" customHeight="false" outlineLevel="0" collapsed="false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</row>
    <row r="983" customFormat="false" ht="15.75" hidden="false" customHeight="false" outlineLevel="0" collapsed="false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</row>
    <row r="984" customFormat="false" ht="15.75" hidden="false" customHeight="false" outlineLevel="0" collapsed="false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</row>
    <row r="985" customFormat="false" ht="15.75" hidden="false" customHeight="false" outlineLevel="0" collapsed="false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</row>
    <row r="986" customFormat="false" ht="15.75" hidden="false" customHeight="false" outlineLevel="0" collapsed="false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</row>
    <row r="987" customFormat="false" ht="15.75" hidden="false" customHeight="false" outlineLevel="0" collapsed="false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</row>
    <row r="988" customFormat="false" ht="15.75" hidden="false" customHeight="false" outlineLevel="0" collapsed="false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</row>
    <row r="989" customFormat="false" ht="15.75" hidden="false" customHeight="false" outlineLevel="0" collapsed="false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</row>
    <row r="990" customFormat="false" ht="15.75" hidden="false" customHeight="false" outlineLevel="0" collapsed="false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</row>
    <row r="991" customFormat="false" ht="15.75" hidden="false" customHeight="false" outlineLevel="0" collapsed="false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</row>
    <row r="992" customFormat="false" ht="15.75" hidden="false" customHeight="false" outlineLevel="0" collapsed="false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</row>
    <row r="993" customFormat="false" ht="15.75" hidden="false" customHeight="false" outlineLevel="0" collapsed="false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</row>
    <row r="994" customFormat="false" ht="15.75" hidden="false" customHeight="false" outlineLevel="0" collapsed="false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</row>
    <row r="995" customFormat="false" ht="15.75" hidden="false" customHeight="false" outlineLevel="0" collapsed="false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</row>
    <row r="996" customFormat="false" ht="15.75" hidden="false" customHeight="false" outlineLevel="0" collapsed="false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</row>
    <row r="997" customFormat="false" ht="15.75" hidden="false" customHeight="false" outlineLevel="0" collapsed="false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</row>
    <row r="998" customFormat="false" ht="15.75" hidden="false" customHeight="false" outlineLevel="0" collapsed="false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</row>
    <row r="999" customFormat="false" ht="15.75" hidden="false" customHeight="false" outlineLevel="0" collapsed="false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</row>
  </sheetData>
  <mergeCells count="73">
    <mergeCell ref="A1:Z3"/>
    <mergeCell ref="A4:Z4"/>
    <mergeCell ref="A5:A6"/>
    <mergeCell ref="B5:B6"/>
    <mergeCell ref="D5:E5"/>
    <mergeCell ref="F5:F6"/>
    <mergeCell ref="G5:H5"/>
    <mergeCell ref="I5:I6"/>
    <mergeCell ref="J5:K5"/>
    <mergeCell ref="L5:L6"/>
    <mergeCell ref="M5:N5"/>
    <mergeCell ref="O5:O6"/>
    <mergeCell ref="P5:Q5"/>
    <mergeCell ref="R5:R6"/>
    <mergeCell ref="S5:T5"/>
    <mergeCell ref="U5:Z5"/>
    <mergeCell ref="A35:Z37"/>
    <mergeCell ref="A38:Z38"/>
    <mergeCell ref="A39:A40"/>
    <mergeCell ref="B39:B40"/>
    <mergeCell ref="D39:E39"/>
    <mergeCell ref="F39:F40"/>
    <mergeCell ref="G39:H39"/>
    <mergeCell ref="I39:I40"/>
    <mergeCell ref="J39:K39"/>
    <mergeCell ref="L39:L40"/>
    <mergeCell ref="M39:N39"/>
    <mergeCell ref="O39:O40"/>
    <mergeCell ref="P39:Q39"/>
    <mergeCell ref="R39:R40"/>
    <mergeCell ref="S39:T39"/>
    <mergeCell ref="U39:Z39"/>
    <mergeCell ref="A69:Z71"/>
    <mergeCell ref="A72:Z72"/>
    <mergeCell ref="A73:A74"/>
    <mergeCell ref="B73:B74"/>
    <mergeCell ref="D73:E73"/>
    <mergeCell ref="F73:F74"/>
    <mergeCell ref="G73:H73"/>
    <mergeCell ref="I73:I74"/>
    <mergeCell ref="J73:K73"/>
    <mergeCell ref="L73:L74"/>
    <mergeCell ref="M73:N73"/>
    <mergeCell ref="O73:O74"/>
    <mergeCell ref="P73:Q73"/>
    <mergeCell ref="R73:R74"/>
    <mergeCell ref="S73:T73"/>
    <mergeCell ref="U73:Z73"/>
    <mergeCell ref="A103:Z105"/>
    <mergeCell ref="A106:Z106"/>
    <mergeCell ref="A107:A108"/>
    <mergeCell ref="B107:B108"/>
    <mergeCell ref="D107:E107"/>
    <mergeCell ref="F107:F108"/>
    <mergeCell ref="G107:H107"/>
    <mergeCell ref="I107:I108"/>
    <mergeCell ref="J107:K107"/>
    <mergeCell ref="L107:L108"/>
    <mergeCell ref="M107:N107"/>
    <mergeCell ref="O107:O108"/>
    <mergeCell ref="P107:Q107"/>
    <mergeCell ref="R107:R108"/>
    <mergeCell ref="S107:T107"/>
    <mergeCell ref="U107:Z107"/>
    <mergeCell ref="A137:Z139"/>
    <mergeCell ref="A140:Z140"/>
    <mergeCell ref="A141:A142"/>
    <mergeCell ref="B141:B142"/>
    <mergeCell ref="D141:E141"/>
    <mergeCell ref="F141:F142"/>
    <mergeCell ref="G141:H141"/>
    <mergeCell ref="I141:T170"/>
    <mergeCell ref="U141:Z141"/>
  </mergeCells>
  <dataValidations count="1">
    <dataValidation allowBlank="true" errorStyle="stop" operator="between" showDropDown="false" showErrorMessage="true" showInputMessage="false" sqref="D7:E34 G7:H34 J7:K34 M7:N34 P7:Q34 S7:T34 D41:E67 G41:H67 J41:K67 M41:N67 P41:Q67 S41:T67 D75:E102 G75:H102 J75:K102 M75:N102 P75:Q102 S75:T102 D109:E136 G109:H136 J109:K136 M109:N136 P109:Q136 S109:T136 D143:E170 G143:H170" type="list">
      <formula1>"H,I,ST,S,A"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70"/>
  <sheetViews>
    <sheetView showFormulas="false" showGridLines="true" showRowColHeaders="true" showZeros="true" rightToLeft="false" tabSelected="false" showOutlineSymbols="true" defaultGridColor="true" view="normal" topLeftCell="A1" colorId="64" zoomScale="61" zoomScaleNormal="61" zoomScalePageLayoutView="100" workbookViewId="0">
      <selection pane="topLeft" activeCell="D28" activeCellId="0" sqref="D2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5.25"/>
    <col collapsed="false" customWidth="true" hidden="false" outlineLevel="0" max="2" min="2" style="0" width="25.75"/>
    <col collapsed="false" customWidth="true" hidden="false" outlineLevel="0" max="6" min="6" style="0" width="25.75"/>
    <col collapsed="false" customWidth="true" hidden="false" outlineLevel="0" max="9" min="9" style="0" width="25.75"/>
    <col collapsed="false" customWidth="true" hidden="false" outlineLevel="0" max="12" min="12" style="0" width="25.75"/>
    <col collapsed="false" customWidth="true" hidden="false" outlineLevel="0" max="15" min="15" style="0" width="25.75"/>
    <col collapsed="false" customWidth="true" hidden="false" outlineLevel="0" max="18" min="18" style="0" width="25.75"/>
    <col collapsed="false" customWidth="true" hidden="false" outlineLevel="0" max="26" min="26" style="0" width="25.75"/>
  </cols>
  <sheetData>
    <row r="1" customFormat="false" ht="15.75" hidden="false" customHeight="false" outlineLevel="0" collapsed="false">
      <c r="A1" s="19" t="s">
        <v>57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5.75" hidden="false" customHeight="true" outlineLevel="0" collapsed="false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customFormat="false" ht="15.75" hidden="false" customHeight="true" outlineLevel="0" collapsed="false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customFormat="false" ht="15.75" hidden="false" customHeight="false" outlineLevel="0" collapsed="false">
      <c r="A4" s="20" t="s">
        <v>289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customFormat="false" ht="15.75" hidden="false" customHeight="false" outlineLevel="0" collapsed="false">
      <c r="A5" s="21" t="s">
        <v>1</v>
      </c>
      <c r="B5" s="21" t="s">
        <v>2</v>
      </c>
      <c r="C5" s="22"/>
      <c r="D5" s="21" t="s">
        <v>290</v>
      </c>
      <c r="E5" s="21"/>
      <c r="F5" s="21" t="s">
        <v>2</v>
      </c>
      <c r="G5" s="21" t="s">
        <v>291</v>
      </c>
      <c r="H5" s="21"/>
      <c r="I5" s="21" t="s">
        <v>2</v>
      </c>
      <c r="J5" s="21" t="s">
        <v>292</v>
      </c>
      <c r="K5" s="21"/>
      <c r="L5" s="21" t="s">
        <v>2</v>
      </c>
      <c r="M5" s="21" t="s">
        <v>293</v>
      </c>
      <c r="N5" s="21"/>
      <c r="O5" s="21" t="s">
        <v>2</v>
      </c>
      <c r="P5" s="21" t="s">
        <v>294</v>
      </c>
      <c r="Q5" s="21"/>
      <c r="R5" s="21" t="s">
        <v>2</v>
      </c>
      <c r="S5" s="21" t="s">
        <v>295</v>
      </c>
      <c r="T5" s="21"/>
      <c r="U5" s="39" t="s">
        <v>49</v>
      </c>
      <c r="V5" s="39"/>
      <c r="W5" s="39"/>
      <c r="X5" s="39"/>
      <c r="Y5" s="39"/>
      <c r="Z5" s="39"/>
    </row>
    <row r="6" customFormat="false" ht="15.75" hidden="false" customHeight="false" outlineLevel="0" collapsed="false">
      <c r="A6" s="21"/>
      <c r="B6" s="21"/>
      <c r="C6" s="22" t="s">
        <v>50</v>
      </c>
      <c r="D6" s="40" t="s">
        <v>296</v>
      </c>
      <c r="E6" s="40" t="s">
        <v>303</v>
      </c>
      <c r="F6" s="21"/>
      <c r="G6" s="40" t="s">
        <v>296</v>
      </c>
      <c r="H6" s="40" t="s">
        <v>303</v>
      </c>
      <c r="I6" s="21"/>
      <c r="J6" s="40" t="s">
        <v>296</v>
      </c>
      <c r="K6" s="40" t="s">
        <v>303</v>
      </c>
      <c r="L6" s="21"/>
      <c r="M6" s="40" t="s">
        <v>296</v>
      </c>
      <c r="N6" s="40" t="s">
        <v>303</v>
      </c>
      <c r="O6" s="21"/>
      <c r="P6" s="40" t="s">
        <v>296</v>
      </c>
      <c r="Q6" s="40" t="s">
        <v>303</v>
      </c>
      <c r="R6" s="21"/>
      <c r="S6" s="40" t="s">
        <v>296</v>
      </c>
      <c r="T6" s="40" t="s">
        <v>303</v>
      </c>
      <c r="U6" s="24" t="s">
        <v>51</v>
      </c>
      <c r="V6" s="24" t="s">
        <v>52</v>
      </c>
      <c r="W6" s="24" t="s">
        <v>53</v>
      </c>
      <c r="X6" s="24" t="s">
        <v>54</v>
      </c>
      <c r="Y6" s="24" t="s">
        <v>55</v>
      </c>
      <c r="Z6" s="24"/>
    </row>
    <row r="7" customFormat="false" ht="15.75" hidden="false" customHeight="false" outlineLevel="0" collapsed="false">
      <c r="A7" s="24" t="n">
        <v>1</v>
      </c>
      <c r="B7" s="24" t="str">
        <f aca="false">'absensi setoran'!B7</f>
        <v>AYI KOSIM HATIMI</v>
      </c>
      <c r="C7" s="24" t="n">
        <f aca="false">'absensi setoran'!C7</f>
        <v>30</v>
      </c>
      <c r="D7" s="24"/>
      <c r="E7" s="24"/>
      <c r="F7" s="24" t="str">
        <f aca="false">B7</f>
        <v>AYI KOSIM HATIMI</v>
      </c>
      <c r="G7" s="24" t="s">
        <v>97</v>
      </c>
      <c r="H7" s="24"/>
      <c r="I7" s="24" t="str">
        <f aca="false">B7</f>
        <v>AYI KOSIM HATIMI</v>
      </c>
      <c r="J7" s="24" t="s">
        <v>298</v>
      </c>
      <c r="K7" s="24"/>
      <c r="L7" s="24" t="str">
        <f aca="false">B7</f>
        <v>AYI KOSIM HATIMI</v>
      </c>
      <c r="M7" s="24"/>
      <c r="N7" s="24"/>
      <c r="O7" s="24" t="str">
        <f aca="false">B7</f>
        <v>AYI KOSIM HATIMI</v>
      </c>
      <c r="P7" s="24"/>
      <c r="Q7" s="24"/>
      <c r="R7" s="24" t="str">
        <f aca="false">B7</f>
        <v>AYI KOSIM HATIMI</v>
      </c>
      <c r="S7" s="24"/>
      <c r="T7" s="24"/>
      <c r="U7" s="24" t="n">
        <f aca="false">COUNTIF(B7:T7,"H")</f>
        <v>0</v>
      </c>
      <c r="V7" s="24" t="n">
        <f aca="false">COUNTIF(B7:T7,"ST")</f>
        <v>1</v>
      </c>
      <c r="W7" s="24" t="n">
        <f aca="false">COUNTIF(B7:T7,"I")</f>
        <v>1</v>
      </c>
      <c r="X7" s="24" t="n">
        <f aca="false">COUNTIF(B7:T7,"S")</f>
        <v>0</v>
      </c>
      <c r="Y7" s="24" t="n">
        <f aca="false">COUNTIF(B7:T7,"A")</f>
        <v>0</v>
      </c>
      <c r="Z7" s="24" t="str">
        <f aca="false">B7</f>
        <v>AYI KOSIM HATIMI</v>
      </c>
    </row>
    <row r="8" customFormat="false" ht="15.75" hidden="false" customHeight="false" outlineLevel="0" collapsed="false">
      <c r="A8" s="24" t="n">
        <v>2</v>
      </c>
      <c r="B8" s="24" t="str">
        <f aca="false">'absensi setoran'!B8</f>
        <v>ABRURRAHMAN AFANDI</v>
      </c>
      <c r="C8" s="24" t="n">
        <f aca="false">'absensi setoran'!C8</f>
        <v>30</v>
      </c>
      <c r="D8" s="24"/>
      <c r="E8" s="24"/>
      <c r="F8" s="24" t="str">
        <f aca="false">B8</f>
        <v>ABRURRAHMAN AFANDI</v>
      </c>
      <c r="G8" s="24" t="s">
        <v>298</v>
      </c>
      <c r="H8" s="24"/>
      <c r="I8" s="24" t="str">
        <f aca="false">B8</f>
        <v>ABRURRAHMAN AFANDI</v>
      </c>
      <c r="J8" s="24" t="s">
        <v>298</v>
      </c>
      <c r="K8" s="24"/>
      <c r="L8" s="24" t="str">
        <f aca="false">B8</f>
        <v>ABRURRAHMAN AFANDI</v>
      </c>
      <c r="M8" s="24"/>
      <c r="N8" s="24"/>
      <c r="O8" s="24" t="str">
        <f aca="false">B8</f>
        <v>ABRURRAHMAN AFANDI</v>
      </c>
      <c r="P8" s="24"/>
      <c r="Q8" s="24"/>
      <c r="R8" s="24" t="str">
        <f aca="false">B8</f>
        <v>ABRURRAHMAN AFANDI</v>
      </c>
      <c r="S8" s="24"/>
      <c r="T8" s="24"/>
      <c r="U8" s="24" t="n">
        <f aca="false">COUNTIF(B8:T8,"H")</f>
        <v>0</v>
      </c>
      <c r="V8" s="24" t="n">
        <f aca="false">COUNTIF(B8:T8,"ST")</f>
        <v>2</v>
      </c>
      <c r="W8" s="24" t="n">
        <f aca="false">COUNTIF(B8:T8,"I")</f>
        <v>0</v>
      </c>
      <c r="X8" s="24" t="n">
        <f aca="false">COUNTIF(B8:T8,"S")</f>
        <v>0</v>
      </c>
      <c r="Y8" s="24" t="n">
        <f aca="false">COUNTIF(B8:T8,"A")</f>
        <v>0</v>
      </c>
      <c r="Z8" s="24" t="str">
        <f aca="false">B8</f>
        <v>ABRURRAHMAN AFANDI</v>
      </c>
    </row>
    <row r="9" customFormat="false" ht="15.75" hidden="false" customHeight="false" outlineLevel="0" collapsed="false">
      <c r="A9" s="24" t="n">
        <v>3</v>
      </c>
      <c r="B9" s="24" t="str">
        <f aca="false">'absensi setoran'!B9</f>
        <v>CECEP ABDULATIF</v>
      </c>
      <c r="C9" s="24" t="n">
        <f aca="false">'absensi setoran'!C9</f>
        <v>30</v>
      </c>
      <c r="D9" s="24"/>
      <c r="E9" s="24"/>
      <c r="F9" s="24" t="str">
        <f aca="false">B9</f>
        <v>CECEP ABDULATIF</v>
      </c>
      <c r="G9" s="24" t="s">
        <v>78</v>
      </c>
      <c r="H9" s="24"/>
      <c r="I9" s="24" t="str">
        <f aca="false">B9</f>
        <v>CECEP ABDULATIF</v>
      </c>
      <c r="J9" s="24" t="s">
        <v>78</v>
      </c>
      <c r="K9" s="24"/>
      <c r="L9" s="24" t="str">
        <f aca="false">B9</f>
        <v>CECEP ABDULATIF</v>
      </c>
      <c r="M9" s="24"/>
      <c r="N9" s="24"/>
      <c r="O9" s="24" t="str">
        <f aca="false">B9</f>
        <v>CECEP ABDULATIF</v>
      </c>
      <c r="P9" s="24"/>
      <c r="Q9" s="24"/>
      <c r="R9" s="24" t="str">
        <f aca="false">B9</f>
        <v>CECEP ABDULATIF</v>
      </c>
      <c r="S9" s="24"/>
      <c r="T9" s="24"/>
      <c r="U9" s="24" t="n">
        <f aca="false">COUNTIF(B9:T9,"H")</f>
        <v>2</v>
      </c>
      <c r="V9" s="24" t="n">
        <f aca="false">COUNTIF(B9:T9,"ST")</f>
        <v>0</v>
      </c>
      <c r="W9" s="24" t="n">
        <f aca="false">COUNTIF(B9:T9,"I")</f>
        <v>0</v>
      </c>
      <c r="X9" s="24" t="n">
        <f aca="false">COUNTIF(B9:T9,"S")</f>
        <v>0</v>
      </c>
      <c r="Y9" s="24" t="n">
        <f aca="false">COUNTIF(B9:T9,"A")</f>
        <v>0</v>
      </c>
      <c r="Z9" s="24" t="str">
        <f aca="false">B9</f>
        <v>CECEP ABDULATIF</v>
      </c>
    </row>
    <row r="10" customFormat="false" ht="15.75" hidden="false" customHeight="false" outlineLevel="0" collapsed="false">
      <c r="A10" s="24" t="n">
        <v>4</v>
      </c>
      <c r="B10" s="24" t="str">
        <f aca="false">'absensi setoran'!B10</f>
        <v>DONI SUPRIATNA</v>
      </c>
      <c r="C10" s="24" t="n">
        <f aca="false">'absensi setoran'!C10</f>
        <v>30</v>
      </c>
      <c r="D10" s="24"/>
      <c r="E10" s="24"/>
      <c r="F10" s="24" t="str">
        <f aca="false">B10</f>
        <v>DONI SUPRIATNA</v>
      </c>
      <c r="G10" s="24" t="s">
        <v>298</v>
      </c>
      <c r="H10" s="24"/>
      <c r="I10" s="24" t="str">
        <f aca="false">B10</f>
        <v>DONI SUPRIATNA</v>
      </c>
      <c r="J10" s="24" t="s">
        <v>78</v>
      </c>
      <c r="K10" s="24"/>
      <c r="L10" s="24" t="str">
        <f aca="false">B10</f>
        <v>DONI SUPRIATNA</v>
      </c>
      <c r="M10" s="24"/>
      <c r="N10" s="24"/>
      <c r="O10" s="24" t="str">
        <f aca="false">B10</f>
        <v>DONI SUPRIATNA</v>
      </c>
      <c r="P10" s="24"/>
      <c r="Q10" s="24"/>
      <c r="R10" s="24" t="str">
        <f aca="false">B10</f>
        <v>DONI SUPRIATNA</v>
      </c>
      <c r="S10" s="24"/>
      <c r="T10" s="24"/>
      <c r="U10" s="24" t="n">
        <f aca="false">COUNTIF(B10:T10,"H")</f>
        <v>1</v>
      </c>
      <c r="V10" s="24" t="n">
        <f aca="false">COUNTIF(B10:T10,"ST")</f>
        <v>1</v>
      </c>
      <c r="W10" s="24" t="n">
        <f aca="false">COUNTIF(B10:T10,"I")</f>
        <v>0</v>
      </c>
      <c r="X10" s="24" t="n">
        <f aca="false">COUNTIF(B10:T10,"S")</f>
        <v>0</v>
      </c>
      <c r="Y10" s="24" t="n">
        <f aca="false">COUNTIF(B10:T10,"A")</f>
        <v>0</v>
      </c>
      <c r="Z10" s="24" t="str">
        <f aca="false">B10</f>
        <v>DONI SUPRIATNA</v>
      </c>
    </row>
    <row r="11" customFormat="false" ht="15.75" hidden="false" customHeight="false" outlineLevel="0" collapsed="false">
      <c r="A11" s="24" t="n">
        <v>5</v>
      </c>
      <c r="B11" s="24" t="e">
        <f aca="false">'absensi setoran'!B11</f>
        <v>#REF!</v>
      </c>
      <c r="C11" s="24" t="e">
        <f aca="false">'absensi setoran'!C11</f>
        <v>#REF!</v>
      </c>
      <c r="D11" s="24"/>
      <c r="E11" s="24"/>
      <c r="F11" s="24" t="e">
        <f aca="false">B11</f>
        <v>#REF!</v>
      </c>
      <c r="G11" s="24" t="s">
        <v>78</v>
      </c>
      <c r="H11" s="24"/>
      <c r="I11" s="24" t="e">
        <f aca="false">B11</f>
        <v>#REF!</v>
      </c>
      <c r="J11" s="24" t="s">
        <v>78</v>
      </c>
      <c r="K11" s="24"/>
      <c r="L11" s="24" t="e">
        <f aca="false">B11</f>
        <v>#REF!</v>
      </c>
      <c r="M11" s="24"/>
      <c r="N11" s="24"/>
      <c r="O11" s="24" t="e">
        <f aca="false">B11</f>
        <v>#REF!</v>
      </c>
      <c r="P11" s="24"/>
      <c r="Q11" s="24"/>
      <c r="R11" s="24" t="e">
        <f aca="false">B11</f>
        <v>#REF!</v>
      </c>
      <c r="S11" s="24"/>
      <c r="T11" s="24"/>
      <c r="U11" s="24" t="n">
        <f aca="false">COUNTIF(B11:T11,"H")</f>
        <v>2</v>
      </c>
      <c r="V11" s="24" t="n">
        <f aca="false">COUNTIF(B11:T11,"ST")</f>
        <v>0</v>
      </c>
      <c r="W11" s="24" t="n">
        <f aca="false">COUNTIF(B11:T11,"I")</f>
        <v>0</v>
      </c>
      <c r="X11" s="24" t="n">
        <f aca="false">COUNTIF(B11:T11,"S")</f>
        <v>0</v>
      </c>
      <c r="Y11" s="24" t="n">
        <f aca="false">COUNTIF(B11:T11,"A")</f>
        <v>0</v>
      </c>
      <c r="Z11" s="24" t="e">
        <f aca="false">B11</f>
        <v>#REF!</v>
      </c>
    </row>
    <row r="12" customFormat="false" ht="15.75" hidden="false" customHeight="false" outlineLevel="0" collapsed="false">
      <c r="A12" s="24" t="n">
        <v>6</v>
      </c>
      <c r="B12" s="24" t="str">
        <f aca="false">'absensi setoran'!B12</f>
        <v>ZAKY AZHARI</v>
      </c>
      <c r="C12" s="24" t="n">
        <f aca="false">'absensi setoran'!C12</f>
        <v>30</v>
      </c>
      <c r="D12" s="24"/>
      <c r="E12" s="24"/>
      <c r="F12" s="24" t="str">
        <f aca="false">B12</f>
        <v>ZAKY AZHARI</v>
      </c>
      <c r="G12" s="24" t="s">
        <v>78</v>
      </c>
      <c r="H12" s="24"/>
      <c r="I12" s="24" t="str">
        <f aca="false">B12</f>
        <v>ZAKY AZHARI</v>
      </c>
      <c r="J12" s="24" t="s">
        <v>97</v>
      </c>
      <c r="K12" s="24"/>
      <c r="L12" s="24" t="str">
        <f aca="false">B12</f>
        <v>ZAKY AZHARI</v>
      </c>
      <c r="M12" s="24"/>
      <c r="N12" s="24"/>
      <c r="O12" s="24" t="str">
        <f aca="false">B12</f>
        <v>ZAKY AZHARI</v>
      </c>
      <c r="P12" s="24"/>
      <c r="Q12" s="24"/>
      <c r="R12" s="24" t="str">
        <f aca="false">B12</f>
        <v>ZAKY AZHARI</v>
      </c>
      <c r="S12" s="24"/>
      <c r="T12" s="24"/>
      <c r="U12" s="24" t="n">
        <f aca="false">COUNTIF(B12:T12,"H")</f>
        <v>1</v>
      </c>
      <c r="V12" s="24" t="n">
        <f aca="false">COUNTIF(B12:T12,"ST")</f>
        <v>0</v>
      </c>
      <c r="W12" s="24" t="n">
        <f aca="false">COUNTIF(B12:T12,"I")</f>
        <v>1</v>
      </c>
      <c r="X12" s="24" t="n">
        <f aca="false">COUNTIF(B12:T12,"S")</f>
        <v>0</v>
      </c>
      <c r="Y12" s="24" t="n">
        <f aca="false">COUNTIF(B12:T12,"A")</f>
        <v>0</v>
      </c>
      <c r="Z12" s="24" t="str">
        <f aca="false">B12</f>
        <v>ZAKY AZHARI</v>
      </c>
    </row>
    <row r="13" customFormat="false" ht="15.75" hidden="false" customHeight="false" outlineLevel="0" collapsed="false">
      <c r="A13" s="24" t="n">
        <v>7</v>
      </c>
      <c r="B13" s="24" t="str">
        <f aca="false">'absensi setoran'!B13</f>
        <v>MUHAMMAD FAUZIL ADZIM</v>
      </c>
      <c r="C13" s="24" t="n">
        <f aca="false">'absensi setoran'!C13</f>
        <v>30</v>
      </c>
      <c r="D13" s="24"/>
      <c r="E13" s="24"/>
      <c r="F13" s="24" t="str">
        <f aca="false">B13</f>
        <v>MUHAMMAD FAUZIL ADZIM</v>
      </c>
      <c r="G13" s="24" t="s">
        <v>78</v>
      </c>
      <c r="H13" s="24"/>
      <c r="I13" s="24" t="str">
        <f aca="false">B13</f>
        <v>MUHAMMAD FAUZIL ADZIM</v>
      </c>
      <c r="J13" s="24" t="s">
        <v>78</v>
      </c>
      <c r="K13" s="24"/>
      <c r="L13" s="24" t="str">
        <f aca="false">B13</f>
        <v>MUHAMMAD FAUZIL ADZIM</v>
      </c>
      <c r="M13" s="24"/>
      <c r="N13" s="24"/>
      <c r="O13" s="24" t="str">
        <f aca="false">B13</f>
        <v>MUHAMMAD FAUZIL ADZIM</v>
      </c>
      <c r="P13" s="24"/>
      <c r="Q13" s="24"/>
      <c r="R13" s="24" t="str">
        <f aca="false">B13</f>
        <v>MUHAMMAD FAUZIL ADZIM</v>
      </c>
      <c r="S13" s="24"/>
      <c r="T13" s="24"/>
      <c r="U13" s="24" t="n">
        <f aca="false">COUNTIF(B13:T13,"H")</f>
        <v>2</v>
      </c>
      <c r="V13" s="24" t="n">
        <f aca="false">COUNTIF(B13:T13,"ST")</f>
        <v>0</v>
      </c>
      <c r="W13" s="24" t="n">
        <f aca="false">COUNTIF(B13:T13,"I")</f>
        <v>0</v>
      </c>
      <c r="X13" s="24" t="n">
        <f aca="false">COUNTIF(B13:T13,"S")</f>
        <v>0</v>
      </c>
      <c r="Y13" s="24" t="n">
        <f aca="false">COUNTIF(B13:T13,"A")</f>
        <v>0</v>
      </c>
      <c r="Z13" s="24" t="str">
        <f aca="false">B13</f>
        <v>MUHAMMAD FAUZIL ADZIM</v>
      </c>
    </row>
    <row r="14" customFormat="false" ht="15.75" hidden="false" customHeight="false" outlineLevel="0" collapsed="false">
      <c r="A14" s="24" t="n">
        <v>8</v>
      </c>
      <c r="B14" s="24" t="str">
        <f aca="false">'absensi setoran'!B14</f>
        <v>MUHAMMAD DZIKRI HUSAENI</v>
      </c>
      <c r="C14" s="24" t="n">
        <f aca="false">'absensi setoran'!C14</f>
        <v>18</v>
      </c>
      <c r="D14" s="24"/>
      <c r="E14" s="24"/>
      <c r="F14" s="24" t="str">
        <f aca="false">B14</f>
        <v>MUHAMMAD DZIKRI HUSAENI</v>
      </c>
      <c r="G14" s="24" t="s">
        <v>75</v>
      </c>
      <c r="H14" s="24"/>
      <c r="I14" s="24" t="str">
        <f aca="false">B14</f>
        <v>MUHAMMAD DZIKRI HUSAENI</v>
      </c>
      <c r="J14" s="24" t="s">
        <v>78</v>
      </c>
      <c r="K14" s="24"/>
      <c r="L14" s="24" t="str">
        <f aca="false">B14</f>
        <v>MUHAMMAD DZIKRI HUSAENI</v>
      </c>
      <c r="M14" s="24"/>
      <c r="N14" s="24"/>
      <c r="O14" s="24" t="str">
        <f aca="false">B14</f>
        <v>MUHAMMAD DZIKRI HUSAENI</v>
      </c>
      <c r="P14" s="24"/>
      <c r="Q14" s="24"/>
      <c r="R14" s="24" t="str">
        <f aca="false">B14</f>
        <v>MUHAMMAD DZIKRI HUSAENI</v>
      </c>
      <c r="S14" s="24"/>
      <c r="T14" s="24"/>
      <c r="U14" s="24" t="n">
        <f aca="false">COUNTIF(B14:T14,"H")</f>
        <v>1</v>
      </c>
      <c r="V14" s="24" t="n">
        <f aca="false">COUNTIF(B14:T14,"ST")</f>
        <v>0</v>
      </c>
      <c r="W14" s="24" t="n">
        <f aca="false">COUNTIF(B14:T14,"I")</f>
        <v>0</v>
      </c>
      <c r="X14" s="24" t="n">
        <f aca="false">COUNTIF(B14:T14,"S")</f>
        <v>0</v>
      </c>
      <c r="Y14" s="24" t="n">
        <f aca="false">COUNTIF(B14:T14,"A")</f>
        <v>1</v>
      </c>
      <c r="Z14" s="24" t="str">
        <f aca="false">B14</f>
        <v>MUHAMMAD DZIKRI HUSAENI</v>
      </c>
    </row>
    <row r="15" customFormat="false" ht="15.75" hidden="false" customHeight="false" outlineLevel="0" collapsed="false">
      <c r="A15" s="24" t="n">
        <v>9</v>
      </c>
      <c r="B15" s="24" t="e">
        <f aca="false">'absensi setoran'!B15</f>
        <v>#REF!</v>
      </c>
      <c r="C15" s="24" t="e">
        <f aca="false">'absensi setoran'!C15</f>
        <v>#REF!</v>
      </c>
      <c r="D15" s="24"/>
      <c r="E15" s="24"/>
      <c r="F15" s="24" t="e">
        <f aca="false">B15</f>
        <v>#REF!</v>
      </c>
      <c r="G15" s="24" t="s">
        <v>78</v>
      </c>
      <c r="H15" s="24"/>
      <c r="I15" s="24" t="e">
        <f aca="false">B15</f>
        <v>#REF!</v>
      </c>
      <c r="J15" s="24" t="s">
        <v>97</v>
      </c>
      <c r="K15" s="24"/>
      <c r="L15" s="24" t="e">
        <f aca="false">B15</f>
        <v>#REF!</v>
      </c>
      <c r="M15" s="24"/>
      <c r="N15" s="24"/>
      <c r="O15" s="24" t="e">
        <f aca="false">B15</f>
        <v>#REF!</v>
      </c>
      <c r="P15" s="24"/>
      <c r="Q15" s="24"/>
      <c r="R15" s="24" t="e">
        <f aca="false">B15</f>
        <v>#REF!</v>
      </c>
      <c r="S15" s="24"/>
      <c r="T15" s="24"/>
      <c r="U15" s="24" t="n">
        <f aca="false">COUNTIF(B15:T15,"H")</f>
        <v>1</v>
      </c>
      <c r="V15" s="24" t="n">
        <f aca="false">COUNTIF(B15:T15,"ST")</f>
        <v>0</v>
      </c>
      <c r="W15" s="24" t="n">
        <f aca="false">COUNTIF(B15:T15,"I")</f>
        <v>1</v>
      </c>
      <c r="X15" s="24" t="n">
        <f aca="false">COUNTIF(B15:T15,"S")</f>
        <v>0</v>
      </c>
      <c r="Y15" s="24" t="n">
        <f aca="false">COUNTIF(B15:T15,"A")</f>
        <v>0</v>
      </c>
      <c r="Z15" s="24" t="e">
        <f aca="false">B15</f>
        <v>#REF!</v>
      </c>
    </row>
    <row r="16" customFormat="false" ht="15.75" hidden="false" customHeight="false" outlineLevel="0" collapsed="false">
      <c r="A16" s="24" t="n">
        <v>10</v>
      </c>
      <c r="B16" s="24" t="str">
        <f aca="false">'absensi setoran'!B16</f>
        <v>ABDUL KHOLIQ</v>
      </c>
      <c r="C16" s="24" t="n">
        <f aca="false">'absensi setoran'!C16</f>
        <v>14</v>
      </c>
      <c r="D16" s="24"/>
      <c r="E16" s="24"/>
      <c r="F16" s="24" t="str">
        <f aca="false">B16</f>
        <v>ABDUL KHOLIQ</v>
      </c>
      <c r="G16" s="24" t="s">
        <v>78</v>
      </c>
      <c r="H16" s="24"/>
      <c r="I16" s="24" t="str">
        <f aca="false">B16</f>
        <v>ABDUL KHOLIQ</v>
      </c>
      <c r="J16" s="24" t="s">
        <v>78</v>
      </c>
      <c r="K16" s="24"/>
      <c r="L16" s="24" t="str">
        <f aca="false">B16</f>
        <v>ABDUL KHOLIQ</v>
      </c>
      <c r="M16" s="24"/>
      <c r="N16" s="24"/>
      <c r="O16" s="24" t="str">
        <f aca="false">B16</f>
        <v>ABDUL KHOLIQ</v>
      </c>
      <c r="P16" s="24"/>
      <c r="Q16" s="24"/>
      <c r="R16" s="24" t="str">
        <f aca="false">B16</f>
        <v>ABDUL KHOLIQ</v>
      </c>
      <c r="S16" s="24"/>
      <c r="T16" s="24"/>
      <c r="U16" s="24" t="n">
        <f aca="false">COUNTIF(B16:T16,"H")</f>
        <v>2</v>
      </c>
      <c r="V16" s="24" t="n">
        <f aca="false">COUNTIF(B16:T16,"ST")</f>
        <v>0</v>
      </c>
      <c r="W16" s="24" t="n">
        <f aca="false">COUNTIF(B16:T16,"I")</f>
        <v>0</v>
      </c>
      <c r="X16" s="24" t="n">
        <f aca="false">COUNTIF(B16:T16,"S")</f>
        <v>0</v>
      </c>
      <c r="Y16" s="24" t="n">
        <f aca="false">COUNTIF(B16:T16,"A")</f>
        <v>0</v>
      </c>
      <c r="Z16" s="24" t="str">
        <f aca="false">B16</f>
        <v>ABDUL KHOLIQ</v>
      </c>
    </row>
    <row r="17" customFormat="false" ht="15.75" hidden="false" customHeight="false" outlineLevel="0" collapsed="false">
      <c r="A17" s="24" t="n">
        <v>11</v>
      </c>
      <c r="B17" s="24" t="str">
        <f aca="false">'absensi setoran'!B17</f>
        <v>IYAN FARID</v>
      </c>
      <c r="C17" s="24" t="n">
        <f aca="false">'absensi setoran'!C17</f>
        <v>13</v>
      </c>
      <c r="D17" s="24"/>
      <c r="E17" s="24"/>
      <c r="F17" s="24" t="str">
        <f aca="false">B17</f>
        <v>IYAN FARID</v>
      </c>
      <c r="G17" s="24" t="s">
        <v>97</v>
      </c>
      <c r="H17" s="24"/>
      <c r="I17" s="24" t="str">
        <f aca="false">B17</f>
        <v>IYAN FARID</v>
      </c>
      <c r="J17" s="24" t="s">
        <v>78</v>
      </c>
      <c r="K17" s="24"/>
      <c r="L17" s="24" t="str">
        <f aca="false">B17</f>
        <v>IYAN FARID</v>
      </c>
      <c r="M17" s="24"/>
      <c r="N17" s="24"/>
      <c r="O17" s="24" t="str">
        <f aca="false">B17</f>
        <v>IYAN FARID</v>
      </c>
      <c r="P17" s="24"/>
      <c r="Q17" s="24"/>
      <c r="R17" s="24" t="str">
        <f aca="false">B17</f>
        <v>IYAN FARID</v>
      </c>
      <c r="S17" s="24"/>
      <c r="T17" s="24"/>
      <c r="U17" s="24" t="n">
        <f aca="false">COUNTIF(B17:T17,"H")</f>
        <v>1</v>
      </c>
      <c r="V17" s="24" t="n">
        <f aca="false">COUNTIF(B17:T17,"ST")</f>
        <v>0</v>
      </c>
      <c r="W17" s="24" t="n">
        <f aca="false">COUNTIF(B17:T17,"I")</f>
        <v>1</v>
      </c>
      <c r="X17" s="24" t="n">
        <f aca="false">COUNTIF(B17:T17,"S")</f>
        <v>0</v>
      </c>
      <c r="Y17" s="24" t="n">
        <f aca="false">COUNTIF(B17:T17,"A")</f>
        <v>0</v>
      </c>
      <c r="Z17" s="24" t="str">
        <f aca="false">B17</f>
        <v>IYAN FARID</v>
      </c>
    </row>
    <row r="18" customFormat="false" ht="15.75" hidden="false" customHeight="false" outlineLevel="0" collapsed="false">
      <c r="A18" s="24" t="n">
        <v>12</v>
      </c>
      <c r="B18" s="24" t="str">
        <f aca="false">'absensi setoran'!B18</f>
        <v>ZAENI NURIL HIKAM</v>
      </c>
      <c r="C18" s="24" t="n">
        <f aca="false">'absensi setoran'!C18</f>
        <v>12</v>
      </c>
      <c r="D18" s="24"/>
      <c r="E18" s="24"/>
      <c r="F18" s="24" t="str">
        <f aca="false">B18</f>
        <v>ZAENI NURIL HIKAM</v>
      </c>
      <c r="G18" s="24" t="s">
        <v>78</v>
      </c>
      <c r="H18" s="24"/>
      <c r="I18" s="24" t="str">
        <f aca="false">B18</f>
        <v>ZAENI NURIL HIKAM</v>
      </c>
      <c r="J18" s="24" t="s">
        <v>75</v>
      </c>
      <c r="K18" s="24"/>
      <c r="L18" s="24" t="str">
        <f aca="false">B18</f>
        <v>ZAENI NURIL HIKAM</v>
      </c>
      <c r="M18" s="24"/>
      <c r="N18" s="24"/>
      <c r="O18" s="24" t="str">
        <f aca="false">B18</f>
        <v>ZAENI NURIL HIKAM</v>
      </c>
      <c r="P18" s="24"/>
      <c r="Q18" s="24"/>
      <c r="R18" s="24" t="str">
        <f aca="false">B18</f>
        <v>ZAENI NURIL HIKAM</v>
      </c>
      <c r="S18" s="24"/>
      <c r="T18" s="24"/>
      <c r="U18" s="24" t="n">
        <f aca="false">COUNTIF(B18:T18,"H")</f>
        <v>1</v>
      </c>
      <c r="V18" s="24" t="n">
        <f aca="false">COUNTIF(B18:T18,"ST")</f>
        <v>0</v>
      </c>
      <c r="W18" s="24" t="n">
        <f aca="false">COUNTIF(B18:T18,"I")</f>
        <v>0</v>
      </c>
      <c r="X18" s="24" t="n">
        <f aca="false">COUNTIF(B18:T18,"S")</f>
        <v>0</v>
      </c>
      <c r="Y18" s="24" t="n">
        <f aca="false">COUNTIF(B18:T18,"A")</f>
        <v>1</v>
      </c>
      <c r="Z18" s="24" t="str">
        <f aca="false">B18</f>
        <v>ZAENI NURIL HIKAM</v>
      </c>
    </row>
    <row r="19" customFormat="false" ht="15.75" hidden="false" customHeight="false" outlineLevel="0" collapsed="false">
      <c r="A19" s="24" t="n">
        <v>13</v>
      </c>
      <c r="B19" s="24" t="str">
        <f aca="false">'absensi setoran'!B19</f>
        <v>LUCKY KURNIAWAN</v>
      </c>
      <c r="C19" s="24" t="n">
        <f aca="false">'absensi setoran'!C19</f>
        <v>12</v>
      </c>
      <c r="D19" s="24"/>
      <c r="E19" s="24"/>
      <c r="F19" s="24" t="str">
        <f aca="false">B19</f>
        <v>LUCKY KURNIAWAN</v>
      </c>
      <c r="G19" s="24" t="s">
        <v>78</v>
      </c>
      <c r="H19" s="24"/>
      <c r="I19" s="24" t="str">
        <f aca="false">B19</f>
        <v>LUCKY KURNIAWAN</v>
      </c>
      <c r="J19" s="24" t="s">
        <v>78</v>
      </c>
      <c r="K19" s="24"/>
      <c r="L19" s="24" t="str">
        <f aca="false">B19</f>
        <v>LUCKY KURNIAWAN</v>
      </c>
      <c r="M19" s="24"/>
      <c r="N19" s="24"/>
      <c r="O19" s="24" t="str">
        <f aca="false">B19</f>
        <v>LUCKY KURNIAWAN</v>
      </c>
      <c r="P19" s="24"/>
      <c r="Q19" s="24"/>
      <c r="R19" s="24" t="str">
        <f aca="false">B19</f>
        <v>LUCKY KURNIAWAN</v>
      </c>
      <c r="S19" s="24"/>
      <c r="T19" s="24"/>
      <c r="U19" s="24" t="n">
        <f aca="false">COUNTIF(B19:T19,"H")</f>
        <v>2</v>
      </c>
      <c r="V19" s="24" t="n">
        <f aca="false">COUNTIF(B19:T19,"ST")</f>
        <v>0</v>
      </c>
      <c r="W19" s="24" t="n">
        <f aca="false">COUNTIF(B19:T19,"I")</f>
        <v>0</v>
      </c>
      <c r="X19" s="24" t="n">
        <f aca="false">COUNTIF(B19:T19,"S")</f>
        <v>0</v>
      </c>
      <c r="Y19" s="24" t="n">
        <f aca="false">COUNTIF(B19:T19,"A")</f>
        <v>0</v>
      </c>
      <c r="Z19" s="24" t="str">
        <f aca="false">B19</f>
        <v>LUCKY KURNIAWAN</v>
      </c>
    </row>
    <row r="20" customFormat="false" ht="15.75" hidden="false" customHeight="false" outlineLevel="0" collapsed="false">
      <c r="A20" s="24" t="n">
        <v>14</v>
      </c>
      <c r="B20" s="24" t="str">
        <f aca="false">'absensi setoran'!B20</f>
        <v>MUHAMMAD RAFIK MUHARAM</v>
      </c>
      <c r="C20" s="24" t="n">
        <f aca="false">'absensi setoran'!C20</f>
        <v>12</v>
      </c>
      <c r="D20" s="24"/>
      <c r="E20" s="24"/>
      <c r="F20" s="24" t="str">
        <f aca="false">B20</f>
        <v>MUHAMMAD RAFIK MUHARAM</v>
      </c>
      <c r="G20" s="24" t="s">
        <v>75</v>
      </c>
      <c r="H20" s="24"/>
      <c r="I20" s="24" t="str">
        <f aca="false">B20</f>
        <v>MUHAMMAD RAFIK MUHARAM</v>
      </c>
      <c r="J20" s="24" t="s">
        <v>75</v>
      </c>
      <c r="K20" s="24"/>
      <c r="L20" s="24" t="str">
        <f aca="false">B20</f>
        <v>MUHAMMAD RAFIK MUHARAM</v>
      </c>
      <c r="M20" s="24"/>
      <c r="N20" s="24"/>
      <c r="O20" s="24" t="str">
        <f aca="false">B20</f>
        <v>MUHAMMAD RAFIK MUHARAM</v>
      </c>
      <c r="P20" s="24"/>
      <c r="Q20" s="24"/>
      <c r="R20" s="24" t="str">
        <f aca="false">B20</f>
        <v>MUHAMMAD RAFIK MUHARAM</v>
      </c>
      <c r="S20" s="24"/>
      <c r="T20" s="24"/>
      <c r="U20" s="24" t="n">
        <f aca="false">COUNTIF(B20:T20,"H")</f>
        <v>0</v>
      </c>
      <c r="V20" s="24" t="n">
        <f aca="false">COUNTIF(B20:T20,"ST")</f>
        <v>0</v>
      </c>
      <c r="W20" s="24" t="n">
        <f aca="false">COUNTIF(B20:T20,"I")</f>
        <v>0</v>
      </c>
      <c r="X20" s="24" t="n">
        <f aca="false">COUNTIF(B20:T20,"S")</f>
        <v>0</v>
      </c>
      <c r="Y20" s="24" t="n">
        <f aca="false">COUNTIF(B20:T20,"A")</f>
        <v>2</v>
      </c>
      <c r="Z20" s="24" t="str">
        <f aca="false">B20</f>
        <v>MUHAMMAD RAFIK MUHARAM</v>
      </c>
    </row>
    <row r="21" customFormat="false" ht="15.75" hidden="false" customHeight="false" outlineLevel="0" collapsed="false">
      <c r="A21" s="24" t="n">
        <v>15</v>
      </c>
      <c r="B21" s="24" t="str">
        <f aca="false">'absensi setoran'!B21</f>
        <v>UMAR ABDUL MALIK</v>
      </c>
      <c r="C21" s="24" t="n">
        <f aca="false">'absensi setoran'!C21</f>
        <v>11</v>
      </c>
      <c r="D21" s="24"/>
      <c r="E21" s="24"/>
      <c r="F21" s="24" t="str">
        <f aca="false">B21</f>
        <v>UMAR ABDUL MALIK</v>
      </c>
      <c r="G21" s="24" t="s">
        <v>75</v>
      </c>
      <c r="H21" s="24"/>
      <c r="I21" s="24" t="str">
        <f aca="false">B21</f>
        <v>UMAR ABDUL MALIK</v>
      </c>
      <c r="J21" s="24" t="s">
        <v>78</v>
      </c>
      <c r="K21" s="24"/>
      <c r="L21" s="24" t="str">
        <f aca="false">B21</f>
        <v>UMAR ABDUL MALIK</v>
      </c>
      <c r="M21" s="24"/>
      <c r="N21" s="24"/>
      <c r="O21" s="24" t="str">
        <f aca="false">B21</f>
        <v>UMAR ABDUL MALIK</v>
      </c>
      <c r="P21" s="24"/>
      <c r="Q21" s="24"/>
      <c r="R21" s="24" t="str">
        <f aca="false">B21</f>
        <v>UMAR ABDUL MALIK</v>
      </c>
      <c r="S21" s="24"/>
      <c r="T21" s="24"/>
      <c r="U21" s="24" t="n">
        <f aca="false">COUNTIF(B21:T21,"H")</f>
        <v>1</v>
      </c>
      <c r="V21" s="24" t="n">
        <f aca="false">COUNTIF(B21:T21,"ST")</f>
        <v>0</v>
      </c>
      <c r="W21" s="24" t="n">
        <f aca="false">COUNTIF(B21:T21,"I")</f>
        <v>0</v>
      </c>
      <c r="X21" s="24" t="n">
        <f aca="false">COUNTIF(B21:T21,"S")</f>
        <v>0</v>
      </c>
      <c r="Y21" s="24" t="n">
        <f aca="false">COUNTIF(B21:T21,"A")</f>
        <v>1</v>
      </c>
      <c r="Z21" s="24" t="str">
        <f aca="false">B21</f>
        <v>UMAR ABDUL MALIK</v>
      </c>
    </row>
    <row r="22" customFormat="false" ht="15.75" hidden="false" customHeight="false" outlineLevel="0" collapsed="false">
      <c r="A22" s="24" t="n">
        <v>16</v>
      </c>
      <c r="B22" s="24" t="str">
        <f aca="false">'absensi setoran'!B22</f>
        <v>AHMAD HAFIDZ ALHAWARI</v>
      </c>
      <c r="C22" s="24" t="n">
        <f aca="false">'absensi setoran'!C22</f>
        <v>10</v>
      </c>
      <c r="D22" s="24"/>
      <c r="E22" s="24"/>
      <c r="F22" s="24" t="str">
        <f aca="false">B22</f>
        <v>AHMAD HAFIDZ ALHAWARI</v>
      </c>
      <c r="G22" s="24" t="s">
        <v>78</v>
      </c>
      <c r="H22" s="24"/>
      <c r="I22" s="24" t="str">
        <f aca="false">B22</f>
        <v>AHMAD HAFIDZ ALHAWARI</v>
      </c>
      <c r="J22" s="24" t="s">
        <v>78</v>
      </c>
      <c r="K22" s="24"/>
      <c r="L22" s="24" t="str">
        <f aca="false">B22</f>
        <v>AHMAD HAFIDZ ALHAWARI</v>
      </c>
      <c r="M22" s="24"/>
      <c r="N22" s="24"/>
      <c r="O22" s="24" t="str">
        <f aca="false">B22</f>
        <v>AHMAD HAFIDZ ALHAWARI</v>
      </c>
      <c r="P22" s="24"/>
      <c r="Q22" s="24"/>
      <c r="R22" s="24" t="str">
        <f aca="false">B22</f>
        <v>AHMAD HAFIDZ ALHAWARI</v>
      </c>
      <c r="S22" s="24"/>
      <c r="T22" s="24"/>
      <c r="U22" s="24" t="n">
        <f aca="false">COUNTIF(B22:T22,"H")</f>
        <v>2</v>
      </c>
      <c r="V22" s="24" t="n">
        <f aca="false">COUNTIF(B22:T22,"ST")</f>
        <v>0</v>
      </c>
      <c r="W22" s="24" t="n">
        <f aca="false">COUNTIF(B22:T22,"I")</f>
        <v>0</v>
      </c>
      <c r="X22" s="24" t="n">
        <f aca="false">COUNTIF(B22:T22,"S")</f>
        <v>0</v>
      </c>
      <c r="Y22" s="24" t="n">
        <f aca="false">COUNTIF(B22:T22,"A")</f>
        <v>0</v>
      </c>
      <c r="Z22" s="24" t="str">
        <f aca="false">B22</f>
        <v>AHMAD HAFIDZ ALHAWARI</v>
      </c>
    </row>
    <row r="23" customFormat="false" ht="15.75" hidden="false" customHeight="false" outlineLevel="0" collapsed="false">
      <c r="A23" s="24" t="n">
        <v>17</v>
      </c>
      <c r="B23" s="24" t="str">
        <f aca="false">'absensi setoran'!B23</f>
        <v>MUHAMMAD FAUZAN</v>
      </c>
      <c r="C23" s="24" t="n">
        <f aca="false">'absensi setoran'!C23</f>
        <v>10</v>
      </c>
      <c r="D23" s="24"/>
      <c r="E23" s="24"/>
      <c r="F23" s="24" t="str">
        <f aca="false">B23</f>
        <v>MUHAMMAD FAUZAN</v>
      </c>
      <c r="G23" s="24" t="s">
        <v>78</v>
      </c>
      <c r="H23" s="24"/>
      <c r="I23" s="24" t="str">
        <f aca="false">B23</f>
        <v>MUHAMMAD FAUZAN</v>
      </c>
      <c r="J23" s="24" t="s">
        <v>78</v>
      </c>
      <c r="K23" s="24"/>
      <c r="L23" s="24" t="str">
        <f aca="false">B23</f>
        <v>MUHAMMAD FAUZAN</v>
      </c>
      <c r="M23" s="24"/>
      <c r="N23" s="24"/>
      <c r="O23" s="24" t="str">
        <f aca="false">B23</f>
        <v>MUHAMMAD FAUZAN</v>
      </c>
      <c r="P23" s="24"/>
      <c r="Q23" s="24"/>
      <c r="R23" s="24" t="str">
        <f aca="false">B23</f>
        <v>MUHAMMAD FAUZAN</v>
      </c>
      <c r="S23" s="24"/>
      <c r="T23" s="24"/>
      <c r="U23" s="24" t="n">
        <f aca="false">COUNTIF(B23:T23,"H")</f>
        <v>2</v>
      </c>
      <c r="V23" s="24" t="n">
        <f aca="false">COUNTIF(B23:T23,"ST")</f>
        <v>0</v>
      </c>
      <c r="W23" s="24" t="n">
        <f aca="false">COUNTIF(B23:T23,"I")</f>
        <v>0</v>
      </c>
      <c r="X23" s="24" t="n">
        <f aca="false">COUNTIF(B23:T23,"S")</f>
        <v>0</v>
      </c>
      <c r="Y23" s="24" t="n">
        <f aca="false">COUNTIF(B23:T23,"A")</f>
        <v>0</v>
      </c>
      <c r="Z23" s="24" t="str">
        <f aca="false">B23</f>
        <v>MUHAMMAD FAUZAN</v>
      </c>
    </row>
    <row r="24" customFormat="false" ht="15.75" hidden="false" customHeight="false" outlineLevel="0" collapsed="false">
      <c r="A24" s="24" t="n">
        <v>18</v>
      </c>
      <c r="B24" s="24" t="str">
        <f aca="false">'absensi setoran'!B24</f>
        <v>AKBAR RAMADAN</v>
      </c>
      <c r="C24" s="24" t="n">
        <f aca="false">'absensi setoran'!C24</f>
        <v>9</v>
      </c>
      <c r="D24" s="24"/>
      <c r="E24" s="24"/>
      <c r="F24" s="24" t="str">
        <f aca="false">B24</f>
        <v>AKBAR RAMADAN</v>
      </c>
      <c r="G24" s="24" t="s">
        <v>78</v>
      </c>
      <c r="H24" s="24"/>
      <c r="I24" s="24" t="str">
        <f aca="false">B24</f>
        <v>AKBAR RAMADAN</v>
      </c>
      <c r="J24" s="24" t="s">
        <v>78</v>
      </c>
      <c r="K24" s="24"/>
      <c r="L24" s="24" t="str">
        <f aca="false">B24</f>
        <v>AKBAR RAMADAN</v>
      </c>
      <c r="M24" s="24"/>
      <c r="N24" s="24"/>
      <c r="O24" s="24" t="str">
        <f aca="false">B24</f>
        <v>AKBAR RAMADAN</v>
      </c>
      <c r="P24" s="24"/>
      <c r="Q24" s="24"/>
      <c r="R24" s="24" t="str">
        <f aca="false">B24</f>
        <v>AKBAR RAMADAN</v>
      </c>
      <c r="S24" s="24"/>
      <c r="T24" s="24"/>
      <c r="U24" s="24" t="n">
        <f aca="false">COUNTIF(B24:T24,"H")</f>
        <v>2</v>
      </c>
      <c r="V24" s="24" t="n">
        <f aca="false">COUNTIF(B24:T24,"ST")</f>
        <v>0</v>
      </c>
      <c r="W24" s="24" t="n">
        <f aca="false">COUNTIF(B24:T24,"I")</f>
        <v>0</v>
      </c>
      <c r="X24" s="24" t="n">
        <f aca="false">COUNTIF(B24:T24,"S")</f>
        <v>0</v>
      </c>
      <c r="Y24" s="24" t="n">
        <f aca="false">COUNTIF(B24:T24,"A")</f>
        <v>0</v>
      </c>
      <c r="Z24" s="24" t="str">
        <f aca="false">B24</f>
        <v>AKBAR RAMADAN</v>
      </c>
    </row>
    <row r="25" customFormat="false" ht="15.75" hidden="false" customHeight="false" outlineLevel="0" collapsed="false">
      <c r="A25" s="24" t="n">
        <v>19</v>
      </c>
      <c r="B25" s="24" t="e">
        <f aca="false">'absensi setoran'!B25</f>
        <v>#REF!</v>
      </c>
      <c r="C25" s="24" t="e">
        <f aca="false">'absensi setoran'!C25</f>
        <v>#REF!</v>
      </c>
      <c r="D25" s="24"/>
      <c r="E25" s="24"/>
      <c r="F25" s="24" t="e">
        <f aca="false">B25</f>
        <v>#REF!</v>
      </c>
      <c r="G25" s="24"/>
      <c r="H25" s="24"/>
      <c r="I25" s="24" t="e">
        <f aca="false">B25</f>
        <v>#REF!</v>
      </c>
      <c r="J25" s="24" t="s">
        <v>78</v>
      </c>
      <c r="K25" s="24"/>
      <c r="L25" s="24" t="e">
        <f aca="false">B25</f>
        <v>#REF!</v>
      </c>
      <c r="M25" s="24"/>
      <c r="N25" s="24"/>
      <c r="O25" s="24" t="e">
        <f aca="false">B25</f>
        <v>#REF!</v>
      </c>
      <c r="P25" s="24"/>
      <c r="Q25" s="24"/>
      <c r="R25" s="24" t="e">
        <f aca="false">B25</f>
        <v>#REF!</v>
      </c>
      <c r="S25" s="24"/>
      <c r="T25" s="24"/>
      <c r="U25" s="24" t="n">
        <f aca="false">COUNTIF(B25:T25,"H")</f>
        <v>1</v>
      </c>
      <c r="V25" s="24" t="n">
        <f aca="false">COUNTIF(B25:T25,"ST")</f>
        <v>0</v>
      </c>
      <c r="W25" s="24" t="n">
        <f aca="false">COUNTIF(B25:T25,"I")</f>
        <v>0</v>
      </c>
      <c r="X25" s="24" t="n">
        <f aca="false">COUNTIF(B25:T25,"S")</f>
        <v>0</v>
      </c>
      <c r="Y25" s="24" t="n">
        <f aca="false">COUNTIF(B25:T25,"A")</f>
        <v>0</v>
      </c>
      <c r="Z25" s="24" t="e">
        <f aca="false">B25</f>
        <v>#REF!</v>
      </c>
    </row>
    <row r="26" customFormat="false" ht="15.75" hidden="false" customHeight="false" outlineLevel="0" collapsed="false">
      <c r="A26" s="24" t="n">
        <v>20</v>
      </c>
      <c r="B26" s="24" t="str">
        <f aca="false">'absensi setoran'!B26</f>
        <v>ABIDZAR ALGHIFARI</v>
      </c>
      <c r="C26" s="24" t="n">
        <f aca="false">'absensi setoran'!C26</f>
        <v>8</v>
      </c>
      <c r="D26" s="24"/>
      <c r="E26" s="24"/>
      <c r="F26" s="24" t="str">
        <f aca="false">B26</f>
        <v>ABIDZAR ALGHIFARI</v>
      </c>
      <c r="G26" s="24"/>
      <c r="H26" s="24"/>
      <c r="I26" s="24" t="str">
        <f aca="false">B26</f>
        <v>ABIDZAR ALGHIFARI</v>
      </c>
      <c r="J26" s="24" t="s">
        <v>298</v>
      </c>
      <c r="K26" s="24"/>
      <c r="L26" s="24" t="str">
        <f aca="false">B26</f>
        <v>ABIDZAR ALGHIFARI</v>
      </c>
      <c r="M26" s="24"/>
      <c r="N26" s="24"/>
      <c r="O26" s="24" t="str">
        <f aca="false">B26</f>
        <v>ABIDZAR ALGHIFARI</v>
      </c>
      <c r="P26" s="24"/>
      <c r="Q26" s="24"/>
      <c r="R26" s="24" t="str">
        <f aca="false">B26</f>
        <v>ABIDZAR ALGHIFARI</v>
      </c>
      <c r="S26" s="24"/>
      <c r="T26" s="24"/>
      <c r="U26" s="24" t="n">
        <f aca="false">COUNTIF(B26:T26,"H")</f>
        <v>0</v>
      </c>
      <c r="V26" s="24" t="n">
        <f aca="false">COUNTIF(B26:T26,"ST")</f>
        <v>1</v>
      </c>
      <c r="W26" s="24" t="n">
        <f aca="false">COUNTIF(B26:T26,"I")</f>
        <v>0</v>
      </c>
      <c r="X26" s="24" t="n">
        <f aca="false">COUNTIF(B26:T26,"S")</f>
        <v>0</v>
      </c>
      <c r="Y26" s="24" t="n">
        <f aca="false">COUNTIF(B26:T26,"A")</f>
        <v>0</v>
      </c>
      <c r="Z26" s="24" t="str">
        <f aca="false">B26</f>
        <v>ABIDZAR ALGHIFARI</v>
      </c>
    </row>
    <row r="27" customFormat="false" ht="15.75" hidden="false" customHeight="false" outlineLevel="0" collapsed="false">
      <c r="A27" s="24" t="n">
        <v>21</v>
      </c>
      <c r="B27" s="24" t="str">
        <f aca="false">'absensi setoran'!B27</f>
        <v>KAFY MUHAMMAD AZIZY</v>
      </c>
      <c r="C27" s="24" t="n">
        <f aca="false">'absensi setoran'!C27</f>
        <v>7</v>
      </c>
      <c r="D27" s="24"/>
      <c r="E27" s="24"/>
      <c r="F27" s="24" t="str">
        <f aca="false">B27</f>
        <v>KAFY MUHAMMAD AZIZY</v>
      </c>
      <c r="G27" s="24"/>
      <c r="H27" s="24"/>
      <c r="I27" s="24" t="str">
        <f aca="false">B27</f>
        <v>KAFY MUHAMMAD AZIZY</v>
      </c>
      <c r="J27" s="24" t="s">
        <v>78</v>
      </c>
      <c r="K27" s="24"/>
      <c r="L27" s="24" t="str">
        <f aca="false">B27</f>
        <v>KAFY MUHAMMAD AZIZY</v>
      </c>
      <c r="M27" s="24"/>
      <c r="N27" s="24"/>
      <c r="O27" s="24" t="str">
        <f aca="false">B27</f>
        <v>KAFY MUHAMMAD AZIZY</v>
      </c>
      <c r="P27" s="24"/>
      <c r="Q27" s="24"/>
      <c r="R27" s="24" t="str">
        <f aca="false">B27</f>
        <v>KAFY MUHAMMAD AZIZY</v>
      </c>
      <c r="S27" s="24"/>
      <c r="T27" s="24"/>
      <c r="U27" s="24" t="n">
        <f aca="false">COUNTIF(B27:T27,"H")</f>
        <v>1</v>
      </c>
      <c r="V27" s="24" t="n">
        <f aca="false">COUNTIF(B27:T27,"ST")</f>
        <v>0</v>
      </c>
      <c r="W27" s="24" t="n">
        <f aca="false">COUNTIF(B27:T27,"I")</f>
        <v>0</v>
      </c>
      <c r="X27" s="24" t="n">
        <f aca="false">COUNTIF(B27:T27,"S")</f>
        <v>0</v>
      </c>
      <c r="Y27" s="24" t="n">
        <f aca="false">COUNTIF(B27:T27,"A")</f>
        <v>0</v>
      </c>
      <c r="Z27" s="24" t="str">
        <f aca="false">B27</f>
        <v>KAFY MUHAMMAD AZIZY</v>
      </c>
    </row>
    <row r="28" customFormat="false" ht="15.75" hidden="false" customHeight="false" outlineLevel="0" collapsed="false">
      <c r="A28" s="24" t="n">
        <v>22</v>
      </c>
      <c r="B28" s="24" t="e">
        <f aca="false">'absensi setoran'!B28</f>
        <v>#REF!</v>
      </c>
      <c r="C28" s="24" t="e">
        <f aca="false">'absensi setoran'!C28</f>
        <v>#REF!</v>
      </c>
      <c r="D28" s="24"/>
      <c r="E28" s="24"/>
      <c r="F28" s="24" t="e">
        <f aca="false">B28</f>
        <v>#REF!</v>
      </c>
      <c r="G28" s="24"/>
      <c r="H28" s="24"/>
      <c r="I28" s="24" t="e">
        <f aca="false">B28</f>
        <v>#REF!</v>
      </c>
      <c r="J28" s="24" t="s">
        <v>78</v>
      </c>
      <c r="K28" s="24"/>
      <c r="L28" s="24" t="e">
        <f aca="false">B28</f>
        <v>#REF!</v>
      </c>
      <c r="M28" s="24"/>
      <c r="N28" s="24"/>
      <c r="O28" s="24" t="e">
        <f aca="false">B28</f>
        <v>#REF!</v>
      </c>
      <c r="P28" s="24"/>
      <c r="Q28" s="24"/>
      <c r="R28" s="24" t="e">
        <f aca="false">B28</f>
        <v>#REF!</v>
      </c>
      <c r="S28" s="24"/>
      <c r="T28" s="24"/>
      <c r="U28" s="24" t="n">
        <f aca="false">COUNTIF(B28:T28,"H")</f>
        <v>1</v>
      </c>
      <c r="V28" s="24" t="n">
        <f aca="false">COUNTIF(B28:T28,"ST")</f>
        <v>0</v>
      </c>
      <c r="W28" s="24" t="n">
        <f aca="false">COUNTIF(B28:T28,"I")</f>
        <v>0</v>
      </c>
      <c r="X28" s="24" t="n">
        <f aca="false">COUNTIF(B28:T28,"S")</f>
        <v>0</v>
      </c>
      <c r="Y28" s="24" t="n">
        <f aca="false">COUNTIF(B28:T28,"A")</f>
        <v>0</v>
      </c>
      <c r="Z28" s="24" t="e">
        <f aca="false">B28</f>
        <v>#REF!</v>
      </c>
    </row>
    <row r="29" customFormat="false" ht="15.75" hidden="false" customHeight="false" outlineLevel="0" collapsed="false">
      <c r="A29" s="24" t="n">
        <v>23</v>
      </c>
      <c r="B29" s="24" t="str">
        <f aca="false">'absensi setoran'!B29</f>
        <v>MUHAMMAD MUNAWWAR KHOLIL</v>
      </c>
      <c r="C29" s="24" t="n">
        <f aca="false">'absensi setoran'!C29</f>
        <v>4</v>
      </c>
      <c r="D29" s="24"/>
      <c r="E29" s="24"/>
      <c r="F29" s="24" t="str">
        <f aca="false">B29</f>
        <v>MUHAMMAD MUNAWWAR KHOLIL</v>
      </c>
      <c r="G29" s="24"/>
      <c r="H29" s="24"/>
      <c r="I29" s="24" t="str">
        <f aca="false">B29</f>
        <v>MUHAMMAD MUNAWWAR KHOLIL</v>
      </c>
      <c r="J29" s="24" t="s">
        <v>78</v>
      </c>
      <c r="K29" s="24"/>
      <c r="L29" s="24" t="str">
        <f aca="false">B29</f>
        <v>MUHAMMAD MUNAWWAR KHOLIL</v>
      </c>
      <c r="M29" s="24"/>
      <c r="N29" s="24"/>
      <c r="O29" s="24" t="str">
        <f aca="false">B29</f>
        <v>MUHAMMAD MUNAWWAR KHOLIL</v>
      </c>
      <c r="P29" s="24"/>
      <c r="Q29" s="24"/>
      <c r="R29" s="24" t="str">
        <f aca="false">B29</f>
        <v>MUHAMMAD MUNAWWAR KHOLIL</v>
      </c>
      <c r="S29" s="24"/>
      <c r="T29" s="24"/>
      <c r="U29" s="24" t="n">
        <f aca="false">COUNTIF(B29:T29,"H")</f>
        <v>1</v>
      </c>
      <c r="V29" s="24" t="n">
        <f aca="false">COUNTIF(B29:T29,"ST")</f>
        <v>0</v>
      </c>
      <c r="W29" s="24" t="n">
        <f aca="false">COUNTIF(B29:T29,"I")</f>
        <v>0</v>
      </c>
      <c r="X29" s="24" t="n">
        <f aca="false">COUNTIF(B29:T29,"S")</f>
        <v>0</v>
      </c>
      <c r="Y29" s="24" t="n">
        <f aca="false">COUNTIF(B29:T29,"A")</f>
        <v>0</v>
      </c>
      <c r="Z29" s="24" t="str">
        <f aca="false">B29</f>
        <v>MUHAMMAD MUNAWWAR KHOLIL</v>
      </c>
    </row>
    <row r="30" customFormat="false" ht="15.75" hidden="false" customHeight="false" outlineLevel="0" collapsed="false">
      <c r="A30" s="24" t="n">
        <v>24</v>
      </c>
      <c r="B30" s="24" t="str">
        <f aca="false">'absensi setoran'!B30</f>
        <v>ALWI</v>
      </c>
      <c r="C30" s="24" t="n">
        <f aca="false">'absensi setoran'!C30</f>
        <v>3</v>
      </c>
      <c r="D30" s="24"/>
      <c r="E30" s="24"/>
      <c r="F30" s="24" t="str">
        <f aca="false">B30</f>
        <v>ALWI</v>
      </c>
      <c r="G30" s="24"/>
      <c r="H30" s="24"/>
      <c r="I30" s="24" t="str">
        <f aca="false">B30</f>
        <v>ALWI</v>
      </c>
      <c r="J30" s="24"/>
      <c r="K30" s="24"/>
      <c r="L30" s="24" t="str">
        <f aca="false">B30</f>
        <v>ALWI</v>
      </c>
      <c r="M30" s="24"/>
      <c r="N30" s="24"/>
      <c r="O30" s="24" t="str">
        <f aca="false">B30</f>
        <v>ALWI</v>
      </c>
      <c r="P30" s="24"/>
      <c r="Q30" s="24"/>
      <c r="R30" s="24" t="str">
        <f aca="false">B30</f>
        <v>ALWI</v>
      </c>
      <c r="S30" s="24"/>
      <c r="T30" s="24"/>
      <c r="U30" s="24" t="n">
        <f aca="false">COUNTIF(B30:T30,"H")</f>
        <v>0</v>
      </c>
      <c r="V30" s="24" t="n">
        <f aca="false">COUNTIF(B30:T30,"ST")</f>
        <v>0</v>
      </c>
      <c r="W30" s="24" t="n">
        <f aca="false">COUNTIF(B30:T30,"I")</f>
        <v>0</v>
      </c>
      <c r="X30" s="24" t="n">
        <f aca="false">COUNTIF(B30:T30,"S")</f>
        <v>0</v>
      </c>
      <c r="Y30" s="24" t="n">
        <f aca="false">COUNTIF(B30:T30,"A")</f>
        <v>0</v>
      </c>
      <c r="Z30" s="24" t="str">
        <f aca="false">B30</f>
        <v>ALWI</v>
      </c>
    </row>
    <row r="31" customFormat="false" ht="15.75" hidden="false" customHeight="false" outlineLevel="0" collapsed="false">
      <c r="A31" s="24" t="n">
        <v>25</v>
      </c>
      <c r="B31" s="24" t="str">
        <f aca="false">'absensi setoran'!B31</f>
        <v>PIRMAN</v>
      </c>
      <c r="C31" s="24" t="n">
        <f aca="false">'absensi setoran'!C31</f>
        <v>1</v>
      </c>
      <c r="D31" s="24"/>
      <c r="E31" s="24"/>
      <c r="F31" s="24" t="str">
        <f aca="false">B31</f>
        <v>PIRMAN</v>
      </c>
      <c r="G31" s="24"/>
      <c r="H31" s="24"/>
      <c r="I31" s="24" t="str">
        <f aca="false">B31</f>
        <v>PIRMAN</v>
      </c>
      <c r="J31" s="24"/>
      <c r="K31" s="24"/>
      <c r="L31" s="24" t="str">
        <f aca="false">B31</f>
        <v>PIRMAN</v>
      </c>
      <c r="M31" s="24"/>
      <c r="N31" s="24"/>
      <c r="O31" s="24" t="str">
        <f aca="false">B31</f>
        <v>PIRMAN</v>
      </c>
      <c r="P31" s="24"/>
      <c r="Q31" s="24"/>
      <c r="R31" s="24" t="str">
        <f aca="false">B31</f>
        <v>PIRMAN</v>
      </c>
      <c r="S31" s="24"/>
      <c r="T31" s="24"/>
      <c r="U31" s="24" t="n">
        <f aca="false">COUNTIF(B31:T31,"H")</f>
        <v>0</v>
      </c>
      <c r="V31" s="24" t="n">
        <f aca="false">COUNTIF(B31:T31,"ST")</f>
        <v>0</v>
      </c>
      <c r="W31" s="24" t="n">
        <f aca="false">COUNTIF(B31:T31,"I")</f>
        <v>0</v>
      </c>
      <c r="X31" s="24" t="n">
        <f aca="false">COUNTIF(B31:T31,"S")</f>
        <v>0</v>
      </c>
      <c r="Y31" s="24" t="n">
        <f aca="false">COUNTIF(B31:T31,"A")</f>
        <v>0</v>
      </c>
      <c r="Z31" s="24" t="str">
        <f aca="false">B31</f>
        <v>PIRMAN</v>
      </c>
    </row>
    <row r="32" customFormat="false" ht="15.75" hidden="false" customHeight="false" outlineLevel="0" collapsed="false">
      <c r="A32" s="24" t="n">
        <v>26</v>
      </c>
      <c r="B32" s="24" t="str">
        <f aca="false">'absensi setoran'!B32</f>
        <v>MUHAMMAD DENMAR NABAWI</v>
      </c>
      <c r="C32" s="24" t="n">
        <f aca="false">'absensi setoran'!C32</f>
        <v>1</v>
      </c>
      <c r="D32" s="24"/>
      <c r="E32" s="24"/>
      <c r="F32" s="24" t="str">
        <f aca="false">B32</f>
        <v>MUHAMMAD DENMAR NABAWI</v>
      </c>
      <c r="G32" s="24"/>
      <c r="H32" s="24"/>
      <c r="I32" s="24" t="str">
        <f aca="false">B32</f>
        <v>MUHAMMAD DENMAR NABAWI</v>
      </c>
      <c r="J32" s="24"/>
      <c r="K32" s="24"/>
      <c r="L32" s="24" t="str">
        <f aca="false">B32</f>
        <v>MUHAMMAD DENMAR NABAWI</v>
      </c>
      <c r="M32" s="24"/>
      <c r="N32" s="24"/>
      <c r="O32" s="24" t="str">
        <f aca="false">B32</f>
        <v>MUHAMMAD DENMAR NABAWI</v>
      </c>
      <c r="P32" s="24"/>
      <c r="Q32" s="24"/>
      <c r="R32" s="24" t="str">
        <f aca="false">B32</f>
        <v>MUHAMMAD DENMAR NABAWI</v>
      </c>
      <c r="S32" s="24"/>
      <c r="T32" s="24"/>
      <c r="U32" s="24" t="n">
        <f aca="false">COUNTIF(B32:T32,"H")</f>
        <v>0</v>
      </c>
      <c r="V32" s="24" t="n">
        <f aca="false">COUNTIF(B32:T32,"ST")</f>
        <v>0</v>
      </c>
      <c r="W32" s="24" t="n">
        <f aca="false">COUNTIF(B32:T32,"I")</f>
        <v>0</v>
      </c>
      <c r="X32" s="24" t="n">
        <f aca="false">COUNTIF(B32:T32,"S")</f>
        <v>0</v>
      </c>
      <c r="Y32" s="24" t="n">
        <f aca="false">COUNTIF(B32:T32,"A")</f>
        <v>0</v>
      </c>
      <c r="Z32" s="24" t="str">
        <f aca="false">B32</f>
        <v>MUHAMMAD DENMAR NABAWI</v>
      </c>
    </row>
    <row r="33" customFormat="false" ht="15.75" hidden="false" customHeight="false" outlineLevel="0" collapsed="false">
      <c r="A33" s="24" t="n">
        <v>27</v>
      </c>
      <c r="B33" s="24" t="e">
        <f aca="false">'absensi setoran'!B33</f>
        <v>#REF!</v>
      </c>
      <c r="C33" s="24" t="e">
        <f aca="false">'absensi setoran'!C33</f>
        <v>#REF!</v>
      </c>
      <c r="D33" s="24"/>
      <c r="E33" s="24"/>
      <c r="F33" s="24" t="e">
        <f aca="false">B33</f>
        <v>#REF!</v>
      </c>
      <c r="G33" s="24"/>
      <c r="H33" s="24"/>
      <c r="I33" s="24" t="e">
        <f aca="false">B33</f>
        <v>#REF!</v>
      </c>
      <c r="J33" s="24"/>
      <c r="K33" s="24"/>
      <c r="L33" s="24" t="e">
        <f aca="false">B33</f>
        <v>#REF!</v>
      </c>
      <c r="M33" s="24"/>
      <c r="N33" s="24"/>
      <c r="O33" s="24" t="e">
        <f aca="false">B33</f>
        <v>#REF!</v>
      </c>
      <c r="P33" s="24"/>
      <c r="Q33" s="24"/>
      <c r="R33" s="24" t="e">
        <f aca="false">B33</f>
        <v>#REF!</v>
      </c>
      <c r="S33" s="24"/>
      <c r="T33" s="24"/>
      <c r="U33" s="24" t="n">
        <f aca="false">COUNTIF(B33:T33,"H")</f>
        <v>0</v>
      </c>
      <c r="V33" s="24" t="n">
        <f aca="false">COUNTIF(B33:T33,"ST")</f>
        <v>0</v>
      </c>
      <c r="W33" s="24" t="n">
        <f aca="false">COUNTIF(B33:T33,"I")</f>
        <v>0</v>
      </c>
      <c r="X33" s="24" t="n">
        <f aca="false">COUNTIF(B33:T33,"S")</f>
        <v>0</v>
      </c>
      <c r="Y33" s="24" t="n">
        <f aca="false">COUNTIF(B33:T33,"A")</f>
        <v>0</v>
      </c>
      <c r="Z33" s="24" t="e">
        <f aca="false">B33</f>
        <v>#REF!</v>
      </c>
    </row>
    <row r="34" customFormat="false" ht="15.75" hidden="false" customHeight="false" outlineLevel="0" collapsed="false">
      <c r="A34" s="24" t="n">
        <v>28</v>
      </c>
      <c r="B34" s="24" t="e">
        <f aca="false">'absensi setoran'!B34</f>
        <v>#REF!</v>
      </c>
      <c r="C34" s="24" t="e">
        <f aca="false">'absensi setoran'!C34</f>
        <v>#REF!</v>
      </c>
      <c r="D34" s="24"/>
      <c r="E34" s="24"/>
      <c r="F34" s="24" t="e">
        <f aca="false">B34</f>
        <v>#REF!</v>
      </c>
      <c r="G34" s="24"/>
      <c r="H34" s="24"/>
      <c r="I34" s="24" t="e">
        <f aca="false">B34</f>
        <v>#REF!</v>
      </c>
      <c r="J34" s="24"/>
      <c r="K34" s="24"/>
      <c r="L34" s="24" t="e">
        <f aca="false">B34</f>
        <v>#REF!</v>
      </c>
      <c r="M34" s="24"/>
      <c r="N34" s="24"/>
      <c r="O34" s="24" t="e">
        <f aca="false">B34</f>
        <v>#REF!</v>
      </c>
      <c r="P34" s="24"/>
      <c r="Q34" s="24"/>
      <c r="R34" s="24" t="e">
        <f aca="false">B34</f>
        <v>#REF!</v>
      </c>
      <c r="S34" s="24"/>
      <c r="T34" s="24"/>
      <c r="U34" s="24" t="n">
        <f aca="false">COUNTIF(B34:T34,"H")</f>
        <v>0</v>
      </c>
      <c r="V34" s="24" t="n">
        <f aca="false">COUNTIF(B34:T34,"ST")</f>
        <v>0</v>
      </c>
      <c r="W34" s="24" t="n">
        <f aca="false">COUNTIF(B34:T34,"I")</f>
        <v>0</v>
      </c>
      <c r="X34" s="24" t="n">
        <f aca="false">COUNTIF(B34:T34,"S")</f>
        <v>0</v>
      </c>
      <c r="Y34" s="24" t="n">
        <f aca="false">COUNTIF(B34:T34,"A")</f>
        <v>0</v>
      </c>
      <c r="Z34" s="24" t="e">
        <f aca="false">B34</f>
        <v>#REF!</v>
      </c>
    </row>
    <row r="35" customFormat="false" ht="15.75" hidden="false" customHeight="false" outlineLevel="0" collapsed="false">
      <c r="A35" s="19" t="s">
        <v>57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15.75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15.75" hidden="false" customHeight="tru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5.75" hidden="false" customHeight="false" outlineLevel="0" collapsed="false">
      <c r="A38" s="20" t="s">
        <v>297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customFormat="false" ht="15.75" hidden="false" customHeight="false" outlineLevel="0" collapsed="false">
      <c r="A39" s="21" t="s">
        <v>1</v>
      </c>
      <c r="B39" s="21" t="s">
        <v>2</v>
      </c>
      <c r="C39" s="22"/>
      <c r="D39" s="21" t="s">
        <v>83</v>
      </c>
      <c r="E39" s="21"/>
      <c r="F39" s="21" t="s">
        <v>2</v>
      </c>
      <c r="G39" s="21" t="s">
        <v>84</v>
      </c>
      <c r="H39" s="21"/>
      <c r="I39" s="21" t="s">
        <v>2</v>
      </c>
      <c r="J39" s="21" t="s">
        <v>85</v>
      </c>
      <c r="K39" s="21"/>
      <c r="L39" s="21" t="s">
        <v>2</v>
      </c>
      <c r="M39" s="21" t="s">
        <v>86</v>
      </c>
      <c r="N39" s="21"/>
      <c r="O39" s="21" t="s">
        <v>2</v>
      </c>
      <c r="P39" s="21" t="s">
        <v>87</v>
      </c>
      <c r="Q39" s="21"/>
      <c r="R39" s="21" t="s">
        <v>2</v>
      </c>
      <c r="S39" s="21" t="s">
        <v>88</v>
      </c>
      <c r="T39" s="21"/>
      <c r="U39" s="39" t="s">
        <v>49</v>
      </c>
      <c r="V39" s="39"/>
      <c r="W39" s="39"/>
      <c r="X39" s="39"/>
      <c r="Y39" s="39"/>
      <c r="Z39" s="39"/>
    </row>
    <row r="40" customFormat="false" ht="15.75" hidden="false" customHeight="false" outlineLevel="0" collapsed="false">
      <c r="A40" s="21"/>
      <c r="B40" s="21"/>
      <c r="C40" s="22" t="s">
        <v>50</v>
      </c>
      <c r="D40" s="40" t="s">
        <v>296</v>
      </c>
      <c r="E40" s="40" t="s">
        <v>303</v>
      </c>
      <c r="F40" s="21"/>
      <c r="G40" s="40" t="s">
        <v>296</v>
      </c>
      <c r="H40" s="40" t="s">
        <v>303</v>
      </c>
      <c r="I40" s="21"/>
      <c r="J40" s="40" t="s">
        <v>296</v>
      </c>
      <c r="K40" s="40" t="s">
        <v>303</v>
      </c>
      <c r="L40" s="21"/>
      <c r="M40" s="40" t="s">
        <v>296</v>
      </c>
      <c r="N40" s="40" t="s">
        <v>303</v>
      </c>
      <c r="O40" s="21"/>
      <c r="P40" s="40" t="s">
        <v>296</v>
      </c>
      <c r="Q40" s="40" t="s">
        <v>303</v>
      </c>
      <c r="R40" s="21"/>
      <c r="S40" s="40" t="s">
        <v>296</v>
      </c>
      <c r="T40" s="40" t="s">
        <v>303</v>
      </c>
      <c r="U40" s="24" t="s">
        <v>51</v>
      </c>
      <c r="V40" s="24" t="s">
        <v>52</v>
      </c>
      <c r="W40" s="24" t="s">
        <v>53</v>
      </c>
      <c r="X40" s="24" t="s">
        <v>54</v>
      </c>
      <c r="Y40" s="24" t="s">
        <v>55</v>
      </c>
      <c r="Z40" s="24"/>
    </row>
    <row r="41" customFormat="false" ht="15.75" hidden="false" customHeight="false" outlineLevel="0" collapsed="false">
      <c r="A41" s="24" t="n">
        <v>1</v>
      </c>
      <c r="B41" s="24" t="str">
        <f aca="false">'absensi setoran'!B41</f>
        <v>AYI KOSIM HATIMI</v>
      </c>
      <c r="C41" s="24" t="n">
        <f aca="false">'absensi setoran'!C41</f>
        <v>30</v>
      </c>
      <c r="D41" s="24" t="s">
        <v>97</v>
      </c>
      <c r="E41" s="24" t="s">
        <v>78</v>
      </c>
      <c r="F41" s="24" t="str">
        <f aca="false">B41</f>
        <v>AYI KOSIM HATIMI</v>
      </c>
      <c r="G41" s="24"/>
      <c r="H41" s="24" t="s">
        <v>78</v>
      </c>
      <c r="I41" s="24" t="str">
        <f aca="false">B41</f>
        <v>AYI KOSIM HATIMI</v>
      </c>
      <c r="J41" s="24"/>
      <c r="K41" s="24"/>
      <c r="L41" s="24" t="str">
        <f aca="false">B41</f>
        <v>AYI KOSIM HATIMI</v>
      </c>
      <c r="M41" s="24"/>
      <c r="N41" s="24"/>
      <c r="O41" s="24" t="str">
        <f aca="false">B41</f>
        <v>AYI KOSIM HATIMI</v>
      </c>
      <c r="P41" s="24"/>
      <c r="Q41" s="24"/>
      <c r="R41" s="24" t="str">
        <f aca="false">B41</f>
        <v>AYI KOSIM HATIMI</v>
      </c>
      <c r="S41" s="24"/>
      <c r="T41" s="24"/>
      <c r="U41" s="24" t="n">
        <f aca="false">COUNTIF(B41:T41,"H")</f>
        <v>2</v>
      </c>
      <c r="V41" s="24" t="n">
        <f aca="false">COUNTIF(B41:T41,"ST")</f>
        <v>0</v>
      </c>
      <c r="W41" s="24" t="n">
        <f aca="false">COUNTIF(B41:T41,"I")</f>
        <v>1</v>
      </c>
      <c r="X41" s="24" t="n">
        <f aca="false">COUNTIF(B41:T41,"S")</f>
        <v>0</v>
      </c>
      <c r="Y41" s="24" t="n">
        <f aca="false">COUNTIF(B41:T41,"A")</f>
        <v>0</v>
      </c>
      <c r="Z41" s="24" t="str">
        <f aca="false">B41</f>
        <v>AYI KOSIM HATIMI</v>
      </c>
    </row>
    <row r="42" customFormat="false" ht="15.75" hidden="false" customHeight="false" outlineLevel="0" collapsed="false">
      <c r="A42" s="24" t="n">
        <v>2</v>
      </c>
      <c r="B42" s="24" t="str">
        <f aca="false">'absensi setoran'!B42</f>
        <v>ABRURRAHMAN AFANDI</v>
      </c>
      <c r="C42" s="24" t="n">
        <f aca="false">'absensi setoran'!C42</f>
        <v>30</v>
      </c>
      <c r="D42" s="24" t="s">
        <v>298</v>
      </c>
      <c r="E42" s="24" t="s">
        <v>298</v>
      </c>
      <c r="F42" s="24" t="str">
        <f aca="false">B42</f>
        <v>ABRURRAHMAN AFANDI</v>
      </c>
      <c r="G42" s="24"/>
      <c r="H42" s="24" t="s">
        <v>298</v>
      </c>
      <c r="I42" s="24" t="str">
        <f aca="false">B42</f>
        <v>ABRURRAHMAN AFANDI</v>
      </c>
      <c r="J42" s="24"/>
      <c r="K42" s="24"/>
      <c r="L42" s="24" t="str">
        <f aca="false">B42</f>
        <v>ABRURRAHMAN AFANDI</v>
      </c>
      <c r="M42" s="24"/>
      <c r="N42" s="24"/>
      <c r="O42" s="24" t="str">
        <f aca="false">B42</f>
        <v>ABRURRAHMAN AFANDI</v>
      </c>
      <c r="P42" s="24"/>
      <c r="Q42" s="24"/>
      <c r="R42" s="24" t="str">
        <f aca="false">B42</f>
        <v>ABRURRAHMAN AFANDI</v>
      </c>
      <c r="S42" s="24"/>
      <c r="T42" s="24"/>
      <c r="U42" s="24" t="n">
        <f aca="false">COUNTIF(B42:T42,"H")</f>
        <v>0</v>
      </c>
      <c r="V42" s="24" t="n">
        <f aca="false">COUNTIF(B42:T42,"ST")</f>
        <v>3</v>
      </c>
      <c r="W42" s="24" t="n">
        <f aca="false">COUNTIF(B42:T42,"I")</f>
        <v>0</v>
      </c>
      <c r="X42" s="24" t="n">
        <f aca="false">COUNTIF(B42:T42,"S")</f>
        <v>0</v>
      </c>
      <c r="Y42" s="24" t="n">
        <f aca="false">COUNTIF(B42:T42,"A")</f>
        <v>0</v>
      </c>
      <c r="Z42" s="24" t="str">
        <f aca="false">B42</f>
        <v>ABRURRAHMAN AFANDI</v>
      </c>
    </row>
    <row r="43" customFormat="false" ht="15.75" hidden="false" customHeight="false" outlineLevel="0" collapsed="false">
      <c r="A43" s="24" t="n">
        <v>3</v>
      </c>
      <c r="B43" s="24" t="str">
        <f aca="false">'absensi setoran'!B43</f>
        <v>CECEP ABDULATIF</v>
      </c>
      <c r="C43" s="24" t="n">
        <f aca="false">'absensi setoran'!C43</f>
        <v>30</v>
      </c>
      <c r="D43" s="24" t="s">
        <v>78</v>
      </c>
      <c r="E43" s="24" t="s">
        <v>78</v>
      </c>
      <c r="F43" s="24" t="str">
        <f aca="false">B43</f>
        <v>CECEP ABDULATIF</v>
      </c>
      <c r="G43" s="24"/>
      <c r="H43" s="24" t="s">
        <v>78</v>
      </c>
      <c r="I43" s="24" t="str">
        <f aca="false">B43</f>
        <v>CECEP ABDULATIF</v>
      </c>
      <c r="J43" s="24"/>
      <c r="K43" s="24"/>
      <c r="L43" s="24" t="str">
        <f aca="false">B43</f>
        <v>CECEP ABDULATIF</v>
      </c>
      <c r="M43" s="24"/>
      <c r="N43" s="24"/>
      <c r="O43" s="24" t="str">
        <f aca="false">B43</f>
        <v>CECEP ABDULATIF</v>
      </c>
      <c r="P43" s="24"/>
      <c r="Q43" s="24"/>
      <c r="R43" s="24" t="str">
        <f aca="false">B43</f>
        <v>CECEP ABDULATIF</v>
      </c>
      <c r="S43" s="24"/>
      <c r="T43" s="24"/>
      <c r="U43" s="24" t="n">
        <f aca="false">COUNTIF(B43:T43,"H")</f>
        <v>3</v>
      </c>
      <c r="V43" s="24" t="n">
        <f aca="false">COUNTIF(B43:T43,"ST")</f>
        <v>0</v>
      </c>
      <c r="W43" s="24" t="n">
        <f aca="false">COUNTIF(B43:T43,"I")</f>
        <v>0</v>
      </c>
      <c r="X43" s="24" t="n">
        <f aca="false">COUNTIF(B43:T43,"S")</f>
        <v>0</v>
      </c>
      <c r="Y43" s="24" t="n">
        <f aca="false">COUNTIF(B43:T43,"A")</f>
        <v>0</v>
      </c>
      <c r="Z43" s="24" t="str">
        <f aca="false">B43</f>
        <v>CECEP ABDULATIF</v>
      </c>
    </row>
    <row r="44" customFormat="false" ht="15.75" hidden="false" customHeight="false" outlineLevel="0" collapsed="false">
      <c r="A44" s="24" t="n">
        <v>4</v>
      </c>
      <c r="B44" s="24" t="str">
        <f aca="false">'absensi setoran'!B44</f>
        <v>DONI SUPRIATNA</v>
      </c>
      <c r="C44" s="24" t="n">
        <f aca="false">'absensi setoran'!C44</f>
        <v>30</v>
      </c>
      <c r="D44" s="24" t="s">
        <v>78</v>
      </c>
      <c r="E44" s="24" t="s">
        <v>75</v>
      </c>
      <c r="F44" s="24" t="str">
        <f aca="false">B44</f>
        <v>DONI SUPRIATNA</v>
      </c>
      <c r="G44" s="24"/>
      <c r="H44" s="24" t="s">
        <v>78</v>
      </c>
      <c r="I44" s="24" t="str">
        <f aca="false">B44</f>
        <v>DONI SUPRIATNA</v>
      </c>
      <c r="J44" s="24"/>
      <c r="K44" s="24"/>
      <c r="L44" s="24" t="str">
        <f aca="false">B44</f>
        <v>DONI SUPRIATNA</v>
      </c>
      <c r="M44" s="24"/>
      <c r="N44" s="24"/>
      <c r="O44" s="24" t="str">
        <f aca="false">B44</f>
        <v>DONI SUPRIATNA</v>
      </c>
      <c r="P44" s="24"/>
      <c r="Q44" s="24"/>
      <c r="R44" s="24" t="str">
        <f aca="false">B44</f>
        <v>DONI SUPRIATNA</v>
      </c>
      <c r="S44" s="24"/>
      <c r="T44" s="24"/>
      <c r="U44" s="24" t="n">
        <f aca="false">COUNTIF(B44:T44,"H")</f>
        <v>2</v>
      </c>
      <c r="V44" s="24" t="n">
        <f aca="false">COUNTIF(B44:T44,"ST")</f>
        <v>0</v>
      </c>
      <c r="W44" s="24" t="n">
        <f aca="false">COUNTIF(B44:T44,"I")</f>
        <v>0</v>
      </c>
      <c r="X44" s="24" t="n">
        <f aca="false">COUNTIF(B44:T44,"S")</f>
        <v>0</v>
      </c>
      <c r="Y44" s="24" t="n">
        <f aca="false">COUNTIF(B44:T44,"A")</f>
        <v>1</v>
      </c>
      <c r="Z44" s="24" t="str">
        <f aca="false">B44</f>
        <v>DONI SUPRIATNA</v>
      </c>
    </row>
    <row r="45" customFormat="false" ht="15.75" hidden="false" customHeight="false" outlineLevel="0" collapsed="false">
      <c r="A45" s="24" t="n">
        <v>5</v>
      </c>
      <c r="B45" s="24" t="e">
        <f aca="false">'absensi setoran'!B45</f>
        <v>#REF!</v>
      </c>
      <c r="C45" s="24" t="e">
        <f aca="false">'absensi setoran'!C45</f>
        <v>#REF!</v>
      </c>
      <c r="D45" s="24" t="s">
        <v>78</v>
      </c>
      <c r="E45" s="24" t="s">
        <v>75</v>
      </c>
      <c r="F45" s="24" t="e">
        <f aca="false">B45</f>
        <v>#REF!</v>
      </c>
      <c r="G45" s="24"/>
      <c r="H45" s="24" t="s">
        <v>78</v>
      </c>
      <c r="I45" s="24" t="e">
        <f aca="false">B45</f>
        <v>#REF!</v>
      </c>
      <c r="J45" s="24"/>
      <c r="K45" s="24"/>
      <c r="L45" s="24" t="e">
        <f aca="false">B45</f>
        <v>#REF!</v>
      </c>
      <c r="M45" s="24"/>
      <c r="N45" s="24"/>
      <c r="O45" s="24" t="e">
        <f aca="false">B45</f>
        <v>#REF!</v>
      </c>
      <c r="P45" s="24"/>
      <c r="Q45" s="24"/>
      <c r="R45" s="24" t="e">
        <f aca="false">B45</f>
        <v>#REF!</v>
      </c>
      <c r="S45" s="24"/>
      <c r="T45" s="24"/>
      <c r="U45" s="24" t="n">
        <f aca="false">COUNTIF(B45:T45,"H")</f>
        <v>2</v>
      </c>
      <c r="V45" s="24" t="n">
        <f aca="false">COUNTIF(B45:T45,"ST")</f>
        <v>0</v>
      </c>
      <c r="W45" s="24" t="n">
        <f aca="false">COUNTIF(B45:T45,"I")</f>
        <v>0</v>
      </c>
      <c r="X45" s="24" t="n">
        <f aca="false">COUNTIF(B45:T45,"S")</f>
        <v>0</v>
      </c>
      <c r="Y45" s="24" t="n">
        <f aca="false">COUNTIF(B45:T45,"A")</f>
        <v>1</v>
      </c>
      <c r="Z45" s="24" t="e">
        <f aca="false">B45</f>
        <v>#REF!</v>
      </c>
    </row>
    <row r="46" customFormat="false" ht="15.75" hidden="false" customHeight="false" outlineLevel="0" collapsed="false">
      <c r="A46" s="24" t="n">
        <v>6</v>
      </c>
      <c r="B46" s="24" t="str">
        <f aca="false">'absensi setoran'!B46</f>
        <v>ZAKY AZHARI</v>
      </c>
      <c r="C46" s="24" t="n">
        <f aca="false">'absensi setoran'!C46</f>
        <v>30</v>
      </c>
      <c r="D46" s="24" t="s">
        <v>78</v>
      </c>
      <c r="E46" s="24" t="s">
        <v>75</v>
      </c>
      <c r="F46" s="24" t="str">
        <f aca="false">B46</f>
        <v>ZAKY AZHARI</v>
      </c>
      <c r="G46" s="24"/>
      <c r="H46" s="24" t="s">
        <v>97</v>
      </c>
      <c r="I46" s="24" t="str">
        <f aca="false">B46</f>
        <v>ZAKY AZHARI</v>
      </c>
      <c r="J46" s="24"/>
      <c r="K46" s="24"/>
      <c r="L46" s="24" t="str">
        <f aca="false">B46</f>
        <v>ZAKY AZHARI</v>
      </c>
      <c r="M46" s="24"/>
      <c r="N46" s="24"/>
      <c r="O46" s="24" t="str">
        <f aca="false">B46</f>
        <v>ZAKY AZHARI</v>
      </c>
      <c r="P46" s="24"/>
      <c r="Q46" s="24"/>
      <c r="R46" s="24" t="str">
        <f aca="false">B46</f>
        <v>ZAKY AZHARI</v>
      </c>
      <c r="S46" s="24"/>
      <c r="T46" s="24"/>
      <c r="U46" s="24" t="n">
        <f aca="false">COUNTIF(B46:T46,"H")</f>
        <v>1</v>
      </c>
      <c r="V46" s="24" t="n">
        <f aca="false">COUNTIF(B46:T46,"ST")</f>
        <v>0</v>
      </c>
      <c r="W46" s="24" t="n">
        <f aca="false">COUNTIF(B46:T46,"I")</f>
        <v>1</v>
      </c>
      <c r="X46" s="24" t="n">
        <f aca="false">COUNTIF(B46:T46,"S")</f>
        <v>0</v>
      </c>
      <c r="Y46" s="24" t="n">
        <f aca="false">COUNTIF(B46:T46,"A")</f>
        <v>1</v>
      </c>
      <c r="Z46" s="24" t="str">
        <f aca="false">B46</f>
        <v>ZAKY AZHARI</v>
      </c>
    </row>
    <row r="47" customFormat="false" ht="15.75" hidden="false" customHeight="false" outlineLevel="0" collapsed="false">
      <c r="A47" s="24" t="n">
        <v>7</v>
      </c>
      <c r="B47" s="24" t="str">
        <f aca="false">'absensi setoran'!B47</f>
        <v>MUHAMMAD FAUZIL ADZIM</v>
      </c>
      <c r="C47" s="24" t="n">
        <f aca="false">'absensi setoran'!C47</f>
        <v>30</v>
      </c>
      <c r="D47" s="24" t="s">
        <v>78</v>
      </c>
      <c r="E47" s="24" t="s">
        <v>78</v>
      </c>
      <c r="F47" s="24" t="str">
        <f aca="false">B47</f>
        <v>MUHAMMAD FAUZIL ADZIM</v>
      </c>
      <c r="G47" s="24"/>
      <c r="H47" s="24" t="s">
        <v>97</v>
      </c>
      <c r="I47" s="24" t="str">
        <f aca="false">B47</f>
        <v>MUHAMMAD FAUZIL ADZIM</v>
      </c>
      <c r="J47" s="24"/>
      <c r="K47" s="24"/>
      <c r="L47" s="24" t="str">
        <f aca="false">B47</f>
        <v>MUHAMMAD FAUZIL ADZIM</v>
      </c>
      <c r="M47" s="24"/>
      <c r="N47" s="24"/>
      <c r="O47" s="24" t="str">
        <f aca="false">B47</f>
        <v>MUHAMMAD FAUZIL ADZIM</v>
      </c>
      <c r="P47" s="24"/>
      <c r="Q47" s="24"/>
      <c r="R47" s="24" t="str">
        <f aca="false">B47</f>
        <v>MUHAMMAD FAUZIL ADZIM</v>
      </c>
      <c r="S47" s="24"/>
      <c r="T47" s="24"/>
      <c r="U47" s="24" t="n">
        <f aca="false">COUNTIF(B47:T47,"H")</f>
        <v>2</v>
      </c>
      <c r="V47" s="24" t="n">
        <f aca="false">COUNTIF(B47:T47,"ST")</f>
        <v>0</v>
      </c>
      <c r="W47" s="24" t="n">
        <f aca="false">COUNTIF(B47:T47,"I")</f>
        <v>1</v>
      </c>
      <c r="X47" s="24" t="n">
        <f aca="false">COUNTIF(B47:T47,"S")</f>
        <v>0</v>
      </c>
      <c r="Y47" s="24" t="n">
        <f aca="false">COUNTIF(B47:T47,"A")</f>
        <v>0</v>
      </c>
      <c r="Z47" s="24" t="str">
        <f aca="false">B47</f>
        <v>MUHAMMAD FAUZIL ADZIM</v>
      </c>
    </row>
    <row r="48" customFormat="false" ht="15.75" hidden="false" customHeight="false" outlineLevel="0" collapsed="false">
      <c r="A48" s="24" t="n">
        <v>8</v>
      </c>
      <c r="B48" s="24" t="str">
        <f aca="false">'absensi setoran'!B48</f>
        <v>MUHAMMAD DZIKRI HUSAENI</v>
      </c>
      <c r="C48" s="24" t="n">
        <f aca="false">'absensi setoran'!C48</f>
        <v>18</v>
      </c>
      <c r="D48" s="24" t="s">
        <v>78</v>
      </c>
      <c r="E48" s="24" t="s">
        <v>75</v>
      </c>
      <c r="F48" s="24" t="str">
        <f aca="false">B48</f>
        <v>MUHAMMAD DZIKRI HUSAENI</v>
      </c>
      <c r="G48" s="24"/>
      <c r="H48" s="24" t="s">
        <v>78</v>
      </c>
      <c r="I48" s="24" t="str">
        <f aca="false">B48</f>
        <v>MUHAMMAD DZIKRI HUSAENI</v>
      </c>
      <c r="J48" s="24"/>
      <c r="K48" s="24"/>
      <c r="L48" s="24" t="str">
        <f aca="false">B48</f>
        <v>MUHAMMAD DZIKRI HUSAENI</v>
      </c>
      <c r="M48" s="24"/>
      <c r="N48" s="24"/>
      <c r="O48" s="24" t="str">
        <f aca="false">B48</f>
        <v>MUHAMMAD DZIKRI HUSAENI</v>
      </c>
      <c r="P48" s="24"/>
      <c r="Q48" s="24"/>
      <c r="R48" s="24" t="str">
        <f aca="false">B48</f>
        <v>MUHAMMAD DZIKRI HUSAENI</v>
      </c>
      <c r="S48" s="24"/>
      <c r="T48" s="24"/>
      <c r="U48" s="24" t="n">
        <f aca="false">COUNTIF(B48:T48,"H")</f>
        <v>2</v>
      </c>
      <c r="V48" s="24" t="n">
        <f aca="false">COUNTIF(B48:T48,"ST")</f>
        <v>0</v>
      </c>
      <c r="W48" s="24" t="n">
        <f aca="false">COUNTIF(B48:T48,"I")</f>
        <v>0</v>
      </c>
      <c r="X48" s="24" t="n">
        <f aca="false">COUNTIF(B48:T48,"S")</f>
        <v>0</v>
      </c>
      <c r="Y48" s="24" t="n">
        <f aca="false">COUNTIF(B48:T48,"A")</f>
        <v>1</v>
      </c>
      <c r="Z48" s="24" t="str">
        <f aca="false">B48</f>
        <v>MUHAMMAD DZIKRI HUSAENI</v>
      </c>
    </row>
    <row r="49" customFormat="false" ht="15.75" hidden="false" customHeight="false" outlineLevel="0" collapsed="false">
      <c r="A49" s="24" t="n">
        <v>9</v>
      </c>
      <c r="B49" s="24" t="e">
        <f aca="false">'absensi setoran'!B49</f>
        <v>#REF!</v>
      </c>
      <c r="C49" s="24" t="e">
        <f aca="false">'absensi setoran'!C49</f>
        <v>#REF!</v>
      </c>
      <c r="D49" s="24" t="s">
        <v>97</v>
      </c>
      <c r="E49" s="24" t="s">
        <v>75</v>
      </c>
      <c r="F49" s="24" t="e">
        <f aca="false">B49</f>
        <v>#REF!</v>
      </c>
      <c r="G49" s="24"/>
      <c r="H49" s="24" t="s">
        <v>75</v>
      </c>
      <c r="I49" s="24" t="e">
        <f aca="false">B49</f>
        <v>#REF!</v>
      </c>
      <c r="J49" s="24"/>
      <c r="K49" s="24"/>
      <c r="L49" s="24" t="e">
        <f aca="false">B49</f>
        <v>#REF!</v>
      </c>
      <c r="M49" s="24"/>
      <c r="N49" s="24"/>
      <c r="O49" s="24" t="e">
        <f aca="false">B49</f>
        <v>#REF!</v>
      </c>
      <c r="P49" s="24"/>
      <c r="Q49" s="24"/>
      <c r="R49" s="24" t="e">
        <f aca="false">B49</f>
        <v>#REF!</v>
      </c>
      <c r="S49" s="24"/>
      <c r="T49" s="24"/>
      <c r="U49" s="24" t="n">
        <f aca="false">COUNTIF(B49:T49,"H")</f>
        <v>0</v>
      </c>
      <c r="V49" s="24" t="n">
        <f aca="false">COUNTIF(B49:T49,"ST")</f>
        <v>0</v>
      </c>
      <c r="W49" s="24" t="n">
        <f aca="false">COUNTIF(B49:T49,"I")</f>
        <v>1</v>
      </c>
      <c r="X49" s="24" t="n">
        <f aca="false">COUNTIF(B49:T49,"S")</f>
        <v>0</v>
      </c>
      <c r="Y49" s="24" t="n">
        <f aca="false">COUNTIF(B49:T49,"A")</f>
        <v>2</v>
      </c>
      <c r="Z49" s="24" t="e">
        <f aca="false">B49</f>
        <v>#REF!</v>
      </c>
    </row>
    <row r="50" customFormat="false" ht="15.75" hidden="false" customHeight="false" outlineLevel="0" collapsed="false">
      <c r="A50" s="24" t="n">
        <v>10</v>
      </c>
      <c r="B50" s="24" t="str">
        <f aca="false">'absensi setoran'!B50</f>
        <v>ABDUL KHOLIQ</v>
      </c>
      <c r="C50" s="24" t="n">
        <f aca="false">'absensi setoran'!C50</f>
        <v>14</v>
      </c>
      <c r="D50" s="24" t="s">
        <v>78</v>
      </c>
      <c r="E50" s="24" t="s">
        <v>75</v>
      </c>
      <c r="F50" s="24" t="str">
        <f aca="false">B50</f>
        <v>ABDUL KHOLIQ</v>
      </c>
      <c r="G50" s="24"/>
      <c r="H50" s="24" t="s">
        <v>78</v>
      </c>
      <c r="I50" s="24" t="str">
        <f aca="false">B50</f>
        <v>ABDUL KHOLIQ</v>
      </c>
      <c r="J50" s="24"/>
      <c r="K50" s="24"/>
      <c r="L50" s="24" t="str">
        <f aca="false">B50</f>
        <v>ABDUL KHOLIQ</v>
      </c>
      <c r="M50" s="24"/>
      <c r="N50" s="24"/>
      <c r="O50" s="24" t="str">
        <f aca="false">B50</f>
        <v>ABDUL KHOLIQ</v>
      </c>
      <c r="P50" s="24"/>
      <c r="Q50" s="24"/>
      <c r="R50" s="24" t="str">
        <f aca="false">B50</f>
        <v>ABDUL KHOLIQ</v>
      </c>
      <c r="S50" s="24"/>
      <c r="T50" s="24"/>
      <c r="U50" s="24" t="n">
        <f aca="false">COUNTIF(B50:T50,"H")</f>
        <v>2</v>
      </c>
      <c r="V50" s="24" t="n">
        <f aca="false">COUNTIF(B50:T50,"ST")</f>
        <v>0</v>
      </c>
      <c r="W50" s="24" t="n">
        <f aca="false">COUNTIF(B50:T50,"I")</f>
        <v>0</v>
      </c>
      <c r="X50" s="24" t="n">
        <f aca="false">COUNTIF(B50:T50,"S")</f>
        <v>0</v>
      </c>
      <c r="Y50" s="24" t="n">
        <f aca="false">COUNTIF(B50:T50,"A")</f>
        <v>1</v>
      </c>
      <c r="Z50" s="24" t="str">
        <f aca="false">B50</f>
        <v>ABDUL KHOLIQ</v>
      </c>
    </row>
    <row r="51" customFormat="false" ht="15.75" hidden="false" customHeight="false" outlineLevel="0" collapsed="false">
      <c r="A51" s="24" t="n">
        <v>11</v>
      </c>
      <c r="B51" s="24" t="str">
        <f aca="false">'absensi setoran'!B51</f>
        <v>IYAN FARID</v>
      </c>
      <c r="C51" s="24" t="n">
        <f aca="false">'absensi setoran'!C51</f>
        <v>13</v>
      </c>
      <c r="D51" s="24" t="s">
        <v>78</v>
      </c>
      <c r="E51" s="24" t="s">
        <v>75</v>
      </c>
      <c r="F51" s="24" t="str">
        <f aca="false">B51</f>
        <v>IYAN FARID</v>
      </c>
      <c r="G51" s="24"/>
      <c r="H51" s="24" t="s">
        <v>75</v>
      </c>
      <c r="I51" s="24" t="str">
        <f aca="false">B51</f>
        <v>IYAN FARID</v>
      </c>
      <c r="J51" s="24"/>
      <c r="K51" s="24"/>
      <c r="L51" s="24" t="str">
        <f aca="false">B51</f>
        <v>IYAN FARID</v>
      </c>
      <c r="M51" s="24"/>
      <c r="N51" s="24"/>
      <c r="O51" s="24" t="str">
        <f aca="false">B51</f>
        <v>IYAN FARID</v>
      </c>
      <c r="P51" s="24"/>
      <c r="Q51" s="24"/>
      <c r="R51" s="24" t="str">
        <f aca="false">B51</f>
        <v>IYAN FARID</v>
      </c>
      <c r="S51" s="24"/>
      <c r="T51" s="24"/>
      <c r="U51" s="24" t="n">
        <f aca="false">COUNTIF(B51:T51,"H")</f>
        <v>1</v>
      </c>
      <c r="V51" s="24" t="n">
        <f aca="false">COUNTIF(B51:T51,"ST")</f>
        <v>0</v>
      </c>
      <c r="W51" s="24" t="n">
        <f aca="false">COUNTIF(B51:T51,"I")</f>
        <v>0</v>
      </c>
      <c r="X51" s="24" t="n">
        <f aca="false">COUNTIF(B51:T51,"S")</f>
        <v>0</v>
      </c>
      <c r="Y51" s="24" t="n">
        <f aca="false">COUNTIF(B51:T51,"A")</f>
        <v>2</v>
      </c>
      <c r="Z51" s="24" t="str">
        <f aca="false">B51</f>
        <v>IYAN FARID</v>
      </c>
    </row>
    <row r="52" customFormat="false" ht="15.75" hidden="false" customHeight="false" outlineLevel="0" collapsed="false">
      <c r="A52" s="24" t="n">
        <v>12</v>
      </c>
      <c r="B52" s="24" t="str">
        <f aca="false">'absensi setoran'!B52</f>
        <v>ZAENI NURIL HIKAM</v>
      </c>
      <c r="C52" s="24" t="n">
        <f aca="false">'absensi setoran'!C52</f>
        <v>12</v>
      </c>
      <c r="D52" s="24" t="s">
        <v>78</v>
      </c>
      <c r="E52" s="24" t="s">
        <v>78</v>
      </c>
      <c r="F52" s="24" t="str">
        <f aca="false">B52</f>
        <v>ZAENI NURIL HIKAM</v>
      </c>
      <c r="G52" s="24"/>
      <c r="H52" s="24" t="s">
        <v>78</v>
      </c>
      <c r="I52" s="24" t="str">
        <f aca="false">B52</f>
        <v>ZAENI NURIL HIKAM</v>
      </c>
      <c r="J52" s="24"/>
      <c r="K52" s="24"/>
      <c r="L52" s="24" t="str">
        <f aca="false">B52</f>
        <v>ZAENI NURIL HIKAM</v>
      </c>
      <c r="M52" s="24"/>
      <c r="N52" s="24"/>
      <c r="O52" s="24" t="str">
        <f aca="false">B52</f>
        <v>ZAENI NURIL HIKAM</v>
      </c>
      <c r="P52" s="24"/>
      <c r="Q52" s="24"/>
      <c r="R52" s="24" t="str">
        <f aca="false">B52</f>
        <v>ZAENI NURIL HIKAM</v>
      </c>
      <c r="S52" s="24"/>
      <c r="T52" s="24"/>
      <c r="U52" s="24" t="n">
        <f aca="false">COUNTIF(B52:T52,"H")</f>
        <v>3</v>
      </c>
      <c r="V52" s="24" t="n">
        <f aca="false">COUNTIF(B52:T52,"ST")</f>
        <v>0</v>
      </c>
      <c r="W52" s="24" t="n">
        <f aca="false">COUNTIF(B52:T52,"I")</f>
        <v>0</v>
      </c>
      <c r="X52" s="24" t="n">
        <f aca="false">COUNTIF(B52:T52,"S")</f>
        <v>0</v>
      </c>
      <c r="Y52" s="24" t="n">
        <f aca="false">COUNTIF(B52:T52,"A")</f>
        <v>0</v>
      </c>
      <c r="Z52" s="24" t="str">
        <f aca="false">B52</f>
        <v>ZAENI NURIL HIKAM</v>
      </c>
    </row>
    <row r="53" customFormat="false" ht="15.75" hidden="false" customHeight="false" outlineLevel="0" collapsed="false">
      <c r="A53" s="24" t="n">
        <v>13</v>
      </c>
      <c r="B53" s="24" t="str">
        <f aca="false">'absensi setoran'!B53</f>
        <v>LUCKY KURNIAWAN</v>
      </c>
      <c r="C53" s="24" t="n">
        <f aca="false">'absensi setoran'!C53</f>
        <v>12</v>
      </c>
      <c r="D53" s="24" t="s">
        <v>78</v>
      </c>
      <c r="E53" s="24" t="s">
        <v>75</v>
      </c>
      <c r="F53" s="24" t="str">
        <f aca="false">B53</f>
        <v>LUCKY KURNIAWAN</v>
      </c>
      <c r="G53" s="24"/>
      <c r="H53" s="24" t="s">
        <v>75</v>
      </c>
      <c r="I53" s="24" t="str">
        <f aca="false">B53</f>
        <v>LUCKY KURNIAWAN</v>
      </c>
      <c r="J53" s="24"/>
      <c r="K53" s="24"/>
      <c r="L53" s="24" t="str">
        <f aca="false">B53</f>
        <v>LUCKY KURNIAWAN</v>
      </c>
      <c r="M53" s="24"/>
      <c r="N53" s="24"/>
      <c r="O53" s="24" t="str">
        <f aca="false">B53</f>
        <v>LUCKY KURNIAWAN</v>
      </c>
      <c r="P53" s="24"/>
      <c r="Q53" s="24"/>
      <c r="R53" s="24" t="str">
        <f aca="false">B53</f>
        <v>LUCKY KURNIAWAN</v>
      </c>
      <c r="S53" s="24"/>
      <c r="T53" s="24"/>
      <c r="U53" s="24" t="n">
        <f aca="false">COUNTIF(B53:T53,"H")</f>
        <v>1</v>
      </c>
      <c r="V53" s="24" t="n">
        <f aca="false">COUNTIF(B53:T53,"ST")</f>
        <v>0</v>
      </c>
      <c r="W53" s="24" t="n">
        <f aca="false">COUNTIF(B53:T53,"I")</f>
        <v>0</v>
      </c>
      <c r="X53" s="24" t="n">
        <f aca="false">COUNTIF(B53:T53,"S")</f>
        <v>0</v>
      </c>
      <c r="Y53" s="24" t="n">
        <f aca="false">COUNTIF(B53:T53,"A")</f>
        <v>2</v>
      </c>
      <c r="Z53" s="24" t="str">
        <f aca="false">B53</f>
        <v>LUCKY KURNIAWAN</v>
      </c>
    </row>
    <row r="54" customFormat="false" ht="15.75" hidden="false" customHeight="false" outlineLevel="0" collapsed="false">
      <c r="A54" s="24" t="n">
        <v>14</v>
      </c>
      <c r="B54" s="24" t="str">
        <f aca="false">'absensi setoran'!B54</f>
        <v>MUHAMMAD RAFIK MUHARAM</v>
      </c>
      <c r="C54" s="24" t="n">
        <f aca="false">'absensi setoran'!C54</f>
        <v>12</v>
      </c>
      <c r="D54" s="24" t="s">
        <v>78</v>
      </c>
      <c r="E54" s="24" t="s">
        <v>75</v>
      </c>
      <c r="F54" s="24" t="str">
        <f aca="false">B54</f>
        <v>MUHAMMAD RAFIK MUHARAM</v>
      </c>
      <c r="G54" s="24"/>
      <c r="H54" s="24" t="s">
        <v>75</v>
      </c>
      <c r="I54" s="24" t="str">
        <f aca="false">B54</f>
        <v>MUHAMMAD RAFIK MUHARAM</v>
      </c>
      <c r="J54" s="24"/>
      <c r="K54" s="24"/>
      <c r="L54" s="24" t="str">
        <f aca="false">B54</f>
        <v>MUHAMMAD RAFIK MUHARAM</v>
      </c>
      <c r="M54" s="24"/>
      <c r="N54" s="24"/>
      <c r="O54" s="24" t="str">
        <f aca="false">B54</f>
        <v>MUHAMMAD RAFIK MUHARAM</v>
      </c>
      <c r="P54" s="24"/>
      <c r="Q54" s="24"/>
      <c r="R54" s="24" t="str">
        <f aca="false">B54</f>
        <v>MUHAMMAD RAFIK MUHARAM</v>
      </c>
      <c r="S54" s="24"/>
      <c r="T54" s="24"/>
      <c r="U54" s="24" t="n">
        <f aca="false">COUNTIF(B54:T54,"H")</f>
        <v>1</v>
      </c>
      <c r="V54" s="24" t="n">
        <f aca="false">COUNTIF(B54:T54,"ST")</f>
        <v>0</v>
      </c>
      <c r="W54" s="24" t="n">
        <f aca="false">COUNTIF(B54:T54,"I")</f>
        <v>0</v>
      </c>
      <c r="X54" s="24" t="n">
        <f aca="false">COUNTIF(B54:T54,"S")</f>
        <v>0</v>
      </c>
      <c r="Y54" s="24" t="n">
        <f aca="false">COUNTIF(B54:T54,"A")</f>
        <v>2</v>
      </c>
      <c r="Z54" s="24" t="str">
        <f aca="false">B54</f>
        <v>MUHAMMAD RAFIK MUHARAM</v>
      </c>
    </row>
    <row r="55" customFormat="false" ht="15.75" hidden="false" customHeight="false" outlineLevel="0" collapsed="false">
      <c r="A55" s="24" t="n">
        <v>15</v>
      </c>
      <c r="B55" s="24" t="str">
        <f aca="false">'absensi setoran'!B55</f>
        <v>UMAR ABDUL MALIK</v>
      </c>
      <c r="C55" s="24" t="n">
        <f aca="false">'absensi setoran'!C55</f>
        <v>11</v>
      </c>
      <c r="D55" s="24" t="s">
        <v>75</v>
      </c>
      <c r="E55" s="24" t="s">
        <v>75</v>
      </c>
      <c r="F55" s="24" t="str">
        <f aca="false">B55</f>
        <v>UMAR ABDUL MALIK</v>
      </c>
      <c r="G55" s="24"/>
      <c r="H55" s="24" t="s">
        <v>75</v>
      </c>
      <c r="I55" s="24" t="str">
        <f aca="false">B55</f>
        <v>UMAR ABDUL MALIK</v>
      </c>
      <c r="J55" s="24"/>
      <c r="K55" s="24"/>
      <c r="L55" s="24" t="str">
        <f aca="false">B55</f>
        <v>UMAR ABDUL MALIK</v>
      </c>
      <c r="M55" s="24"/>
      <c r="N55" s="24"/>
      <c r="O55" s="24" t="str">
        <f aca="false">B55</f>
        <v>UMAR ABDUL MALIK</v>
      </c>
      <c r="P55" s="24"/>
      <c r="Q55" s="24"/>
      <c r="R55" s="24" t="str">
        <f aca="false">B55</f>
        <v>UMAR ABDUL MALIK</v>
      </c>
      <c r="S55" s="24"/>
      <c r="T55" s="24"/>
      <c r="U55" s="24" t="n">
        <f aca="false">COUNTIF(B55:T55,"H")</f>
        <v>0</v>
      </c>
      <c r="V55" s="24" t="n">
        <f aca="false">COUNTIF(B55:T55,"ST")</f>
        <v>0</v>
      </c>
      <c r="W55" s="24" t="n">
        <f aca="false">COUNTIF(B55:T55,"I")</f>
        <v>0</v>
      </c>
      <c r="X55" s="24" t="n">
        <f aca="false">COUNTIF(B55:T55,"S")</f>
        <v>0</v>
      </c>
      <c r="Y55" s="24" t="n">
        <f aca="false">COUNTIF(B55:T55,"A")</f>
        <v>3</v>
      </c>
      <c r="Z55" s="24" t="str">
        <f aca="false">B55</f>
        <v>UMAR ABDUL MALIK</v>
      </c>
    </row>
    <row r="56" customFormat="false" ht="15.75" hidden="false" customHeight="false" outlineLevel="0" collapsed="false">
      <c r="A56" s="24" t="n">
        <v>16</v>
      </c>
      <c r="B56" s="24" t="str">
        <f aca="false">'absensi setoran'!B56</f>
        <v>AHMAD HAFIDZ ALHAWARI</v>
      </c>
      <c r="C56" s="24" t="n">
        <f aca="false">'absensi setoran'!C56</f>
        <v>10</v>
      </c>
      <c r="D56" s="24" t="s">
        <v>78</v>
      </c>
      <c r="E56" s="24" t="s">
        <v>78</v>
      </c>
      <c r="F56" s="24" t="str">
        <f aca="false">B56</f>
        <v>AHMAD HAFIDZ ALHAWARI</v>
      </c>
      <c r="G56" s="24"/>
      <c r="H56" s="24" t="s">
        <v>78</v>
      </c>
      <c r="I56" s="24" t="str">
        <f aca="false">B56</f>
        <v>AHMAD HAFIDZ ALHAWARI</v>
      </c>
      <c r="J56" s="24"/>
      <c r="K56" s="24"/>
      <c r="L56" s="24" t="str">
        <f aca="false">B56</f>
        <v>AHMAD HAFIDZ ALHAWARI</v>
      </c>
      <c r="M56" s="24"/>
      <c r="N56" s="24"/>
      <c r="O56" s="24" t="str">
        <f aca="false">B56</f>
        <v>AHMAD HAFIDZ ALHAWARI</v>
      </c>
      <c r="P56" s="24"/>
      <c r="Q56" s="24"/>
      <c r="R56" s="24" t="str">
        <f aca="false">B56</f>
        <v>AHMAD HAFIDZ ALHAWARI</v>
      </c>
      <c r="S56" s="24"/>
      <c r="T56" s="24"/>
      <c r="U56" s="24" t="n">
        <f aca="false">COUNTIF(B56:T56,"H")</f>
        <v>3</v>
      </c>
      <c r="V56" s="24" t="n">
        <f aca="false">COUNTIF(B56:T56,"ST")</f>
        <v>0</v>
      </c>
      <c r="W56" s="24" t="n">
        <f aca="false">COUNTIF(B56:T56,"I")</f>
        <v>0</v>
      </c>
      <c r="X56" s="24" t="n">
        <f aca="false">COUNTIF(B56:T56,"S")</f>
        <v>0</v>
      </c>
      <c r="Y56" s="24" t="n">
        <f aca="false">COUNTIF(B56:T56,"A")</f>
        <v>0</v>
      </c>
      <c r="Z56" s="24" t="str">
        <f aca="false">B56</f>
        <v>AHMAD HAFIDZ ALHAWARI</v>
      </c>
    </row>
    <row r="57" customFormat="false" ht="15.75" hidden="false" customHeight="false" outlineLevel="0" collapsed="false">
      <c r="A57" s="24" t="n">
        <v>17</v>
      </c>
      <c r="B57" s="24" t="str">
        <f aca="false">'absensi setoran'!B57</f>
        <v>MUHAMMAD FAUZAN</v>
      </c>
      <c r="C57" s="24" t="n">
        <f aca="false">'absensi setoran'!C57</f>
        <v>10</v>
      </c>
      <c r="D57" s="24" t="s">
        <v>78</v>
      </c>
      <c r="E57" s="24" t="s">
        <v>78</v>
      </c>
      <c r="F57" s="24" t="str">
        <f aca="false">B57</f>
        <v>MUHAMMAD FAUZAN</v>
      </c>
      <c r="G57" s="24"/>
      <c r="H57" s="24" t="s">
        <v>97</v>
      </c>
      <c r="I57" s="24" t="str">
        <f aca="false">B57</f>
        <v>MUHAMMAD FAUZAN</v>
      </c>
      <c r="J57" s="24"/>
      <c r="K57" s="24"/>
      <c r="L57" s="24" t="str">
        <f aca="false">B57</f>
        <v>MUHAMMAD FAUZAN</v>
      </c>
      <c r="M57" s="24"/>
      <c r="N57" s="24"/>
      <c r="O57" s="24" t="str">
        <f aca="false">B57</f>
        <v>MUHAMMAD FAUZAN</v>
      </c>
      <c r="P57" s="24"/>
      <c r="Q57" s="24"/>
      <c r="R57" s="24" t="str">
        <f aca="false">B57</f>
        <v>MUHAMMAD FAUZAN</v>
      </c>
      <c r="S57" s="24"/>
      <c r="T57" s="24"/>
      <c r="U57" s="24" t="n">
        <f aca="false">COUNTIF(B57:T57,"H")</f>
        <v>2</v>
      </c>
      <c r="V57" s="24" t="n">
        <f aca="false">COUNTIF(B57:T57,"ST")</f>
        <v>0</v>
      </c>
      <c r="W57" s="24" t="n">
        <f aca="false">COUNTIF(B57:T57,"I")</f>
        <v>1</v>
      </c>
      <c r="X57" s="24" t="n">
        <f aca="false">COUNTIF(B57:T57,"S")</f>
        <v>0</v>
      </c>
      <c r="Y57" s="24" t="n">
        <f aca="false">COUNTIF(B57:T57,"A")</f>
        <v>0</v>
      </c>
      <c r="Z57" s="24" t="str">
        <f aca="false">B57</f>
        <v>MUHAMMAD FAUZAN</v>
      </c>
    </row>
    <row r="58" customFormat="false" ht="15.75" hidden="false" customHeight="false" outlineLevel="0" collapsed="false">
      <c r="A58" s="24" t="n">
        <v>18</v>
      </c>
      <c r="B58" s="24" t="str">
        <f aca="false">'absensi setoran'!B58</f>
        <v>AKBAR RAMADAN</v>
      </c>
      <c r="C58" s="24" t="n">
        <f aca="false">'absensi setoran'!C58</f>
        <v>9</v>
      </c>
      <c r="D58" s="24" t="s">
        <v>78</v>
      </c>
      <c r="E58" s="24" t="s">
        <v>78</v>
      </c>
      <c r="F58" s="24" t="str">
        <f aca="false">B58</f>
        <v>AKBAR RAMADAN</v>
      </c>
      <c r="G58" s="24"/>
      <c r="H58" s="24" t="s">
        <v>78</v>
      </c>
      <c r="I58" s="24" t="str">
        <f aca="false">B58</f>
        <v>AKBAR RAMADAN</v>
      </c>
      <c r="J58" s="24"/>
      <c r="K58" s="24"/>
      <c r="L58" s="24" t="str">
        <f aca="false">B58</f>
        <v>AKBAR RAMADAN</v>
      </c>
      <c r="M58" s="24"/>
      <c r="N58" s="24"/>
      <c r="O58" s="24" t="str">
        <f aca="false">B58</f>
        <v>AKBAR RAMADAN</v>
      </c>
      <c r="P58" s="24"/>
      <c r="Q58" s="24"/>
      <c r="R58" s="24" t="str">
        <f aca="false">B58</f>
        <v>AKBAR RAMADAN</v>
      </c>
      <c r="S58" s="24"/>
      <c r="T58" s="24"/>
      <c r="U58" s="24" t="n">
        <f aca="false">COUNTIF(B58:T58,"H")</f>
        <v>3</v>
      </c>
      <c r="V58" s="24" t="n">
        <f aca="false">COUNTIF(B58:T58,"ST")</f>
        <v>0</v>
      </c>
      <c r="W58" s="24" t="n">
        <f aca="false">COUNTIF(B58:T58,"I")</f>
        <v>0</v>
      </c>
      <c r="X58" s="24" t="n">
        <f aca="false">COUNTIF(B58:T58,"S")</f>
        <v>0</v>
      </c>
      <c r="Y58" s="24" t="n">
        <f aca="false">COUNTIF(B58:T58,"A")</f>
        <v>0</v>
      </c>
      <c r="Z58" s="24" t="str">
        <f aca="false">B58</f>
        <v>AKBAR RAMADAN</v>
      </c>
    </row>
    <row r="59" customFormat="false" ht="15.75" hidden="false" customHeight="false" outlineLevel="0" collapsed="false">
      <c r="A59" s="24" t="n">
        <v>19</v>
      </c>
      <c r="B59" s="24" t="e">
        <f aca="false">'absensi setoran'!B59</f>
        <v>#REF!</v>
      </c>
      <c r="C59" s="24" t="e">
        <f aca="false">'absensi setoran'!C59</f>
        <v>#REF!</v>
      </c>
      <c r="D59" s="24" t="s">
        <v>78</v>
      </c>
      <c r="E59" s="24" t="s">
        <v>75</v>
      </c>
      <c r="F59" s="24" t="e">
        <f aca="false">B59</f>
        <v>#REF!</v>
      </c>
      <c r="G59" s="24"/>
      <c r="H59" s="24" t="s">
        <v>75</v>
      </c>
      <c r="I59" s="24" t="e">
        <f aca="false">B59</f>
        <v>#REF!</v>
      </c>
      <c r="J59" s="24"/>
      <c r="K59" s="24"/>
      <c r="L59" s="24" t="e">
        <f aca="false">B59</f>
        <v>#REF!</v>
      </c>
      <c r="M59" s="24"/>
      <c r="N59" s="24"/>
      <c r="O59" s="24" t="e">
        <f aca="false">B59</f>
        <v>#REF!</v>
      </c>
      <c r="P59" s="24"/>
      <c r="Q59" s="24"/>
      <c r="R59" s="24" t="e">
        <f aca="false">B59</f>
        <v>#REF!</v>
      </c>
      <c r="S59" s="24"/>
      <c r="T59" s="24"/>
      <c r="U59" s="24" t="n">
        <f aca="false">COUNTIF(B59:T59,"H")</f>
        <v>1</v>
      </c>
      <c r="V59" s="24" t="n">
        <f aca="false">COUNTIF(B59:T59,"ST")</f>
        <v>0</v>
      </c>
      <c r="W59" s="24" t="n">
        <f aca="false">COUNTIF(B59:T59,"I")</f>
        <v>0</v>
      </c>
      <c r="X59" s="24" t="n">
        <f aca="false">COUNTIF(B59:T59,"S")</f>
        <v>0</v>
      </c>
      <c r="Y59" s="24" t="n">
        <f aca="false">COUNTIF(B59:T59,"A")</f>
        <v>2</v>
      </c>
      <c r="Z59" s="24" t="e">
        <f aca="false">B59</f>
        <v>#REF!</v>
      </c>
    </row>
    <row r="60" customFormat="false" ht="15.75" hidden="false" customHeight="false" outlineLevel="0" collapsed="false">
      <c r="A60" s="24" t="n">
        <v>20</v>
      </c>
      <c r="B60" s="24" t="str">
        <f aca="false">'absensi setoran'!B60</f>
        <v>ABIDZAR ALGHIFARI</v>
      </c>
      <c r="C60" s="24" t="n">
        <f aca="false">'absensi setoran'!C60</f>
        <v>8</v>
      </c>
      <c r="D60" s="24" t="s">
        <v>78</v>
      </c>
      <c r="E60" s="24" t="s">
        <v>78</v>
      </c>
      <c r="F60" s="24" t="str">
        <f aca="false">B60</f>
        <v>ABIDZAR ALGHIFARI</v>
      </c>
      <c r="G60" s="24"/>
      <c r="H60" s="24" t="s">
        <v>78</v>
      </c>
      <c r="I60" s="24" t="str">
        <f aca="false">B60</f>
        <v>ABIDZAR ALGHIFARI</v>
      </c>
      <c r="J60" s="24"/>
      <c r="K60" s="24"/>
      <c r="L60" s="24" t="str">
        <f aca="false">B60</f>
        <v>ABIDZAR ALGHIFARI</v>
      </c>
      <c r="M60" s="24"/>
      <c r="N60" s="24"/>
      <c r="O60" s="24" t="str">
        <f aca="false">B60</f>
        <v>ABIDZAR ALGHIFARI</v>
      </c>
      <c r="P60" s="24"/>
      <c r="Q60" s="24"/>
      <c r="R60" s="24" t="str">
        <f aca="false">B60</f>
        <v>ABIDZAR ALGHIFARI</v>
      </c>
      <c r="S60" s="24"/>
      <c r="T60" s="24"/>
      <c r="U60" s="24" t="n">
        <f aca="false">COUNTIF(B60:T60,"H")</f>
        <v>3</v>
      </c>
      <c r="V60" s="24" t="n">
        <f aca="false">COUNTIF(B60:T60,"ST")</f>
        <v>0</v>
      </c>
      <c r="W60" s="24" t="n">
        <f aca="false">COUNTIF(B60:T60,"I")</f>
        <v>0</v>
      </c>
      <c r="X60" s="24" t="n">
        <f aca="false">COUNTIF(B60:T60,"S")</f>
        <v>0</v>
      </c>
      <c r="Y60" s="24" t="n">
        <f aca="false">COUNTIF(B60:T60,"A")</f>
        <v>0</v>
      </c>
      <c r="Z60" s="24" t="str">
        <f aca="false">B60</f>
        <v>ABIDZAR ALGHIFARI</v>
      </c>
    </row>
    <row r="61" customFormat="false" ht="15.75" hidden="false" customHeight="false" outlineLevel="0" collapsed="false">
      <c r="A61" s="24" t="n">
        <v>21</v>
      </c>
      <c r="B61" s="24" t="str">
        <f aca="false">'absensi setoran'!B61</f>
        <v>KAFY MUHAMMAD AZIZY</v>
      </c>
      <c r="C61" s="24" t="n">
        <f aca="false">'absensi setoran'!C61</f>
        <v>7</v>
      </c>
      <c r="D61" s="24" t="s">
        <v>78</v>
      </c>
      <c r="E61" s="24" t="s">
        <v>78</v>
      </c>
      <c r="F61" s="24" t="str">
        <f aca="false">B61</f>
        <v>KAFY MUHAMMAD AZIZY</v>
      </c>
      <c r="G61" s="24"/>
      <c r="H61" s="24" t="s">
        <v>78</v>
      </c>
      <c r="I61" s="24" t="str">
        <f aca="false">B61</f>
        <v>KAFY MUHAMMAD AZIZY</v>
      </c>
      <c r="J61" s="24"/>
      <c r="K61" s="24"/>
      <c r="L61" s="24" t="str">
        <f aca="false">B61</f>
        <v>KAFY MUHAMMAD AZIZY</v>
      </c>
      <c r="M61" s="24"/>
      <c r="N61" s="24"/>
      <c r="O61" s="24" t="str">
        <f aca="false">B61</f>
        <v>KAFY MUHAMMAD AZIZY</v>
      </c>
      <c r="P61" s="24"/>
      <c r="Q61" s="24"/>
      <c r="R61" s="24" t="str">
        <f aca="false">B61</f>
        <v>KAFY MUHAMMAD AZIZY</v>
      </c>
      <c r="S61" s="24"/>
      <c r="T61" s="24"/>
      <c r="U61" s="24" t="n">
        <f aca="false">COUNTIF(B61:T61,"H")</f>
        <v>3</v>
      </c>
      <c r="V61" s="24" t="n">
        <f aca="false">COUNTIF(B61:T61,"ST")</f>
        <v>0</v>
      </c>
      <c r="W61" s="24" t="n">
        <f aca="false">COUNTIF(B61:T61,"I")</f>
        <v>0</v>
      </c>
      <c r="X61" s="24" t="n">
        <f aca="false">COUNTIF(B61:T61,"S")</f>
        <v>0</v>
      </c>
      <c r="Y61" s="24" t="n">
        <f aca="false">COUNTIF(B61:T61,"A")</f>
        <v>0</v>
      </c>
      <c r="Z61" s="24" t="str">
        <f aca="false">B61</f>
        <v>KAFY MUHAMMAD AZIZY</v>
      </c>
    </row>
    <row r="62" customFormat="false" ht="15.75" hidden="false" customHeight="false" outlineLevel="0" collapsed="false">
      <c r="A62" s="24" t="n">
        <v>22</v>
      </c>
      <c r="B62" s="24" t="e">
        <f aca="false">'absensi setoran'!B62</f>
        <v>#REF!</v>
      </c>
      <c r="C62" s="24" t="e">
        <f aca="false">'absensi setoran'!C62</f>
        <v>#REF!</v>
      </c>
      <c r="D62" s="24" t="s">
        <v>78</v>
      </c>
      <c r="E62" s="24" t="s">
        <v>75</v>
      </c>
      <c r="F62" s="24" t="e">
        <f aca="false">B62</f>
        <v>#REF!</v>
      </c>
      <c r="G62" s="24"/>
      <c r="H62" s="24" t="s">
        <v>75</v>
      </c>
      <c r="I62" s="24" t="e">
        <f aca="false">B62</f>
        <v>#REF!</v>
      </c>
      <c r="J62" s="24"/>
      <c r="K62" s="24"/>
      <c r="L62" s="24" t="e">
        <f aca="false">B62</f>
        <v>#REF!</v>
      </c>
      <c r="M62" s="24"/>
      <c r="N62" s="24"/>
      <c r="O62" s="24" t="e">
        <f aca="false">B62</f>
        <v>#REF!</v>
      </c>
      <c r="P62" s="24"/>
      <c r="Q62" s="24"/>
      <c r="R62" s="24" t="e">
        <f aca="false">B62</f>
        <v>#REF!</v>
      </c>
      <c r="S62" s="24"/>
      <c r="T62" s="24"/>
      <c r="U62" s="24" t="n">
        <f aca="false">COUNTIF(B62:T62,"H")</f>
        <v>1</v>
      </c>
      <c r="V62" s="24" t="n">
        <f aca="false">COUNTIF(B62:T62,"ST")</f>
        <v>0</v>
      </c>
      <c r="W62" s="24" t="n">
        <f aca="false">COUNTIF(B62:T62,"I")</f>
        <v>0</v>
      </c>
      <c r="X62" s="24" t="n">
        <f aca="false">COUNTIF(B62:T62,"S")</f>
        <v>0</v>
      </c>
      <c r="Y62" s="24" t="n">
        <f aca="false">COUNTIF(B62:T62,"A")</f>
        <v>2</v>
      </c>
      <c r="Z62" s="24" t="e">
        <f aca="false">B62</f>
        <v>#REF!</v>
      </c>
    </row>
    <row r="63" customFormat="false" ht="15.75" hidden="false" customHeight="false" outlineLevel="0" collapsed="false">
      <c r="A63" s="24" t="n">
        <v>23</v>
      </c>
      <c r="B63" s="24" t="str">
        <f aca="false">'absensi setoran'!B63</f>
        <v>MUHAMMAD MUNAWWAR KHOLIL</v>
      </c>
      <c r="C63" s="24" t="n">
        <f aca="false">'absensi setoran'!C63</f>
        <v>4</v>
      </c>
      <c r="D63" s="24" t="s">
        <v>78</v>
      </c>
      <c r="E63" s="24" t="s">
        <v>78</v>
      </c>
      <c r="F63" s="24" t="str">
        <f aca="false">B63</f>
        <v>MUHAMMAD MUNAWWAR KHOLIL</v>
      </c>
      <c r="G63" s="24"/>
      <c r="H63" s="24"/>
      <c r="I63" s="24" t="str">
        <f aca="false">B63</f>
        <v>MUHAMMAD MUNAWWAR KHOLIL</v>
      </c>
      <c r="J63" s="24"/>
      <c r="K63" s="24"/>
      <c r="L63" s="24" t="str">
        <f aca="false">B63</f>
        <v>MUHAMMAD MUNAWWAR KHOLIL</v>
      </c>
      <c r="M63" s="24"/>
      <c r="N63" s="24"/>
      <c r="O63" s="24" t="str">
        <f aca="false">B63</f>
        <v>MUHAMMAD MUNAWWAR KHOLIL</v>
      </c>
      <c r="P63" s="24"/>
      <c r="Q63" s="24"/>
      <c r="R63" s="24" t="str">
        <f aca="false">B63</f>
        <v>MUHAMMAD MUNAWWAR KHOLIL</v>
      </c>
      <c r="S63" s="24"/>
      <c r="T63" s="24"/>
      <c r="U63" s="24" t="n">
        <f aca="false">COUNTIF(B63:T63,"H")</f>
        <v>2</v>
      </c>
      <c r="V63" s="24" t="n">
        <f aca="false">COUNTIF(B63:T63,"ST")</f>
        <v>0</v>
      </c>
      <c r="W63" s="24" t="n">
        <f aca="false">COUNTIF(B63:T63,"I")</f>
        <v>0</v>
      </c>
      <c r="X63" s="24" t="n">
        <f aca="false">COUNTIF(B63:T63,"S")</f>
        <v>0</v>
      </c>
      <c r="Y63" s="24" t="n">
        <f aca="false">COUNTIF(B63:T63,"A")</f>
        <v>0</v>
      </c>
      <c r="Z63" s="24" t="str">
        <f aca="false">B63</f>
        <v>MUHAMMAD MUNAWWAR KHOLIL</v>
      </c>
    </row>
    <row r="64" customFormat="false" ht="15.75" hidden="false" customHeight="false" outlineLevel="0" collapsed="false">
      <c r="A64" s="24" t="n">
        <v>24</v>
      </c>
      <c r="B64" s="24" t="str">
        <f aca="false">'absensi setoran'!B64</f>
        <v>ALWI</v>
      </c>
      <c r="C64" s="24" t="n">
        <f aca="false">'absensi setoran'!C64</f>
        <v>3</v>
      </c>
      <c r="D64" s="24"/>
      <c r="E64" s="24"/>
      <c r="F64" s="24" t="str">
        <f aca="false">B64</f>
        <v>ALWI</v>
      </c>
      <c r="G64" s="24"/>
      <c r="H64" s="24"/>
      <c r="I64" s="24" t="str">
        <f aca="false">B64</f>
        <v>ALWI</v>
      </c>
      <c r="J64" s="24"/>
      <c r="K64" s="24"/>
      <c r="L64" s="24" t="str">
        <f aca="false">B64</f>
        <v>ALWI</v>
      </c>
      <c r="M64" s="24"/>
      <c r="N64" s="24"/>
      <c r="O64" s="24" t="str">
        <f aca="false">B64</f>
        <v>ALWI</v>
      </c>
      <c r="P64" s="24"/>
      <c r="Q64" s="24"/>
      <c r="R64" s="24" t="str">
        <f aca="false">B64</f>
        <v>ALWI</v>
      </c>
      <c r="S64" s="24"/>
      <c r="T64" s="24"/>
      <c r="U64" s="24" t="n">
        <f aca="false">COUNTIF(B64:T64,"H")</f>
        <v>0</v>
      </c>
      <c r="V64" s="24" t="n">
        <f aca="false">COUNTIF(B64:T64,"ST")</f>
        <v>0</v>
      </c>
      <c r="W64" s="24" t="n">
        <f aca="false">COUNTIF(B64:T64,"I")</f>
        <v>0</v>
      </c>
      <c r="X64" s="24" t="n">
        <f aca="false">COUNTIF(B64:T64,"S")</f>
        <v>0</v>
      </c>
      <c r="Y64" s="24" t="n">
        <f aca="false">COUNTIF(B64:T64,"A")</f>
        <v>0</v>
      </c>
      <c r="Z64" s="24" t="str">
        <f aca="false">B64</f>
        <v>ALWI</v>
      </c>
    </row>
    <row r="65" customFormat="false" ht="15.75" hidden="false" customHeight="false" outlineLevel="0" collapsed="false">
      <c r="A65" s="24" t="n">
        <v>25</v>
      </c>
      <c r="B65" s="24" t="str">
        <f aca="false">'absensi setoran'!B65</f>
        <v>PIRMAN</v>
      </c>
      <c r="C65" s="24" t="n">
        <f aca="false">'absensi setoran'!C65</f>
        <v>1</v>
      </c>
      <c r="D65" s="24"/>
      <c r="E65" s="24"/>
      <c r="F65" s="24" t="str">
        <f aca="false">B65</f>
        <v>PIRMAN</v>
      </c>
      <c r="G65" s="24"/>
      <c r="H65" s="24"/>
      <c r="I65" s="24" t="str">
        <f aca="false">B65</f>
        <v>PIRMAN</v>
      </c>
      <c r="J65" s="24"/>
      <c r="K65" s="24"/>
      <c r="L65" s="24" t="str">
        <f aca="false">B65</f>
        <v>PIRMAN</v>
      </c>
      <c r="M65" s="24"/>
      <c r="N65" s="24"/>
      <c r="O65" s="24" t="str">
        <f aca="false">B65</f>
        <v>PIRMAN</v>
      </c>
      <c r="P65" s="24"/>
      <c r="Q65" s="24"/>
      <c r="R65" s="24" t="str">
        <f aca="false">B65</f>
        <v>PIRMAN</v>
      </c>
      <c r="S65" s="24"/>
      <c r="T65" s="24"/>
      <c r="U65" s="24" t="n">
        <f aca="false">COUNTIF(B65:T65,"H")</f>
        <v>0</v>
      </c>
      <c r="V65" s="24" t="n">
        <f aca="false">COUNTIF(B65:T65,"ST")</f>
        <v>0</v>
      </c>
      <c r="W65" s="24" t="n">
        <f aca="false">COUNTIF(B65:T65,"I")</f>
        <v>0</v>
      </c>
      <c r="X65" s="24" t="n">
        <f aca="false">COUNTIF(B65:T65,"S")</f>
        <v>0</v>
      </c>
      <c r="Y65" s="24" t="n">
        <f aca="false">COUNTIF(B65:T65,"A")</f>
        <v>0</v>
      </c>
      <c r="Z65" s="24" t="str">
        <f aca="false">B65</f>
        <v>PIRMAN</v>
      </c>
    </row>
    <row r="66" customFormat="false" ht="15.75" hidden="false" customHeight="false" outlineLevel="0" collapsed="false">
      <c r="A66" s="24" t="n">
        <v>26</v>
      </c>
      <c r="B66" s="24" t="str">
        <f aca="false">'absensi setoran'!B66</f>
        <v>MUHAMMAD DENMAR NABAWI</v>
      </c>
      <c r="C66" s="24" t="n">
        <f aca="false">'absensi setoran'!C66</f>
        <v>1</v>
      </c>
      <c r="D66" s="24"/>
      <c r="E66" s="24"/>
      <c r="F66" s="24" t="str">
        <f aca="false">B66</f>
        <v>MUHAMMAD DENMAR NABAWI</v>
      </c>
      <c r="G66" s="24"/>
      <c r="H66" s="24"/>
      <c r="I66" s="24" t="str">
        <f aca="false">B66</f>
        <v>MUHAMMAD DENMAR NABAWI</v>
      </c>
      <c r="J66" s="24"/>
      <c r="K66" s="24"/>
      <c r="L66" s="24" t="str">
        <f aca="false">B66</f>
        <v>MUHAMMAD DENMAR NABAWI</v>
      </c>
      <c r="M66" s="24"/>
      <c r="N66" s="24"/>
      <c r="O66" s="24" t="str">
        <f aca="false">B66</f>
        <v>MUHAMMAD DENMAR NABAWI</v>
      </c>
      <c r="P66" s="24"/>
      <c r="Q66" s="24"/>
      <c r="R66" s="24" t="str">
        <f aca="false">B66</f>
        <v>MUHAMMAD DENMAR NABAWI</v>
      </c>
      <c r="S66" s="24"/>
      <c r="T66" s="24"/>
      <c r="U66" s="24" t="n">
        <f aca="false">COUNTIF(B66:T66,"H")</f>
        <v>0</v>
      </c>
      <c r="V66" s="24" t="n">
        <f aca="false">COUNTIF(B66:T66,"ST")</f>
        <v>0</v>
      </c>
      <c r="W66" s="24" t="n">
        <f aca="false">COUNTIF(B66:T66,"I")</f>
        <v>0</v>
      </c>
      <c r="X66" s="24" t="n">
        <f aca="false">COUNTIF(B66:T66,"S")</f>
        <v>0</v>
      </c>
      <c r="Y66" s="24" t="n">
        <f aca="false">COUNTIF(B66:T66,"A")</f>
        <v>0</v>
      </c>
      <c r="Z66" s="24" t="str">
        <f aca="false">B66</f>
        <v>MUHAMMAD DENMAR NABAWI</v>
      </c>
    </row>
    <row r="67" customFormat="false" ht="15.75" hidden="false" customHeight="false" outlineLevel="0" collapsed="false">
      <c r="A67" s="24" t="n">
        <v>27</v>
      </c>
      <c r="B67" s="24" t="e">
        <f aca="false">'absensi setoran'!B67</f>
        <v>#REF!</v>
      </c>
      <c r="C67" s="24" t="e">
        <f aca="false">'absensi setoran'!C67</f>
        <v>#REF!</v>
      </c>
      <c r="D67" s="24"/>
      <c r="E67" s="24"/>
      <c r="F67" s="24" t="e">
        <f aca="false">B67</f>
        <v>#REF!</v>
      </c>
      <c r="G67" s="24"/>
      <c r="H67" s="24"/>
      <c r="I67" s="24" t="e">
        <f aca="false">B67</f>
        <v>#REF!</v>
      </c>
      <c r="J67" s="24"/>
      <c r="K67" s="24"/>
      <c r="L67" s="24" t="e">
        <f aca="false">B67</f>
        <v>#REF!</v>
      </c>
      <c r="M67" s="24"/>
      <c r="N67" s="24"/>
      <c r="O67" s="24" t="e">
        <f aca="false">B67</f>
        <v>#REF!</v>
      </c>
      <c r="P67" s="24"/>
      <c r="Q67" s="24"/>
      <c r="R67" s="24" t="e">
        <f aca="false">B67</f>
        <v>#REF!</v>
      </c>
      <c r="S67" s="24"/>
      <c r="T67" s="24"/>
      <c r="U67" s="24" t="n">
        <f aca="false">COUNTIF(B67:T67,"H")</f>
        <v>0</v>
      </c>
      <c r="V67" s="24" t="n">
        <f aca="false">COUNTIF(B67:T67,"ST")</f>
        <v>0</v>
      </c>
      <c r="W67" s="24" t="n">
        <f aca="false">COUNTIF(B67:T67,"I")</f>
        <v>0</v>
      </c>
      <c r="X67" s="24" t="n">
        <f aca="false">COUNTIF(B67:T67,"S")</f>
        <v>0</v>
      </c>
      <c r="Y67" s="24" t="n">
        <f aca="false">COUNTIF(B67:T67,"A")</f>
        <v>0</v>
      </c>
      <c r="Z67" s="24" t="e">
        <f aca="false">B67</f>
        <v>#REF!</v>
      </c>
    </row>
    <row r="68" customFormat="false" ht="15.75" hidden="false" customHeight="false" outlineLevel="0" collapsed="false">
      <c r="A68" s="24" t="n">
        <v>28</v>
      </c>
      <c r="B68" s="24" t="e">
        <f aca="false">'absensi setoran'!B68</f>
        <v>#REF!</v>
      </c>
      <c r="C68" s="24" t="e">
        <f aca="false">'absensi setoran'!C68</f>
        <v>#REF!</v>
      </c>
      <c r="D68" s="24"/>
      <c r="E68" s="24"/>
      <c r="F68" s="24" t="e">
        <f aca="false">B68</f>
        <v>#REF!</v>
      </c>
      <c r="G68" s="24"/>
      <c r="H68" s="24"/>
      <c r="I68" s="24" t="e">
        <f aca="false">B68</f>
        <v>#REF!</v>
      </c>
      <c r="J68" s="24"/>
      <c r="K68" s="24"/>
      <c r="L68" s="24" t="e">
        <f aca="false">B68</f>
        <v>#REF!</v>
      </c>
      <c r="M68" s="24"/>
      <c r="N68" s="24"/>
      <c r="O68" s="24" t="e">
        <f aca="false">B68</f>
        <v>#REF!</v>
      </c>
      <c r="P68" s="24"/>
      <c r="Q68" s="24"/>
      <c r="R68" s="24" t="e">
        <f aca="false">B68</f>
        <v>#REF!</v>
      </c>
      <c r="S68" s="24"/>
      <c r="T68" s="24"/>
      <c r="U68" s="24" t="n">
        <f aca="false">COUNTIF(B68:T68,"H")</f>
        <v>0</v>
      </c>
      <c r="V68" s="24" t="n">
        <f aca="false">COUNTIF(B68:T68,"ST")</f>
        <v>0</v>
      </c>
      <c r="W68" s="24" t="n">
        <f aca="false">COUNTIF(B68:T68,"I")</f>
        <v>0</v>
      </c>
      <c r="X68" s="24" t="n">
        <f aca="false">COUNTIF(B68:T68,"S")</f>
        <v>0</v>
      </c>
      <c r="Y68" s="24" t="n">
        <f aca="false">COUNTIF(B68:T68,"A")</f>
        <v>0</v>
      </c>
      <c r="Z68" s="24" t="e">
        <f aca="false">B68</f>
        <v>#REF!</v>
      </c>
    </row>
    <row r="69" customFormat="false" ht="15.75" hidden="false" customHeight="false" outlineLevel="0" collapsed="false">
      <c r="A69" s="19" t="s">
        <v>57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5.7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5.75" hidden="false" customHeight="tru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5.75" hidden="false" customHeight="false" outlineLevel="0" collapsed="false">
      <c r="A72" s="20" t="s">
        <v>299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customFormat="false" ht="15.75" hidden="false" customHeight="false" outlineLevel="0" collapsed="false">
      <c r="A73" s="21" t="s">
        <v>1</v>
      </c>
      <c r="B73" s="21" t="s">
        <v>2</v>
      </c>
      <c r="C73" s="22"/>
      <c r="D73" s="21" t="s">
        <v>135</v>
      </c>
      <c r="E73" s="21"/>
      <c r="F73" s="21" t="s">
        <v>2</v>
      </c>
      <c r="G73" s="21" t="s">
        <v>136</v>
      </c>
      <c r="H73" s="21"/>
      <c r="I73" s="21" t="s">
        <v>2</v>
      </c>
      <c r="J73" s="21" t="s">
        <v>137</v>
      </c>
      <c r="K73" s="21"/>
      <c r="L73" s="21" t="s">
        <v>2</v>
      </c>
      <c r="M73" s="21" t="s">
        <v>138</v>
      </c>
      <c r="N73" s="21"/>
      <c r="O73" s="21" t="s">
        <v>2</v>
      </c>
      <c r="P73" s="21" t="s">
        <v>139</v>
      </c>
      <c r="Q73" s="21"/>
      <c r="R73" s="21" t="s">
        <v>2</v>
      </c>
      <c r="S73" s="21" t="s">
        <v>140</v>
      </c>
      <c r="T73" s="21"/>
      <c r="U73" s="39" t="s">
        <v>49</v>
      </c>
      <c r="V73" s="39"/>
      <c r="W73" s="39"/>
      <c r="X73" s="39"/>
      <c r="Y73" s="39"/>
      <c r="Z73" s="39"/>
    </row>
    <row r="74" customFormat="false" ht="15.75" hidden="false" customHeight="false" outlineLevel="0" collapsed="false">
      <c r="A74" s="21"/>
      <c r="B74" s="21"/>
      <c r="C74" s="22" t="s">
        <v>50</v>
      </c>
      <c r="D74" s="40" t="s">
        <v>296</v>
      </c>
      <c r="E74" s="40" t="s">
        <v>303</v>
      </c>
      <c r="F74" s="21"/>
      <c r="G74" s="40" t="s">
        <v>296</v>
      </c>
      <c r="H74" s="40" t="s">
        <v>303</v>
      </c>
      <c r="I74" s="21"/>
      <c r="J74" s="40" t="s">
        <v>296</v>
      </c>
      <c r="K74" s="40" t="s">
        <v>303</v>
      </c>
      <c r="L74" s="21"/>
      <c r="M74" s="40" t="s">
        <v>296</v>
      </c>
      <c r="N74" s="40" t="s">
        <v>303</v>
      </c>
      <c r="O74" s="21"/>
      <c r="P74" s="40" t="s">
        <v>296</v>
      </c>
      <c r="Q74" s="40" t="s">
        <v>303</v>
      </c>
      <c r="R74" s="21"/>
      <c r="S74" s="40" t="s">
        <v>296</v>
      </c>
      <c r="T74" s="40" t="s">
        <v>303</v>
      </c>
      <c r="U74" s="24" t="s">
        <v>51</v>
      </c>
      <c r="V74" s="24" t="s">
        <v>52</v>
      </c>
      <c r="W74" s="24" t="s">
        <v>53</v>
      </c>
      <c r="X74" s="24" t="s">
        <v>54</v>
      </c>
      <c r="Y74" s="24" t="s">
        <v>55</v>
      </c>
      <c r="Z74" s="24"/>
    </row>
    <row r="75" customFormat="false" ht="15.75" hidden="false" customHeight="false" outlineLevel="0" collapsed="false">
      <c r="A75" s="24" t="n">
        <v>1</v>
      </c>
      <c r="B75" s="24" t="str">
        <f aca="false">'absensi setoran'!B75</f>
        <v>AYI KOSIM HATIMI</v>
      </c>
      <c r="C75" s="24" t="n">
        <f aca="false">'absensi setoran'!C75</f>
        <v>30</v>
      </c>
      <c r="D75" s="24"/>
      <c r="E75" s="24"/>
      <c r="F75" s="24" t="str">
        <f aca="false">B75</f>
        <v>AYI KOSIM HATIMI</v>
      </c>
      <c r="G75" s="24"/>
      <c r="H75" s="24"/>
      <c r="I75" s="24" t="str">
        <f aca="false">B75</f>
        <v>AYI KOSIM HATIMI</v>
      </c>
      <c r="J75" s="24"/>
      <c r="K75" s="24"/>
      <c r="L75" s="24" t="str">
        <f aca="false">B75</f>
        <v>AYI KOSIM HATIMI</v>
      </c>
      <c r="M75" s="24"/>
      <c r="N75" s="24"/>
      <c r="O75" s="24" t="str">
        <f aca="false">B75</f>
        <v>AYI KOSIM HATIMI</v>
      </c>
      <c r="P75" s="24"/>
      <c r="Q75" s="24"/>
      <c r="R75" s="24" t="str">
        <f aca="false">B75</f>
        <v>AYI KOSIM HATIMI</v>
      </c>
      <c r="S75" s="24"/>
      <c r="T75" s="24"/>
      <c r="U75" s="24" t="n">
        <f aca="false">COUNTIF(B75:T75,"H")</f>
        <v>0</v>
      </c>
      <c r="V75" s="24" t="n">
        <f aca="false">COUNTIF(B75:T75,"ST")</f>
        <v>0</v>
      </c>
      <c r="W75" s="24" t="n">
        <f aca="false">COUNTIF(B75:T75,"I")</f>
        <v>0</v>
      </c>
      <c r="X75" s="24" t="n">
        <f aca="false">COUNTIF(B75:T75,"S")</f>
        <v>0</v>
      </c>
      <c r="Y75" s="24" t="n">
        <f aca="false">COUNTIF(B75:T75,"A")</f>
        <v>0</v>
      </c>
      <c r="Z75" s="24" t="str">
        <f aca="false">B75</f>
        <v>AYI KOSIM HATIMI</v>
      </c>
    </row>
    <row r="76" customFormat="false" ht="15.75" hidden="false" customHeight="false" outlineLevel="0" collapsed="false">
      <c r="A76" s="24" t="n">
        <v>2</v>
      </c>
      <c r="B76" s="24" t="str">
        <f aca="false">'absensi setoran'!B76</f>
        <v>ABRURRAHMAN AFANDI</v>
      </c>
      <c r="C76" s="24" t="n">
        <f aca="false">'absensi setoran'!C76</f>
        <v>30</v>
      </c>
      <c r="D76" s="24"/>
      <c r="E76" s="24"/>
      <c r="F76" s="24" t="str">
        <f aca="false">B76</f>
        <v>ABRURRAHMAN AFANDI</v>
      </c>
      <c r="G76" s="24"/>
      <c r="H76" s="24"/>
      <c r="I76" s="24" t="str">
        <f aca="false">B76</f>
        <v>ABRURRAHMAN AFANDI</v>
      </c>
      <c r="J76" s="24"/>
      <c r="K76" s="24"/>
      <c r="L76" s="24" t="str">
        <f aca="false">B76</f>
        <v>ABRURRAHMAN AFANDI</v>
      </c>
      <c r="M76" s="24"/>
      <c r="N76" s="24"/>
      <c r="O76" s="24" t="str">
        <f aca="false">B76</f>
        <v>ABRURRAHMAN AFANDI</v>
      </c>
      <c r="P76" s="24"/>
      <c r="Q76" s="24"/>
      <c r="R76" s="24" t="str">
        <f aca="false">B76</f>
        <v>ABRURRAHMAN AFANDI</v>
      </c>
      <c r="S76" s="24"/>
      <c r="T76" s="24"/>
      <c r="U76" s="24" t="n">
        <f aca="false">COUNTIF(B76:T76,"H")</f>
        <v>0</v>
      </c>
      <c r="V76" s="24" t="n">
        <f aca="false">COUNTIF(B76:T76,"ST")</f>
        <v>0</v>
      </c>
      <c r="W76" s="24" t="n">
        <f aca="false">COUNTIF(B76:T76,"I")</f>
        <v>0</v>
      </c>
      <c r="X76" s="24" t="n">
        <f aca="false">COUNTIF(B76:T76,"S")</f>
        <v>0</v>
      </c>
      <c r="Y76" s="24" t="n">
        <f aca="false">COUNTIF(B76:T76,"A")</f>
        <v>0</v>
      </c>
      <c r="Z76" s="24" t="str">
        <f aca="false">B76</f>
        <v>ABRURRAHMAN AFANDI</v>
      </c>
    </row>
    <row r="77" customFormat="false" ht="15.75" hidden="false" customHeight="false" outlineLevel="0" collapsed="false">
      <c r="A77" s="24" t="n">
        <v>3</v>
      </c>
      <c r="B77" s="24" t="str">
        <f aca="false">'absensi setoran'!B77</f>
        <v>CECEP ABDULATIF</v>
      </c>
      <c r="C77" s="24" t="n">
        <f aca="false">'absensi setoran'!C77</f>
        <v>30</v>
      </c>
      <c r="D77" s="24"/>
      <c r="E77" s="24"/>
      <c r="F77" s="24" t="str">
        <f aca="false">B77</f>
        <v>CECEP ABDULATIF</v>
      </c>
      <c r="G77" s="24"/>
      <c r="H77" s="24"/>
      <c r="I77" s="24" t="str">
        <f aca="false">B77</f>
        <v>CECEP ABDULATIF</v>
      </c>
      <c r="J77" s="24"/>
      <c r="K77" s="24"/>
      <c r="L77" s="24" t="str">
        <f aca="false">B77</f>
        <v>CECEP ABDULATIF</v>
      </c>
      <c r="M77" s="24"/>
      <c r="N77" s="24"/>
      <c r="O77" s="24" t="str">
        <f aca="false">B77</f>
        <v>CECEP ABDULATIF</v>
      </c>
      <c r="P77" s="24"/>
      <c r="Q77" s="24"/>
      <c r="R77" s="24" t="str">
        <f aca="false">B77</f>
        <v>CECEP ABDULATIF</v>
      </c>
      <c r="S77" s="24"/>
      <c r="T77" s="24"/>
      <c r="U77" s="24" t="n">
        <f aca="false">COUNTIF(B77:T77,"H")</f>
        <v>0</v>
      </c>
      <c r="V77" s="24" t="n">
        <f aca="false">COUNTIF(B77:T77,"ST")</f>
        <v>0</v>
      </c>
      <c r="W77" s="24" t="n">
        <f aca="false">COUNTIF(B77:T77,"I")</f>
        <v>0</v>
      </c>
      <c r="X77" s="24" t="n">
        <f aca="false">COUNTIF(B77:T77,"S")</f>
        <v>0</v>
      </c>
      <c r="Y77" s="24" t="n">
        <f aca="false">COUNTIF(B77:T77,"A")</f>
        <v>0</v>
      </c>
      <c r="Z77" s="24" t="str">
        <f aca="false">B77</f>
        <v>CECEP ABDULATIF</v>
      </c>
    </row>
    <row r="78" customFormat="false" ht="15.75" hidden="false" customHeight="false" outlineLevel="0" collapsed="false">
      <c r="A78" s="24" t="n">
        <v>4</v>
      </c>
      <c r="B78" s="24" t="str">
        <f aca="false">'absensi setoran'!B78</f>
        <v>DONI SUPRIATNA</v>
      </c>
      <c r="C78" s="24" t="n">
        <f aca="false">'absensi setoran'!C78</f>
        <v>30</v>
      </c>
      <c r="D78" s="24"/>
      <c r="E78" s="24"/>
      <c r="F78" s="24" t="str">
        <f aca="false">B78</f>
        <v>DONI SUPRIATNA</v>
      </c>
      <c r="G78" s="24"/>
      <c r="H78" s="24"/>
      <c r="I78" s="24" t="str">
        <f aca="false">B78</f>
        <v>DONI SUPRIATNA</v>
      </c>
      <c r="J78" s="24"/>
      <c r="K78" s="24"/>
      <c r="L78" s="24" t="str">
        <f aca="false">B78</f>
        <v>DONI SUPRIATNA</v>
      </c>
      <c r="M78" s="24"/>
      <c r="N78" s="24"/>
      <c r="O78" s="24" t="str">
        <f aca="false">B78</f>
        <v>DONI SUPRIATNA</v>
      </c>
      <c r="P78" s="24"/>
      <c r="Q78" s="24"/>
      <c r="R78" s="24" t="str">
        <f aca="false">B78</f>
        <v>DONI SUPRIATNA</v>
      </c>
      <c r="S78" s="24"/>
      <c r="T78" s="24"/>
      <c r="U78" s="24" t="n">
        <f aca="false">COUNTIF(B78:T78,"H")</f>
        <v>0</v>
      </c>
      <c r="V78" s="24" t="n">
        <f aca="false">COUNTIF(B78:T78,"ST")</f>
        <v>0</v>
      </c>
      <c r="W78" s="24" t="n">
        <f aca="false">COUNTIF(B78:T78,"I")</f>
        <v>0</v>
      </c>
      <c r="X78" s="24" t="n">
        <f aca="false">COUNTIF(B78:T78,"S")</f>
        <v>0</v>
      </c>
      <c r="Y78" s="24" t="n">
        <f aca="false">COUNTIF(B78:T78,"A")</f>
        <v>0</v>
      </c>
      <c r="Z78" s="24" t="str">
        <f aca="false">B78</f>
        <v>DONI SUPRIATNA</v>
      </c>
    </row>
    <row r="79" customFormat="false" ht="15.75" hidden="false" customHeight="false" outlineLevel="0" collapsed="false">
      <c r="A79" s="24" t="n">
        <v>5</v>
      </c>
      <c r="B79" s="24" t="e">
        <f aca="false">'absensi setoran'!B79</f>
        <v>#REF!</v>
      </c>
      <c r="C79" s="24" t="e">
        <f aca="false">'absensi setoran'!C79</f>
        <v>#REF!</v>
      </c>
      <c r="D79" s="24"/>
      <c r="E79" s="24"/>
      <c r="F79" s="24" t="e">
        <f aca="false">B79</f>
        <v>#REF!</v>
      </c>
      <c r="G79" s="24"/>
      <c r="H79" s="24"/>
      <c r="I79" s="24" t="e">
        <f aca="false">B79</f>
        <v>#REF!</v>
      </c>
      <c r="J79" s="24"/>
      <c r="K79" s="24"/>
      <c r="L79" s="24" t="e">
        <f aca="false">B79</f>
        <v>#REF!</v>
      </c>
      <c r="M79" s="24"/>
      <c r="N79" s="24"/>
      <c r="O79" s="24" t="e">
        <f aca="false">B79</f>
        <v>#REF!</v>
      </c>
      <c r="P79" s="24"/>
      <c r="Q79" s="24"/>
      <c r="R79" s="24" t="e">
        <f aca="false">B79</f>
        <v>#REF!</v>
      </c>
      <c r="S79" s="24"/>
      <c r="T79" s="24"/>
      <c r="U79" s="24" t="n">
        <f aca="false">COUNTIF(B79:T79,"H")</f>
        <v>0</v>
      </c>
      <c r="V79" s="24" t="n">
        <f aca="false">COUNTIF(B79:T79,"ST")</f>
        <v>0</v>
      </c>
      <c r="W79" s="24" t="n">
        <f aca="false">COUNTIF(B79:T79,"I")</f>
        <v>0</v>
      </c>
      <c r="X79" s="24" t="n">
        <f aca="false">COUNTIF(B79:T79,"S")</f>
        <v>0</v>
      </c>
      <c r="Y79" s="24" t="n">
        <f aca="false">COUNTIF(B79:T79,"A")</f>
        <v>0</v>
      </c>
      <c r="Z79" s="24" t="e">
        <f aca="false">B79</f>
        <v>#REF!</v>
      </c>
    </row>
    <row r="80" customFormat="false" ht="15.75" hidden="false" customHeight="false" outlineLevel="0" collapsed="false">
      <c r="A80" s="24" t="n">
        <v>6</v>
      </c>
      <c r="B80" s="24" t="str">
        <f aca="false">'absensi setoran'!B80</f>
        <v>ZAKY AZHARI</v>
      </c>
      <c r="C80" s="24" t="n">
        <f aca="false">'absensi setoran'!C80</f>
        <v>30</v>
      </c>
      <c r="D80" s="24"/>
      <c r="E80" s="24"/>
      <c r="F80" s="24" t="str">
        <f aca="false">B80</f>
        <v>ZAKY AZHARI</v>
      </c>
      <c r="G80" s="24"/>
      <c r="H80" s="24"/>
      <c r="I80" s="24" t="str">
        <f aca="false">B80</f>
        <v>ZAKY AZHARI</v>
      </c>
      <c r="J80" s="24"/>
      <c r="K80" s="24"/>
      <c r="L80" s="24" t="str">
        <f aca="false">B80</f>
        <v>ZAKY AZHARI</v>
      </c>
      <c r="M80" s="24"/>
      <c r="N80" s="24"/>
      <c r="O80" s="24" t="str">
        <f aca="false">B80</f>
        <v>ZAKY AZHARI</v>
      </c>
      <c r="P80" s="24"/>
      <c r="Q80" s="24"/>
      <c r="R80" s="24" t="str">
        <f aca="false">B80</f>
        <v>ZAKY AZHARI</v>
      </c>
      <c r="S80" s="24"/>
      <c r="T80" s="24"/>
      <c r="U80" s="24" t="n">
        <f aca="false">COUNTIF(B80:T80,"H")</f>
        <v>0</v>
      </c>
      <c r="V80" s="24" t="n">
        <f aca="false">COUNTIF(B80:T80,"ST")</f>
        <v>0</v>
      </c>
      <c r="W80" s="24" t="n">
        <f aca="false">COUNTIF(B80:T80,"I")</f>
        <v>0</v>
      </c>
      <c r="X80" s="24" t="n">
        <f aca="false">COUNTIF(B80:T80,"S")</f>
        <v>0</v>
      </c>
      <c r="Y80" s="24" t="n">
        <f aca="false">COUNTIF(B80:T80,"A")</f>
        <v>0</v>
      </c>
      <c r="Z80" s="24" t="str">
        <f aca="false">B80</f>
        <v>ZAKY AZHARI</v>
      </c>
    </row>
    <row r="81" customFormat="false" ht="15.75" hidden="false" customHeight="false" outlineLevel="0" collapsed="false">
      <c r="A81" s="24" t="n">
        <v>7</v>
      </c>
      <c r="B81" s="24" t="str">
        <f aca="false">'absensi setoran'!B81</f>
        <v>MUHAMMAD FAUZIL ADZIM</v>
      </c>
      <c r="C81" s="24" t="n">
        <f aca="false">'absensi setoran'!C81</f>
        <v>30</v>
      </c>
      <c r="D81" s="24"/>
      <c r="E81" s="24"/>
      <c r="F81" s="24" t="str">
        <f aca="false">B81</f>
        <v>MUHAMMAD FAUZIL ADZIM</v>
      </c>
      <c r="G81" s="24"/>
      <c r="H81" s="24"/>
      <c r="I81" s="24" t="str">
        <f aca="false">B81</f>
        <v>MUHAMMAD FAUZIL ADZIM</v>
      </c>
      <c r="J81" s="24"/>
      <c r="K81" s="24"/>
      <c r="L81" s="24" t="str">
        <f aca="false">B81</f>
        <v>MUHAMMAD FAUZIL ADZIM</v>
      </c>
      <c r="M81" s="24"/>
      <c r="N81" s="24"/>
      <c r="O81" s="24" t="str">
        <f aca="false">B81</f>
        <v>MUHAMMAD FAUZIL ADZIM</v>
      </c>
      <c r="P81" s="24"/>
      <c r="Q81" s="24"/>
      <c r="R81" s="24" t="str">
        <f aca="false">B81</f>
        <v>MUHAMMAD FAUZIL ADZIM</v>
      </c>
      <c r="S81" s="24"/>
      <c r="T81" s="24"/>
      <c r="U81" s="24" t="n">
        <f aca="false">COUNTIF(B81:T81,"H")</f>
        <v>0</v>
      </c>
      <c r="V81" s="24" t="n">
        <f aca="false">COUNTIF(B81:T81,"ST")</f>
        <v>0</v>
      </c>
      <c r="W81" s="24" t="n">
        <f aca="false">COUNTIF(B81:T81,"I")</f>
        <v>0</v>
      </c>
      <c r="X81" s="24" t="n">
        <f aca="false">COUNTIF(B81:T81,"S")</f>
        <v>0</v>
      </c>
      <c r="Y81" s="24" t="n">
        <f aca="false">COUNTIF(B81:T81,"A")</f>
        <v>0</v>
      </c>
      <c r="Z81" s="24" t="str">
        <f aca="false">B81</f>
        <v>MUHAMMAD FAUZIL ADZIM</v>
      </c>
    </row>
    <row r="82" customFormat="false" ht="15.75" hidden="false" customHeight="false" outlineLevel="0" collapsed="false">
      <c r="A82" s="24" t="n">
        <v>8</v>
      </c>
      <c r="B82" s="24" t="str">
        <f aca="false">'absensi setoran'!B82</f>
        <v>MUHAMMAD DZIKRI HUSAENI</v>
      </c>
      <c r="C82" s="24" t="n">
        <f aca="false">'absensi setoran'!C82</f>
        <v>18</v>
      </c>
      <c r="D82" s="24"/>
      <c r="E82" s="24"/>
      <c r="F82" s="24" t="str">
        <f aca="false">B82</f>
        <v>MUHAMMAD DZIKRI HUSAENI</v>
      </c>
      <c r="G82" s="24"/>
      <c r="H82" s="24"/>
      <c r="I82" s="24" t="str">
        <f aca="false">B82</f>
        <v>MUHAMMAD DZIKRI HUSAENI</v>
      </c>
      <c r="J82" s="24"/>
      <c r="K82" s="24"/>
      <c r="L82" s="24" t="str">
        <f aca="false">B82</f>
        <v>MUHAMMAD DZIKRI HUSAENI</v>
      </c>
      <c r="M82" s="24"/>
      <c r="N82" s="24"/>
      <c r="O82" s="24" t="str">
        <f aca="false">B82</f>
        <v>MUHAMMAD DZIKRI HUSAENI</v>
      </c>
      <c r="P82" s="24"/>
      <c r="Q82" s="24"/>
      <c r="R82" s="24" t="str">
        <f aca="false">B82</f>
        <v>MUHAMMAD DZIKRI HUSAENI</v>
      </c>
      <c r="S82" s="24"/>
      <c r="T82" s="24"/>
      <c r="U82" s="24" t="n">
        <f aca="false">COUNTIF(B82:T82,"H")</f>
        <v>0</v>
      </c>
      <c r="V82" s="24" t="n">
        <f aca="false">COUNTIF(B82:T82,"ST")</f>
        <v>0</v>
      </c>
      <c r="W82" s="24" t="n">
        <f aca="false">COUNTIF(B82:T82,"I")</f>
        <v>0</v>
      </c>
      <c r="X82" s="24" t="n">
        <f aca="false">COUNTIF(B82:T82,"S")</f>
        <v>0</v>
      </c>
      <c r="Y82" s="24" t="n">
        <f aca="false">COUNTIF(B82:T82,"A")</f>
        <v>0</v>
      </c>
      <c r="Z82" s="24" t="str">
        <f aca="false">B82</f>
        <v>MUHAMMAD DZIKRI HUSAENI</v>
      </c>
    </row>
    <row r="83" customFormat="false" ht="15.75" hidden="false" customHeight="false" outlineLevel="0" collapsed="false">
      <c r="A83" s="24" t="n">
        <v>9</v>
      </c>
      <c r="B83" s="24" t="e">
        <f aca="false">'absensi setoran'!B83</f>
        <v>#REF!</v>
      </c>
      <c r="C83" s="24" t="e">
        <f aca="false">'absensi setoran'!C83</f>
        <v>#REF!</v>
      </c>
      <c r="D83" s="24"/>
      <c r="E83" s="24"/>
      <c r="F83" s="24" t="e">
        <f aca="false">B83</f>
        <v>#REF!</v>
      </c>
      <c r="G83" s="24"/>
      <c r="H83" s="24"/>
      <c r="I83" s="24" t="e">
        <f aca="false">B83</f>
        <v>#REF!</v>
      </c>
      <c r="J83" s="24"/>
      <c r="K83" s="24"/>
      <c r="L83" s="24" t="e">
        <f aca="false">B83</f>
        <v>#REF!</v>
      </c>
      <c r="M83" s="24"/>
      <c r="N83" s="24"/>
      <c r="O83" s="24" t="e">
        <f aca="false">B83</f>
        <v>#REF!</v>
      </c>
      <c r="P83" s="24"/>
      <c r="Q83" s="24"/>
      <c r="R83" s="24" t="e">
        <f aca="false">B83</f>
        <v>#REF!</v>
      </c>
      <c r="S83" s="24"/>
      <c r="T83" s="24"/>
      <c r="U83" s="24" t="n">
        <f aca="false">COUNTIF(B83:T83,"H")</f>
        <v>0</v>
      </c>
      <c r="V83" s="24" t="n">
        <f aca="false">COUNTIF(B83:T83,"ST")</f>
        <v>0</v>
      </c>
      <c r="W83" s="24" t="n">
        <f aca="false">COUNTIF(B83:T83,"I")</f>
        <v>0</v>
      </c>
      <c r="X83" s="24" t="n">
        <f aca="false">COUNTIF(B83:T83,"S")</f>
        <v>0</v>
      </c>
      <c r="Y83" s="24" t="n">
        <f aca="false">COUNTIF(B83:T83,"A")</f>
        <v>0</v>
      </c>
      <c r="Z83" s="24" t="e">
        <f aca="false">B83</f>
        <v>#REF!</v>
      </c>
    </row>
    <row r="84" customFormat="false" ht="15.75" hidden="false" customHeight="false" outlineLevel="0" collapsed="false">
      <c r="A84" s="24" t="n">
        <v>10</v>
      </c>
      <c r="B84" s="24" t="str">
        <f aca="false">'absensi setoran'!B84</f>
        <v>ABDUL KHOLIQ</v>
      </c>
      <c r="C84" s="24" t="n">
        <f aca="false">'absensi setoran'!C84</f>
        <v>14</v>
      </c>
      <c r="D84" s="24"/>
      <c r="E84" s="24"/>
      <c r="F84" s="24" t="str">
        <f aca="false">B84</f>
        <v>ABDUL KHOLIQ</v>
      </c>
      <c r="G84" s="24"/>
      <c r="H84" s="24"/>
      <c r="I84" s="24" t="str">
        <f aca="false">B84</f>
        <v>ABDUL KHOLIQ</v>
      </c>
      <c r="J84" s="24"/>
      <c r="K84" s="24"/>
      <c r="L84" s="24" t="str">
        <f aca="false">B84</f>
        <v>ABDUL KHOLIQ</v>
      </c>
      <c r="M84" s="24"/>
      <c r="N84" s="24"/>
      <c r="O84" s="24" t="str">
        <f aca="false">B84</f>
        <v>ABDUL KHOLIQ</v>
      </c>
      <c r="P84" s="24"/>
      <c r="Q84" s="24"/>
      <c r="R84" s="24" t="str">
        <f aca="false">B84</f>
        <v>ABDUL KHOLIQ</v>
      </c>
      <c r="S84" s="24"/>
      <c r="T84" s="24"/>
      <c r="U84" s="24" t="n">
        <f aca="false">COUNTIF(B84:T84,"H")</f>
        <v>0</v>
      </c>
      <c r="V84" s="24" t="n">
        <f aca="false">COUNTIF(B84:T84,"ST")</f>
        <v>0</v>
      </c>
      <c r="W84" s="24" t="n">
        <f aca="false">COUNTIF(B84:T84,"I")</f>
        <v>0</v>
      </c>
      <c r="X84" s="24" t="n">
        <f aca="false">COUNTIF(B84:T84,"S")</f>
        <v>0</v>
      </c>
      <c r="Y84" s="24" t="n">
        <f aca="false">COUNTIF(B84:T84,"A")</f>
        <v>0</v>
      </c>
      <c r="Z84" s="24" t="str">
        <f aca="false">B84</f>
        <v>ABDUL KHOLIQ</v>
      </c>
    </row>
    <row r="85" customFormat="false" ht="15.75" hidden="false" customHeight="false" outlineLevel="0" collapsed="false">
      <c r="A85" s="24" t="n">
        <v>11</v>
      </c>
      <c r="B85" s="24" t="str">
        <f aca="false">'absensi setoran'!B85</f>
        <v>IYAN FARID</v>
      </c>
      <c r="C85" s="24" t="n">
        <f aca="false">'absensi setoran'!C85</f>
        <v>13</v>
      </c>
      <c r="D85" s="24"/>
      <c r="E85" s="24"/>
      <c r="F85" s="24" t="str">
        <f aca="false">B85</f>
        <v>IYAN FARID</v>
      </c>
      <c r="G85" s="24"/>
      <c r="H85" s="24"/>
      <c r="I85" s="24" t="str">
        <f aca="false">B85</f>
        <v>IYAN FARID</v>
      </c>
      <c r="J85" s="24"/>
      <c r="K85" s="24"/>
      <c r="L85" s="24" t="str">
        <f aca="false">B85</f>
        <v>IYAN FARID</v>
      </c>
      <c r="M85" s="24"/>
      <c r="N85" s="24"/>
      <c r="O85" s="24" t="str">
        <f aca="false">B85</f>
        <v>IYAN FARID</v>
      </c>
      <c r="P85" s="24"/>
      <c r="Q85" s="24"/>
      <c r="R85" s="24" t="str">
        <f aca="false">B85</f>
        <v>IYAN FARID</v>
      </c>
      <c r="S85" s="24"/>
      <c r="T85" s="24"/>
      <c r="U85" s="24" t="n">
        <f aca="false">COUNTIF(B85:T85,"H")</f>
        <v>0</v>
      </c>
      <c r="V85" s="24" t="n">
        <f aca="false">COUNTIF(B85:T85,"ST")</f>
        <v>0</v>
      </c>
      <c r="W85" s="24" t="n">
        <f aca="false">COUNTIF(B85:T85,"I")</f>
        <v>0</v>
      </c>
      <c r="X85" s="24" t="n">
        <f aca="false">COUNTIF(B85:T85,"S")</f>
        <v>0</v>
      </c>
      <c r="Y85" s="24" t="n">
        <f aca="false">COUNTIF(B85:T85,"A")</f>
        <v>0</v>
      </c>
      <c r="Z85" s="24" t="str">
        <f aca="false">B85</f>
        <v>IYAN FARID</v>
      </c>
    </row>
    <row r="86" customFormat="false" ht="15.75" hidden="false" customHeight="false" outlineLevel="0" collapsed="false">
      <c r="A86" s="24" t="n">
        <v>12</v>
      </c>
      <c r="B86" s="24" t="str">
        <f aca="false">'absensi setoran'!B86</f>
        <v>ZAENI NURIL HIKAM</v>
      </c>
      <c r="C86" s="24" t="n">
        <f aca="false">'absensi setoran'!C86</f>
        <v>12</v>
      </c>
      <c r="D86" s="24"/>
      <c r="E86" s="24"/>
      <c r="F86" s="24" t="str">
        <f aca="false">B86</f>
        <v>ZAENI NURIL HIKAM</v>
      </c>
      <c r="G86" s="24"/>
      <c r="H86" s="24"/>
      <c r="I86" s="24" t="str">
        <f aca="false">B86</f>
        <v>ZAENI NURIL HIKAM</v>
      </c>
      <c r="J86" s="24"/>
      <c r="K86" s="24"/>
      <c r="L86" s="24" t="str">
        <f aca="false">B86</f>
        <v>ZAENI NURIL HIKAM</v>
      </c>
      <c r="M86" s="24"/>
      <c r="N86" s="24"/>
      <c r="O86" s="24" t="str">
        <f aca="false">B86</f>
        <v>ZAENI NURIL HIKAM</v>
      </c>
      <c r="P86" s="24"/>
      <c r="Q86" s="24"/>
      <c r="R86" s="24" t="str">
        <f aca="false">B86</f>
        <v>ZAENI NURIL HIKAM</v>
      </c>
      <c r="S86" s="24"/>
      <c r="T86" s="24"/>
      <c r="U86" s="24" t="n">
        <f aca="false">COUNTIF(B86:T86,"H")</f>
        <v>0</v>
      </c>
      <c r="V86" s="24" t="n">
        <f aca="false">COUNTIF(B86:T86,"ST")</f>
        <v>0</v>
      </c>
      <c r="W86" s="24" t="n">
        <f aca="false">COUNTIF(B86:T86,"I")</f>
        <v>0</v>
      </c>
      <c r="X86" s="24" t="n">
        <f aca="false">COUNTIF(B86:T86,"S")</f>
        <v>0</v>
      </c>
      <c r="Y86" s="24" t="n">
        <f aca="false">COUNTIF(B86:T86,"A")</f>
        <v>0</v>
      </c>
      <c r="Z86" s="24" t="str">
        <f aca="false">B86</f>
        <v>ZAENI NURIL HIKAM</v>
      </c>
    </row>
    <row r="87" customFormat="false" ht="15.75" hidden="false" customHeight="false" outlineLevel="0" collapsed="false">
      <c r="A87" s="24" t="n">
        <v>13</v>
      </c>
      <c r="B87" s="24" t="str">
        <f aca="false">'absensi setoran'!B87</f>
        <v>LUCKY KURNIAWAN</v>
      </c>
      <c r="C87" s="24" t="n">
        <f aca="false">'absensi setoran'!C87</f>
        <v>12</v>
      </c>
      <c r="D87" s="24"/>
      <c r="E87" s="24"/>
      <c r="F87" s="24" t="str">
        <f aca="false">B87</f>
        <v>LUCKY KURNIAWAN</v>
      </c>
      <c r="G87" s="24"/>
      <c r="H87" s="24"/>
      <c r="I87" s="24" t="str">
        <f aca="false">B87</f>
        <v>LUCKY KURNIAWAN</v>
      </c>
      <c r="J87" s="24"/>
      <c r="K87" s="24"/>
      <c r="L87" s="24" t="str">
        <f aca="false">B87</f>
        <v>LUCKY KURNIAWAN</v>
      </c>
      <c r="M87" s="24"/>
      <c r="N87" s="24"/>
      <c r="O87" s="24" t="str">
        <f aca="false">B87</f>
        <v>LUCKY KURNIAWAN</v>
      </c>
      <c r="P87" s="24"/>
      <c r="Q87" s="24"/>
      <c r="R87" s="24" t="str">
        <f aca="false">B87</f>
        <v>LUCKY KURNIAWAN</v>
      </c>
      <c r="S87" s="24"/>
      <c r="T87" s="24"/>
      <c r="U87" s="24" t="n">
        <f aca="false">COUNTIF(B87:T87,"H")</f>
        <v>0</v>
      </c>
      <c r="V87" s="24" t="n">
        <f aca="false">COUNTIF(B87:T87,"ST")</f>
        <v>0</v>
      </c>
      <c r="W87" s="24" t="n">
        <f aca="false">COUNTIF(B87:T87,"I")</f>
        <v>0</v>
      </c>
      <c r="X87" s="24" t="n">
        <f aca="false">COUNTIF(B87:T87,"S")</f>
        <v>0</v>
      </c>
      <c r="Y87" s="24" t="n">
        <f aca="false">COUNTIF(B87:T87,"A")</f>
        <v>0</v>
      </c>
      <c r="Z87" s="24" t="str">
        <f aca="false">B87</f>
        <v>LUCKY KURNIAWAN</v>
      </c>
    </row>
    <row r="88" customFormat="false" ht="15.75" hidden="false" customHeight="false" outlineLevel="0" collapsed="false">
      <c r="A88" s="24" t="n">
        <v>14</v>
      </c>
      <c r="B88" s="24" t="str">
        <f aca="false">'absensi setoran'!B88</f>
        <v>MUHAMMAD RAFIK MUHARAM</v>
      </c>
      <c r="C88" s="24" t="n">
        <f aca="false">'absensi setoran'!C88</f>
        <v>12</v>
      </c>
      <c r="D88" s="24"/>
      <c r="E88" s="24"/>
      <c r="F88" s="24" t="str">
        <f aca="false">B88</f>
        <v>MUHAMMAD RAFIK MUHARAM</v>
      </c>
      <c r="G88" s="24"/>
      <c r="H88" s="24"/>
      <c r="I88" s="24" t="str">
        <f aca="false">B88</f>
        <v>MUHAMMAD RAFIK MUHARAM</v>
      </c>
      <c r="J88" s="24"/>
      <c r="K88" s="24"/>
      <c r="L88" s="24" t="str">
        <f aca="false">B88</f>
        <v>MUHAMMAD RAFIK MUHARAM</v>
      </c>
      <c r="M88" s="24"/>
      <c r="N88" s="24"/>
      <c r="O88" s="24" t="str">
        <f aca="false">B88</f>
        <v>MUHAMMAD RAFIK MUHARAM</v>
      </c>
      <c r="P88" s="24"/>
      <c r="Q88" s="24"/>
      <c r="R88" s="24" t="str">
        <f aca="false">B88</f>
        <v>MUHAMMAD RAFIK MUHARAM</v>
      </c>
      <c r="S88" s="24"/>
      <c r="T88" s="24"/>
      <c r="U88" s="24" t="n">
        <f aca="false">COUNTIF(B88:T88,"H")</f>
        <v>0</v>
      </c>
      <c r="V88" s="24" t="n">
        <f aca="false">COUNTIF(B88:T88,"ST")</f>
        <v>0</v>
      </c>
      <c r="W88" s="24" t="n">
        <f aca="false">COUNTIF(B88:T88,"I")</f>
        <v>0</v>
      </c>
      <c r="X88" s="24" t="n">
        <f aca="false">COUNTIF(B88:T88,"S")</f>
        <v>0</v>
      </c>
      <c r="Y88" s="24" t="n">
        <f aca="false">COUNTIF(B88:T88,"A")</f>
        <v>0</v>
      </c>
      <c r="Z88" s="24" t="str">
        <f aca="false">B88</f>
        <v>MUHAMMAD RAFIK MUHARAM</v>
      </c>
    </row>
    <row r="89" customFormat="false" ht="15.75" hidden="false" customHeight="false" outlineLevel="0" collapsed="false">
      <c r="A89" s="24" t="n">
        <v>15</v>
      </c>
      <c r="B89" s="24" t="str">
        <f aca="false">'absensi setoran'!B89</f>
        <v>UMAR ABDUL MALIK</v>
      </c>
      <c r="C89" s="24" t="n">
        <f aca="false">'absensi setoran'!C89</f>
        <v>11</v>
      </c>
      <c r="D89" s="24"/>
      <c r="E89" s="24"/>
      <c r="F89" s="24" t="str">
        <f aca="false">B89</f>
        <v>UMAR ABDUL MALIK</v>
      </c>
      <c r="G89" s="24"/>
      <c r="H89" s="24"/>
      <c r="I89" s="24" t="str">
        <f aca="false">B89</f>
        <v>UMAR ABDUL MALIK</v>
      </c>
      <c r="J89" s="24"/>
      <c r="K89" s="24"/>
      <c r="L89" s="24" t="str">
        <f aca="false">B89</f>
        <v>UMAR ABDUL MALIK</v>
      </c>
      <c r="M89" s="24"/>
      <c r="N89" s="24"/>
      <c r="O89" s="24" t="str">
        <f aca="false">B89</f>
        <v>UMAR ABDUL MALIK</v>
      </c>
      <c r="P89" s="24"/>
      <c r="Q89" s="24"/>
      <c r="R89" s="24" t="str">
        <f aca="false">B89</f>
        <v>UMAR ABDUL MALIK</v>
      </c>
      <c r="S89" s="24"/>
      <c r="T89" s="24"/>
      <c r="U89" s="24" t="n">
        <f aca="false">COUNTIF(B89:T89,"H")</f>
        <v>0</v>
      </c>
      <c r="V89" s="24" t="n">
        <f aca="false">COUNTIF(B89:T89,"ST")</f>
        <v>0</v>
      </c>
      <c r="W89" s="24" t="n">
        <f aca="false">COUNTIF(B89:T89,"I")</f>
        <v>0</v>
      </c>
      <c r="X89" s="24" t="n">
        <f aca="false">COUNTIF(B89:T89,"S")</f>
        <v>0</v>
      </c>
      <c r="Y89" s="24" t="n">
        <f aca="false">COUNTIF(B89:T89,"A")</f>
        <v>0</v>
      </c>
      <c r="Z89" s="24" t="str">
        <f aca="false">B89</f>
        <v>UMAR ABDUL MALIK</v>
      </c>
    </row>
    <row r="90" customFormat="false" ht="15.75" hidden="false" customHeight="false" outlineLevel="0" collapsed="false">
      <c r="A90" s="24" t="n">
        <v>16</v>
      </c>
      <c r="B90" s="24" t="str">
        <f aca="false">'absensi setoran'!B90</f>
        <v>AHMAD HAFIDZ ALHAWARI</v>
      </c>
      <c r="C90" s="24" t="n">
        <f aca="false">'absensi setoran'!C90</f>
        <v>10</v>
      </c>
      <c r="D90" s="24"/>
      <c r="E90" s="24"/>
      <c r="F90" s="24" t="str">
        <f aca="false">B90</f>
        <v>AHMAD HAFIDZ ALHAWARI</v>
      </c>
      <c r="G90" s="24"/>
      <c r="H90" s="24"/>
      <c r="I90" s="24" t="str">
        <f aca="false">B90</f>
        <v>AHMAD HAFIDZ ALHAWARI</v>
      </c>
      <c r="J90" s="24"/>
      <c r="K90" s="24"/>
      <c r="L90" s="24" t="str">
        <f aca="false">B90</f>
        <v>AHMAD HAFIDZ ALHAWARI</v>
      </c>
      <c r="M90" s="24"/>
      <c r="N90" s="24"/>
      <c r="O90" s="24" t="str">
        <f aca="false">B90</f>
        <v>AHMAD HAFIDZ ALHAWARI</v>
      </c>
      <c r="P90" s="24"/>
      <c r="Q90" s="24"/>
      <c r="R90" s="24" t="str">
        <f aca="false">B90</f>
        <v>AHMAD HAFIDZ ALHAWARI</v>
      </c>
      <c r="S90" s="24"/>
      <c r="T90" s="24"/>
      <c r="U90" s="24" t="n">
        <f aca="false">COUNTIF(B90:T90,"H")</f>
        <v>0</v>
      </c>
      <c r="V90" s="24" t="n">
        <f aca="false">COUNTIF(B90:T90,"ST")</f>
        <v>0</v>
      </c>
      <c r="W90" s="24" t="n">
        <f aca="false">COUNTIF(B90:T90,"I")</f>
        <v>0</v>
      </c>
      <c r="X90" s="24" t="n">
        <f aca="false">COUNTIF(B90:T90,"S")</f>
        <v>0</v>
      </c>
      <c r="Y90" s="24" t="n">
        <f aca="false">COUNTIF(B90:T90,"A")</f>
        <v>0</v>
      </c>
      <c r="Z90" s="24" t="str">
        <f aca="false">B90</f>
        <v>AHMAD HAFIDZ ALHAWARI</v>
      </c>
    </row>
    <row r="91" customFormat="false" ht="15.75" hidden="false" customHeight="false" outlineLevel="0" collapsed="false">
      <c r="A91" s="24" t="n">
        <v>17</v>
      </c>
      <c r="B91" s="24" t="str">
        <f aca="false">'absensi setoran'!B91</f>
        <v>MUHAMMAD FAUZAN</v>
      </c>
      <c r="C91" s="24" t="n">
        <f aca="false">'absensi setoran'!C91</f>
        <v>10</v>
      </c>
      <c r="D91" s="24"/>
      <c r="E91" s="24"/>
      <c r="F91" s="24" t="str">
        <f aca="false">B91</f>
        <v>MUHAMMAD FAUZAN</v>
      </c>
      <c r="G91" s="24"/>
      <c r="H91" s="24"/>
      <c r="I91" s="24" t="str">
        <f aca="false">B91</f>
        <v>MUHAMMAD FAUZAN</v>
      </c>
      <c r="J91" s="24"/>
      <c r="K91" s="24"/>
      <c r="L91" s="24" t="str">
        <f aca="false">B91</f>
        <v>MUHAMMAD FAUZAN</v>
      </c>
      <c r="M91" s="24"/>
      <c r="N91" s="24"/>
      <c r="O91" s="24" t="str">
        <f aca="false">B91</f>
        <v>MUHAMMAD FAUZAN</v>
      </c>
      <c r="P91" s="24"/>
      <c r="Q91" s="24"/>
      <c r="R91" s="24" t="str">
        <f aca="false">B91</f>
        <v>MUHAMMAD FAUZAN</v>
      </c>
      <c r="S91" s="24"/>
      <c r="T91" s="24"/>
      <c r="U91" s="24" t="n">
        <f aca="false">COUNTIF(B91:T91,"H")</f>
        <v>0</v>
      </c>
      <c r="V91" s="24" t="n">
        <f aca="false">COUNTIF(B91:T91,"ST")</f>
        <v>0</v>
      </c>
      <c r="W91" s="24" t="n">
        <f aca="false">COUNTIF(B91:T91,"I")</f>
        <v>0</v>
      </c>
      <c r="X91" s="24" t="n">
        <f aca="false">COUNTIF(B91:T91,"S")</f>
        <v>0</v>
      </c>
      <c r="Y91" s="24" t="n">
        <f aca="false">COUNTIF(B91:T91,"A")</f>
        <v>0</v>
      </c>
      <c r="Z91" s="24" t="str">
        <f aca="false">B91</f>
        <v>MUHAMMAD FAUZAN</v>
      </c>
    </row>
    <row r="92" customFormat="false" ht="15.75" hidden="false" customHeight="false" outlineLevel="0" collapsed="false">
      <c r="A92" s="24" t="n">
        <v>18</v>
      </c>
      <c r="B92" s="24" t="str">
        <f aca="false">'absensi setoran'!B92</f>
        <v>AKBAR RAMADAN</v>
      </c>
      <c r="C92" s="24" t="n">
        <f aca="false">'absensi setoran'!C92</f>
        <v>9</v>
      </c>
      <c r="D92" s="24"/>
      <c r="E92" s="24"/>
      <c r="F92" s="24" t="str">
        <f aca="false">B92</f>
        <v>AKBAR RAMADAN</v>
      </c>
      <c r="G92" s="24"/>
      <c r="H92" s="24"/>
      <c r="I92" s="24" t="str">
        <f aca="false">B92</f>
        <v>AKBAR RAMADAN</v>
      </c>
      <c r="J92" s="24"/>
      <c r="K92" s="24"/>
      <c r="L92" s="24" t="str">
        <f aca="false">B92</f>
        <v>AKBAR RAMADAN</v>
      </c>
      <c r="M92" s="24"/>
      <c r="N92" s="24"/>
      <c r="O92" s="24" t="str">
        <f aca="false">B92</f>
        <v>AKBAR RAMADAN</v>
      </c>
      <c r="P92" s="24"/>
      <c r="Q92" s="24"/>
      <c r="R92" s="24" t="str">
        <f aca="false">B92</f>
        <v>AKBAR RAMADAN</v>
      </c>
      <c r="S92" s="24"/>
      <c r="T92" s="24"/>
      <c r="U92" s="24" t="n">
        <f aca="false">COUNTIF(B92:T92,"H")</f>
        <v>0</v>
      </c>
      <c r="V92" s="24" t="n">
        <f aca="false">COUNTIF(B92:T92,"ST")</f>
        <v>0</v>
      </c>
      <c r="W92" s="24" t="n">
        <f aca="false">COUNTIF(B92:T92,"I")</f>
        <v>0</v>
      </c>
      <c r="X92" s="24" t="n">
        <f aca="false">COUNTIF(B92:T92,"S")</f>
        <v>0</v>
      </c>
      <c r="Y92" s="24" t="n">
        <f aca="false">COUNTIF(B92:T92,"A")</f>
        <v>0</v>
      </c>
      <c r="Z92" s="24" t="str">
        <f aca="false">B92</f>
        <v>AKBAR RAMADAN</v>
      </c>
    </row>
    <row r="93" customFormat="false" ht="15.75" hidden="false" customHeight="false" outlineLevel="0" collapsed="false">
      <c r="A93" s="24" t="n">
        <v>19</v>
      </c>
      <c r="B93" s="24" t="e">
        <f aca="false">'absensi setoran'!B93</f>
        <v>#REF!</v>
      </c>
      <c r="C93" s="24" t="e">
        <f aca="false">'absensi setoran'!C93</f>
        <v>#REF!</v>
      </c>
      <c r="D93" s="24"/>
      <c r="E93" s="24"/>
      <c r="F93" s="24" t="e">
        <f aca="false">B93</f>
        <v>#REF!</v>
      </c>
      <c r="G93" s="24"/>
      <c r="H93" s="24"/>
      <c r="I93" s="24" t="e">
        <f aca="false">B93</f>
        <v>#REF!</v>
      </c>
      <c r="J93" s="24"/>
      <c r="K93" s="24"/>
      <c r="L93" s="24" t="e">
        <f aca="false">B93</f>
        <v>#REF!</v>
      </c>
      <c r="M93" s="24"/>
      <c r="N93" s="24"/>
      <c r="O93" s="24" t="e">
        <f aca="false">B93</f>
        <v>#REF!</v>
      </c>
      <c r="P93" s="24"/>
      <c r="Q93" s="24"/>
      <c r="R93" s="24" t="e">
        <f aca="false">B93</f>
        <v>#REF!</v>
      </c>
      <c r="S93" s="24"/>
      <c r="T93" s="24"/>
      <c r="U93" s="24" t="n">
        <f aca="false">COUNTIF(B93:T93,"H")</f>
        <v>0</v>
      </c>
      <c r="V93" s="24" t="n">
        <f aca="false">COUNTIF(B93:T93,"ST")</f>
        <v>0</v>
      </c>
      <c r="W93" s="24" t="n">
        <f aca="false">COUNTIF(B93:T93,"I")</f>
        <v>0</v>
      </c>
      <c r="X93" s="24" t="n">
        <f aca="false">COUNTIF(B93:T93,"S")</f>
        <v>0</v>
      </c>
      <c r="Y93" s="24" t="n">
        <f aca="false">COUNTIF(B93:T93,"A")</f>
        <v>0</v>
      </c>
      <c r="Z93" s="24" t="e">
        <f aca="false">B93</f>
        <v>#REF!</v>
      </c>
    </row>
    <row r="94" customFormat="false" ht="15.75" hidden="false" customHeight="false" outlineLevel="0" collapsed="false">
      <c r="A94" s="24" t="n">
        <v>20</v>
      </c>
      <c r="B94" s="24" t="str">
        <f aca="false">'absensi setoran'!B94</f>
        <v>ABIDZAR ALGHIFARI</v>
      </c>
      <c r="C94" s="24" t="n">
        <f aca="false">'absensi setoran'!C94</f>
        <v>8</v>
      </c>
      <c r="D94" s="24"/>
      <c r="E94" s="24"/>
      <c r="F94" s="24" t="str">
        <f aca="false">B94</f>
        <v>ABIDZAR ALGHIFARI</v>
      </c>
      <c r="G94" s="24"/>
      <c r="H94" s="24"/>
      <c r="I94" s="24" t="str">
        <f aca="false">B94</f>
        <v>ABIDZAR ALGHIFARI</v>
      </c>
      <c r="J94" s="24"/>
      <c r="K94" s="24"/>
      <c r="L94" s="24" t="str">
        <f aca="false">B94</f>
        <v>ABIDZAR ALGHIFARI</v>
      </c>
      <c r="M94" s="24"/>
      <c r="N94" s="24"/>
      <c r="O94" s="24" t="str">
        <f aca="false">B94</f>
        <v>ABIDZAR ALGHIFARI</v>
      </c>
      <c r="P94" s="24"/>
      <c r="Q94" s="24"/>
      <c r="R94" s="24" t="str">
        <f aca="false">B94</f>
        <v>ABIDZAR ALGHIFARI</v>
      </c>
      <c r="S94" s="24"/>
      <c r="T94" s="24"/>
      <c r="U94" s="24" t="n">
        <f aca="false">COUNTIF(B94:T94,"H")</f>
        <v>0</v>
      </c>
      <c r="V94" s="24" t="n">
        <f aca="false">COUNTIF(B94:T94,"ST")</f>
        <v>0</v>
      </c>
      <c r="W94" s="24" t="n">
        <f aca="false">COUNTIF(B94:T94,"I")</f>
        <v>0</v>
      </c>
      <c r="X94" s="24" t="n">
        <f aca="false">COUNTIF(B94:T94,"S")</f>
        <v>0</v>
      </c>
      <c r="Y94" s="24" t="n">
        <f aca="false">COUNTIF(B94:T94,"A")</f>
        <v>0</v>
      </c>
      <c r="Z94" s="24" t="str">
        <f aca="false">B94</f>
        <v>ABIDZAR ALGHIFARI</v>
      </c>
    </row>
    <row r="95" customFormat="false" ht="15.75" hidden="false" customHeight="false" outlineLevel="0" collapsed="false">
      <c r="A95" s="24" t="n">
        <v>21</v>
      </c>
      <c r="B95" s="24" t="str">
        <f aca="false">'absensi setoran'!B95</f>
        <v>KAFY MUHAMMAD AZIZY</v>
      </c>
      <c r="C95" s="24" t="n">
        <f aca="false">'absensi setoran'!C95</f>
        <v>7</v>
      </c>
      <c r="D95" s="24"/>
      <c r="E95" s="24"/>
      <c r="F95" s="24" t="str">
        <f aca="false">B95</f>
        <v>KAFY MUHAMMAD AZIZY</v>
      </c>
      <c r="G95" s="24"/>
      <c r="H95" s="24"/>
      <c r="I95" s="24" t="str">
        <f aca="false">B95</f>
        <v>KAFY MUHAMMAD AZIZY</v>
      </c>
      <c r="J95" s="24"/>
      <c r="K95" s="24"/>
      <c r="L95" s="24" t="str">
        <f aca="false">B95</f>
        <v>KAFY MUHAMMAD AZIZY</v>
      </c>
      <c r="M95" s="24"/>
      <c r="N95" s="24"/>
      <c r="O95" s="24" t="str">
        <f aca="false">B95</f>
        <v>KAFY MUHAMMAD AZIZY</v>
      </c>
      <c r="P95" s="24"/>
      <c r="Q95" s="24"/>
      <c r="R95" s="24" t="str">
        <f aca="false">B95</f>
        <v>KAFY MUHAMMAD AZIZY</v>
      </c>
      <c r="S95" s="24"/>
      <c r="T95" s="24"/>
      <c r="U95" s="24" t="n">
        <f aca="false">COUNTIF(B95:T95,"H")</f>
        <v>0</v>
      </c>
      <c r="V95" s="24" t="n">
        <f aca="false">COUNTIF(B95:T95,"ST")</f>
        <v>0</v>
      </c>
      <c r="W95" s="24" t="n">
        <f aca="false">COUNTIF(B95:T95,"I")</f>
        <v>0</v>
      </c>
      <c r="X95" s="24" t="n">
        <f aca="false">COUNTIF(B95:T95,"S")</f>
        <v>0</v>
      </c>
      <c r="Y95" s="24" t="n">
        <f aca="false">COUNTIF(B95:T95,"A")</f>
        <v>0</v>
      </c>
      <c r="Z95" s="24" t="str">
        <f aca="false">B95</f>
        <v>KAFY MUHAMMAD AZIZY</v>
      </c>
    </row>
    <row r="96" customFormat="false" ht="15.75" hidden="false" customHeight="false" outlineLevel="0" collapsed="false">
      <c r="A96" s="24" t="n">
        <v>22</v>
      </c>
      <c r="B96" s="24" t="e">
        <f aca="false">'absensi setoran'!B96</f>
        <v>#REF!</v>
      </c>
      <c r="C96" s="24" t="e">
        <f aca="false">'absensi setoran'!C96</f>
        <v>#REF!</v>
      </c>
      <c r="D96" s="24"/>
      <c r="E96" s="24"/>
      <c r="F96" s="24" t="e">
        <f aca="false">B96</f>
        <v>#REF!</v>
      </c>
      <c r="G96" s="24"/>
      <c r="H96" s="24"/>
      <c r="I96" s="24" t="e">
        <f aca="false">B96</f>
        <v>#REF!</v>
      </c>
      <c r="J96" s="24"/>
      <c r="K96" s="24"/>
      <c r="L96" s="24" t="e">
        <f aca="false">B96</f>
        <v>#REF!</v>
      </c>
      <c r="M96" s="24"/>
      <c r="N96" s="24"/>
      <c r="O96" s="24" t="e">
        <f aca="false">B96</f>
        <v>#REF!</v>
      </c>
      <c r="P96" s="24"/>
      <c r="Q96" s="24"/>
      <c r="R96" s="24" t="e">
        <f aca="false">B96</f>
        <v>#REF!</v>
      </c>
      <c r="S96" s="24"/>
      <c r="T96" s="24"/>
      <c r="U96" s="24" t="n">
        <f aca="false">COUNTIF(B96:T96,"H")</f>
        <v>0</v>
      </c>
      <c r="V96" s="24" t="n">
        <f aca="false">COUNTIF(B96:T96,"ST")</f>
        <v>0</v>
      </c>
      <c r="W96" s="24" t="n">
        <f aca="false">COUNTIF(B96:T96,"I")</f>
        <v>0</v>
      </c>
      <c r="X96" s="24" t="n">
        <f aca="false">COUNTIF(B96:T96,"S")</f>
        <v>0</v>
      </c>
      <c r="Y96" s="24" t="n">
        <f aca="false">COUNTIF(B96:T96,"A")</f>
        <v>0</v>
      </c>
      <c r="Z96" s="24" t="e">
        <f aca="false">B96</f>
        <v>#REF!</v>
      </c>
    </row>
    <row r="97" customFormat="false" ht="15.75" hidden="false" customHeight="false" outlineLevel="0" collapsed="false">
      <c r="A97" s="24" t="n">
        <v>23</v>
      </c>
      <c r="B97" s="24" t="str">
        <f aca="false">'absensi setoran'!B97</f>
        <v>MUHAMMAD MUNAWWAR KHOLIL</v>
      </c>
      <c r="C97" s="24" t="str">
        <f aca="false">'absensi setoran'!C97</f>
        <v>Tahsin</v>
      </c>
      <c r="D97" s="24"/>
      <c r="E97" s="24"/>
      <c r="F97" s="24" t="str">
        <f aca="false">B97</f>
        <v>MUHAMMAD MUNAWWAR KHOLIL</v>
      </c>
      <c r="G97" s="24"/>
      <c r="H97" s="24"/>
      <c r="I97" s="24" t="str">
        <f aca="false">B97</f>
        <v>MUHAMMAD MUNAWWAR KHOLIL</v>
      </c>
      <c r="J97" s="24"/>
      <c r="K97" s="24"/>
      <c r="L97" s="24" t="str">
        <f aca="false">B97</f>
        <v>MUHAMMAD MUNAWWAR KHOLIL</v>
      </c>
      <c r="M97" s="24"/>
      <c r="N97" s="24"/>
      <c r="O97" s="24" t="str">
        <f aca="false">B97</f>
        <v>MUHAMMAD MUNAWWAR KHOLIL</v>
      </c>
      <c r="P97" s="24"/>
      <c r="Q97" s="24"/>
      <c r="R97" s="24" t="str">
        <f aca="false">B97</f>
        <v>MUHAMMAD MUNAWWAR KHOLIL</v>
      </c>
      <c r="S97" s="24"/>
      <c r="T97" s="24"/>
      <c r="U97" s="24" t="n">
        <f aca="false">COUNTIF(B97:T97,"H")</f>
        <v>0</v>
      </c>
      <c r="V97" s="24" t="n">
        <f aca="false">COUNTIF(B97:T97,"ST")</f>
        <v>0</v>
      </c>
      <c r="W97" s="24" t="n">
        <f aca="false">COUNTIF(B97:T97,"I")</f>
        <v>0</v>
      </c>
      <c r="X97" s="24" t="n">
        <f aca="false">COUNTIF(B97:T97,"S")</f>
        <v>0</v>
      </c>
      <c r="Y97" s="24" t="n">
        <f aca="false">COUNTIF(B97:T97,"A")</f>
        <v>0</v>
      </c>
      <c r="Z97" s="24" t="str">
        <f aca="false">B97</f>
        <v>MUHAMMAD MUNAWWAR KHOLIL</v>
      </c>
    </row>
    <row r="98" customFormat="false" ht="15.75" hidden="false" customHeight="false" outlineLevel="0" collapsed="false">
      <c r="A98" s="24" t="n">
        <v>24</v>
      </c>
      <c r="B98" s="24" t="str">
        <f aca="false">'absensi setoran'!B98</f>
        <v>ALWI</v>
      </c>
      <c r="C98" s="24" t="str">
        <f aca="false">'absensi setoran'!C98</f>
        <v>Tahsin</v>
      </c>
      <c r="D98" s="24"/>
      <c r="E98" s="24"/>
      <c r="F98" s="24" t="str">
        <f aca="false">B98</f>
        <v>ALWI</v>
      </c>
      <c r="G98" s="24"/>
      <c r="H98" s="24"/>
      <c r="I98" s="24" t="str">
        <f aca="false">B98</f>
        <v>ALWI</v>
      </c>
      <c r="J98" s="24"/>
      <c r="K98" s="24"/>
      <c r="L98" s="24" t="str">
        <f aca="false">B98</f>
        <v>ALWI</v>
      </c>
      <c r="M98" s="24"/>
      <c r="N98" s="24"/>
      <c r="O98" s="24" t="str">
        <f aca="false">B98</f>
        <v>ALWI</v>
      </c>
      <c r="P98" s="24"/>
      <c r="Q98" s="24"/>
      <c r="R98" s="24" t="str">
        <f aca="false">B98</f>
        <v>ALWI</v>
      </c>
      <c r="S98" s="24"/>
      <c r="T98" s="24"/>
      <c r="U98" s="24" t="n">
        <f aca="false">COUNTIF(B98:T98,"H")</f>
        <v>0</v>
      </c>
      <c r="V98" s="24" t="n">
        <f aca="false">COUNTIF(B98:T98,"ST")</f>
        <v>0</v>
      </c>
      <c r="W98" s="24" t="n">
        <f aca="false">COUNTIF(B98:T98,"I")</f>
        <v>0</v>
      </c>
      <c r="X98" s="24" t="n">
        <f aca="false">COUNTIF(B98:T98,"S")</f>
        <v>0</v>
      </c>
      <c r="Y98" s="24" t="n">
        <f aca="false">COUNTIF(B98:T98,"A")</f>
        <v>0</v>
      </c>
      <c r="Z98" s="24" t="str">
        <f aca="false">B98</f>
        <v>ALWI</v>
      </c>
    </row>
    <row r="99" customFormat="false" ht="15.75" hidden="false" customHeight="false" outlineLevel="0" collapsed="false">
      <c r="A99" s="24" t="n">
        <v>25</v>
      </c>
      <c r="B99" s="24" t="str">
        <f aca="false">'absensi setoran'!B99</f>
        <v>PIRMAN</v>
      </c>
      <c r="C99" s="24" t="str">
        <f aca="false">'absensi setoran'!C99</f>
        <v>Tahsin</v>
      </c>
      <c r="D99" s="24"/>
      <c r="E99" s="24"/>
      <c r="F99" s="24" t="str">
        <f aca="false">B99</f>
        <v>PIRMAN</v>
      </c>
      <c r="G99" s="24"/>
      <c r="H99" s="24"/>
      <c r="I99" s="24" t="str">
        <f aca="false">B99</f>
        <v>PIRMAN</v>
      </c>
      <c r="J99" s="24"/>
      <c r="K99" s="24"/>
      <c r="L99" s="24" t="str">
        <f aca="false">B99</f>
        <v>PIRMAN</v>
      </c>
      <c r="M99" s="24"/>
      <c r="N99" s="24"/>
      <c r="O99" s="24" t="str">
        <f aca="false">B99</f>
        <v>PIRMAN</v>
      </c>
      <c r="P99" s="24"/>
      <c r="Q99" s="24"/>
      <c r="R99" s="24" t="str">
        <f aca="false">B99</f>
        <v>PIRMAN</v>
      </c>
      <c r="S99" s="24"/>
      <c r="T99" s="24"/>
      <c r="U99" s="24" t="n">
        <f aca="false">COUNTIF(B99:T99,"H")</f>
        <v>0</v>
      </c>
      <c r="V99" s="24" t="n">
        <f aca="false">COUNTIF(B99:T99,"ST")</f>
        <v>0</v>
      </c>
      <c r="W99" s="24" t="n">
        <f aca="false">COUNTIF(B99:T99,"I")</f>
        <v>0</v>
      </c>
      <c r="X99" s="24" t="n">
        <f aca="false">COUNTIF(B99:T99,"S")</f>
        <v>0</v>
      </c>
      <c r="Y99" s="24" t="n">
        <f aca="false">COUNTIF(B99:T99,"A")</f>
        <v>0</v>
      </c>
      <c r="Z99" s="24" t="str">
        <f aca="false">B99</f>
        <v>PIRMAN</v>
      </c>
    </row>
    <row r="100" customFormat="false" ht="15.75" hidden="false" customHeight="false" outlineLevel="0" collapsed="false">
      <c r="A100" s="24" t="n">
        <v>26</v>
      </c>
      <c r="B100" s="24" t="str">
        <f aca="false">'absensi setoran'!B100</f>
        <v>MUHAMMAD DENMAR NABAWI</v>
      </c>
      <c r="C100" s="24" t="str">
        <f aca="false">'absensi setoran'!C100</f>
        <v>Tahsin</v>
      </c>
      <c r="D100" s="24"/>
      <c r="E100" s="24"/>
      <c r="F100" s="24" t="str">
        <f aca="false">B100</f>
        <v>MUHAMMAD DENMAR NABAWI</v>
      </c>
      <c r="G100" s="24"/>
      <c r="H100" s="24"/>
      <c r="I100" s="24" t="str">
        <f aca="false">B100</f>
        <v>MUHAMMAD DENMAR NABAWI</v>
      </c>
      <c r="J100" s="24"/>
      <c r="K100" s="24"/>
      <c r="L100" s="24" t="str">
        <f aca="false">B100</f>
        <v>MUHAMMAD DENMAR NABAWI</v>
      </c>
      <c r="M100" s="24"/>
      <c r="N100" s="24"/>
      <c r="O100" s="24" t="str">
        <f aca="false">B100</f>
        <v>MUHAMMAD DENMAR NABAWI</v>
      </c>
      <c r="P100" s="24"/>
      <c r="Q100" s="24"/>
      <c r="R100" s="24" t="str">
        <f aca="false">B100</f>
        <v>MUHAMMAD DENMAR NABAWI</v>
      </c>
      <c r="S100" s="24"/>
      <c r="T100" s="24"/>
      <c r="U100" s="24" t="n">
        <f aca="false">COUNTIF(B100:T100,"H")</f>
        <v>0</v>
      </c>
      <c r="V100" s="24" t="n">
        <f aca="false">COUNTIF(B100:T100,"ST")</f>
        <v>0</v>
      </c>
      <c r="W100" s="24" t="n">
        <f aca="false">COUNTIF(B100:T100,"I")</f>
        <v>0</v>
      </c>
      <c r="X100" s="24" t="n">
        <f aca="false">COUNTIF(B100:T100,"S")</f>
        <v>0</v>
      </c>
      <c r="Y100" s="24" t="n">
        <f aca="false">COUNTIF(B100:T100,"A")</f>
        <v>0</v>
      </c>
      <c r="Z100" s="24" t="str">
        <f aca="false">B100</f>
        <v>MUHAMMAD DENMAR NABAWI</v>
      </c>
    </row>
    <row r="101" customFormat="false" ht="15.75" hidden="false" customHeight="false" outlineLevel="0" collapsed="false">
      <c r="A101" s="24" t="n">
        <v>27</v>
      </c>
      <c r="B101" s="24" t="e">
        <f aca="false">'absensi setoran'!B101</f>
        <v>#REF!</v>
      </c>
      <c r="C101" s="24" t="str">
        <f aca="false">'absensi setoran'!C101</f>
        <v>Tahsin</v>
      </c>
      <c r="D101" s="24"/>
      <c r="E101" s="24"/>
      <c r="F101" s="24" t="e">
        <f aca="false">B101</f>
        <v>#REF!</v>
      </c>
      <c r="G101" s="24"/>
      <c r="H101" s="24"/>
      <c r="I101" s="24" t="e">
        <f aca="false">B101</f>
        <v>#REF!</v>
      </c>
      <c r="J101" s="24"/>
      <c r="K101" s="24"/>
      <c r="L101" s="24" t="e">
        <f aca="false">B101</f>
        <v>#REF!</v>
      </c>
      <c r="M101" s="24"/>
      <c r="N101" s="24"/>
      <c r="O101" s="24" t="e">
        <f aca="false">B101</f>
        <v>#REF!</v>
      </c>
      <c r="P101" s="24"/>
      <c r="Q101" s="24"/>
      <c r="R101" s="24" t="e">
        <f aca="false">B101</f>
        <v>#REF!</v>
      </c>
      <c r="S101" s="24"/>
      <c r="T101" s="24"/>
      <c r="U101" s="24" t="n">
        <f aca="false">COUNTIF(B101:T101,"H")</f>
        <v>0</v>
      </c>
      <c r="V101" s="24" t="n">
        <f aca="false">COUNTIF(B101:T101,"ST")</f>
        <v>0</v>
      </c>
      <c r="W101" s="24" t="n">
        <f aca="false">COUNTIF(B101:T101,"I")</f>
        <v>0</v>
      </c>
      <c r="X101" s="24" t="n">
        <f aca="false">COUNTIF(B101:T101,"S")</f>
        <v>0</v>
      </c>
      <c r="Y101" s="24" t="n">
        <f aca="false">COUNTIF(B101:T101,"A")</f>
        <v>0</v>
      </c>
      <c r="Z101" s="24" t="e">
        <f aca="false">B101</f>
        <v>#REF!</v>
      </c>
    </row>
    <row r="102" customFormat="false" ht="15.75" hidden="false" customHeight="false" outlineLevel="0" collapsed="false">
      <c r="A102" s="24" t="n">
        <v>28</v>
      </c>
      <c r="B102" s="24" t="e">
        <f aca="false">'absensi setoran'!B102</f>
        <v>#REF!</v>
      </c>
      <c r="C102" s="24" t="str">
        <f aca="false">'absensi setoran'!C102</f>
        <v>Tahsin</v>
      </c>
      <c r="D102" s="24"/>
      <c r="E102" s="24"/>
      <c r="F102" s="24" t="e">
        <f aca="false">B102</f>
        <v>#REF!</v>
      </c>
      <c r="G102" s="24"/>
      <c r="H102" s="24"/>
      <c r="I102" s="24" t="e">
        <f aca="false">B102</f>
        <v>#REF!</v>
      </c>
      <c r="J102" s="24"/>
      <c r="K102" s="24"/>
      <c r="L102" s="24" t="e">
        <f aca="false">B102</f>
        <v>#REF!</v>
      </c>
      <c r="M102" s="24"/>
      <c r="N102" s="24"/>
      <c r="O102" s="24" t="e">
        <f aca="false">B102</f>
        <v>#REF!</v>
      </c>
      <c r="P102" s="24"/>
      <c r="Q102" s="24"/>
      <c r="R102" s="24" t="e">
        <f aca="false">B102</f>
        <v>#REF!</v>
      </c>
      <c r="S102" s="24"/>
      <c r="T102" s="24"/>
      <c r="U102" s="24" t="n">
        <f aca="false">COUNTIF(B102:T102,"H")</f>
        <v>0</v>
      </c>
      <c r="V102" s="24" t="n">
        <f aca="false">COUNTIF(B102:T102,"ST")</f>
        <v>0</v>
      </c>
      <c r="W102" s="24" t="n">
        <f aca="false">COUNTIF(B102:T102,"I")</f>
        <v>0</v>
      </c>
      <c r="X102" s="24" t="n">
        <f aca="false">COUNTIF(B102:T102,"S")</f>
        <v>0</v>
      </c>
      <c r="Y102" s="24" t="n">
        <f aca="false">COUNTIF(B102:T102,"A")</f>
        <v>0</v>
      </c>
      <c r="Z102" s="24" t="e">
        <f aca="false">B102</f>
        <v>#REF!</v>
      </c>
    </row>
    <row r="103" customFormat="false" ht="15.75" hidden="false" customHeight="false" outlineLevel="0" collapsed="false">
      <c r="A103" s="19" t="s">
        <v>57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customFormat="false" ht="15.75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customFormat="false" ht="15.7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customFormat="false" ht="15.75" hidden="false" customHeight="false" outlineLevel="0" collapsed="false">
      <c r="A106" s="20" t="s">
        <v>300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customFormat="false" ht="15.75" hidden="false" customHeight="false" outlineLevel="0" collapsed="false">
      <c r="A107" s="21" t="s">
        <v>1</v>
      </c>
      <c r="B107" s="21" t="s">
        <v>2</v>
      </c>
      <c r="C107" s="22"/>
      <c r="D107" s="21" t="s">
        <v>201</v>
      </c>
      <c r="E107" s="21"/>
      <c r="F107" s="21" t="s">
        <v>2</v>
      </c>
      <c r="G107" s="21" t="s">
        <v>202</v>
      </c>
      <c r="H107" s="21"/>
      <c r="I107" s="21" t="s">
        <v>2</v>
      </c>
      <c r="J107" s="21" t="s">
        <v>203</v>
      </c>
      <c r="K107" s="21"/>
      <c r="L107" s="21" t="s">
        <v>2</v>
      </c>
      <c r="M107" s="21" t="s">
        <v>204</v>
      </c>
      <c r="N107" s="21"/>
      <c r="O107" s="21" t="s">
        <v>2</v>
      </c>
      <c r="P107" s="21" t="s">
        <v>205</v>
      </c>
      <c r="Q107" s="21"/>
      <c r="R107" s="21" t="s">
        <v>2</v>
      </c>
      <c r="S107" s="21" t="s">
        <v>206</v>
      </c>
      <c r="T107" s="21"/>
      <c r="U107" s="39" t="s">
        <v>49</v>
      </c>
      <c r="V107" s="39"/>
      <c r="W107" s="39"/>
      <c r="X107" s="39"/>
      <c r="Y107" s="39"/>
      <c r="Z107" s="39"/>
    </row>
    <row r="108" customFormat="false" ht="15.75" hidden="false" customHeight="false" outlineLevel="0" collapsed="false">
      <c r="A108" s="21"/>
      <c r="B108" s="21"/>
      <c r="C108" s="22" t="s">
        <v>50</v>
      </c>
      <c r="D108" s="40" t="s">
        <v>296</v>
      </c>
      <c r="E108" s="40" t="s">
        <v>303</v>
      </c>
      <c r="F108" s="21"/>
      <c r="G108" s="40" t="s">
        <v>296</v>
      </c>
      <c r="H108" s="40" t="s">
        <v>303</v>
      </c>
      <c r="I108" s="21"/>
      <c r="J108" s="40" t="s">
        <v>296</v>
      </c>
      <c r="K108" s="40" t="s">
        <v>303</v>
      </c>
      <c r="L108" s="21"/>
      <c r="M108" s="40" t="s">
        <v>296</v>
      </c>
      <c r="N108" s="40" t="s">
        <v>303</v>
      </c>
      <c r="O108" s="21"/>
      <c r="P108" s="40" t="s">
        <v>296</v>
      </c>
      <c r="Q108" s="40" t="s">
        <v>303</v>
      </c>
      <c r="R108" s="21"/>
      <c r="S108" s="40" t="s">
        <v>296</v>
      </c>
      <c r="T108" s="40" t="s">
        <v>303</v>
      </c>
      <c r="U108" s="24" t="s">
        <v>51</v>
      </c>
      <c r="V108" s="24" t="s">
        <v>52</v>
      </c>
      <c r="W108" s="24" t="s">
        <v>53</v>
      </c>
      <c r="X108" s="24" t="s">
        <v>54</v>
      </c>
      <c r="Y108" s="24" t="s">
        <v>55</v>
      </c>
      <c r="Z108" s="24"/>
    </row>
    <row r="109" customFormat="false" ht="15.75" hidden="false" customHeight="false" outlineLevel="0" collapsed="false">
      <c r="A109" s="24" t="n">
        <v>1</v>
      </c>
      <c r="B109" s="24" t="str">
        <f aca="false">'absensi setoran'!B109</f>
        <v>AYI KOSIM HATIMI</v>
      </c>
      <c r="C109" s="24" t="n">
        <f aca="false">'absensi setoran'!C109</f>
        <v>30</v>
      </c>
      <c r="D109" s="24"/>
      <c r="E109" s="24"/>
      <c r="F109" s="24" t="str">
        <f aca="false">B109</f>
        <v>AYI KOSIM HATIMI</v>
      </c>
      <c r="G109" s="24"/>
      <c r="H109" s="24"/>
      <c r="I109" s="24" t="str">
        <f aca="false">B109</f>
        <v>AYI KOSIM HATIMI</v>
      </c>
      <c r="J109" s="24"/>
      <c r="K109" s="24"/>
      <c r="L109" s="24" t="str">
        <f aca="false">B109</f>
        <v>AYI KOSIM HATIMI</v>
      </c>
      <c r="M109" s="24"/>
      <c r="N109" s="24"/>
      <c r="O109" s="24" t="str">
        <f aca="false">B109</f>
        <v>AYI KOSIM HATIMI</v>
      </c>
      <c r="P109" s="24" t="s">
        <v>78</v>
      </c>
      <c r="Q109" s="24"/>
      <c r="R109" s="24" t="str">
        <f aca="false">B109</f>
        <v>AYI KOSIM HATIMI</v>
      </c>
      <c r="S109" s="24"/>
      <c r="T109" s="24"/>
      <c r="U109" s="24" t="n">
        <f aca="false">COUNTIF(B109:T109,"H")</f>
        <v>1</v>
      </c>
      <c r="V109" s="24" t="n">
        <f aca="false">COUNTIF(B109:T109,"ST")</f>
        <v>0</v>
      </c>
      <c r="W109" s="24" t="n">
        <f aca="false">COUNTIF(B109:T109,"I")</f>
        <v>0</v>
      </c>
      <c r="X109" s="24" t="n">
        <f aca="false">COUNTIF(B109:T109,"S")</f>
        <v>0</v>
      </c>
      <c r="Y109" s="24" t="n">
        <f aca="false">COUNTIF(B109:T109,"A")</f>
        <v>0</v>
      </c>
      <c r="Z109" s="24" t="str">
        <f aca="false">B109</f>
        <v>AYI KOSIM HATIMI</v>
      </c>
    </row>
    <row r="110" customFormat="false" ht="15.75" hidden="false" customHeight="false" outlineLevel="0" collapsed="false">
      <c r="A110" s="24" t="n">
        <v>2</v>
      </c>
      <c r="B110" s="24" t="str">
        <f aca="false">'absensi setoran'!B110</f>
        <v>ABRURRAHMAN AFANDI</v>
      </c>
      <c r="C110" s="24" t="n">
        <f aca="false">'absensi setoran'!C110</f>
        <v>30</v>
      </c>
      <c r="D110" s="24"/>
      <c r="E110" s="24"/>
      <c r="F110" s="24" t="str">
        <f aca="false">B110</f>
        <v>ABRURRAHMAN AFANDI</v>
      </c>
      <c r="G110" s="24"/>
      <c r="H110" s="24"/>
      <c r="I110" s="24" t="str">
        <f aca="false">B110</f>
        <v>ABRURRAHMAN AFANDI</v>
      </c>
      <c r="J110" s="24"/>
      <c r="K110" s="24"/>
      <c r="L110" s="24" t="str">
        <f aca="false">B110</f>
        <v>ABRURRAHMAN AFANDI</v>
      </c>
      <c r="M110" s="24"/>
      <c r="N110" s="24"/>
      <c r="O110" s="24" t="str">
        <f aca="false">B110</f>
        <v>ABRURRAHMAN AFANDI</v>
      </c>
      <c r="P110" s="24" t="s">
        <v>75</v>
      </c>
      <c r="Q110" s="24"/>
      <c r="R110" s="24" t="str">
        <f aca="false">B110</f>
        <v>ABRURRAHMAN AFANDI</v>
      </c>
      <c r="S110" s="24"/>
      <c r="T110" s="24"/>
      <c r="U110" s="24" t="n">
        <f aca="false">COUNTIF(B110:T110,"H")</f>
        <v>0</v>
      </c>
      <c r="V110" s="24" t="n">
        <f aca="false">COUNTIF(B110:T110,"ST")</f>
        <v>0</v>
      </c>
      <c r="W110" s="24" t="n">
        <f aca="false">COUNTIF(B110:T110,"I")</f>
        <v>0</v>
      </c>
      <c r="X110" s="24" t="n">
        <f aca="false">COUNTIF(B110:T110,"S")</f>
        <v>0</v>
      </c>
      <c r="Y110" s="24" t="n">
        <f aca="false">COUNTIF(B110:T110,"A")</f>
        <v>1</v>
      </c>
      <c r="Z110" s="24" t="str">
        <f aca="false">B110</f>
        <v>ABRURRAHMAN AFANDI</v>
      </c>
    </row>
    <row r="111" customFormat="false" ht="15.75" hidden="false" customHeight="false" outlineLevel="0" collapsed="false">
      <c r="A111" s="24" t="n">
        <v>3</v>
      </c>
      <c r="B111" s="24" t="str">
        <f aca="false">'absensi setoran'!B111</f>
        <v>CECEP ABDULATIF</v>
      </c>
      <c r="C111" s="24" t="n">
        <f aca="false">'absensi setoran'!C111</f>
        <v>30</v>
      </c>
      <c r="D111" s="24"/>
      <c r="E111" s="24"/>
      <c r="F111" s="24" t="str">
        <f aca="false">B111</f>
        <v>CECEP ABDULATIF</v>
      </c>
      <c r="G111" s="24"/>
      <c r="H111" s="24"/>
      <c r="I111" s="24" t="str">
        <f aca="false">B111</f>
        <v>CECEP ABDULATIF</v>
      </c>
      <c r="J111" s="24"/>
      <c r="K111" s="24"/>
      <c r="L111" s="24" t="str">
        <f aca="false">B111</f>
        <v>CECEP ABDULATIF</v>
      </c>
      <c r="M111" s="24"/>
      <c r="N111" s="24"/>
      <c r="O111" s="24" t="str">
        <f aca="false">B111</f>
        <v>CECEP ABDULATIF</v>
      </c>
      <c r="P111" s="24"/>
      <c r="Q111" s="24"/>
      <c r="R111" s="24" t="str">
        <f aca="false">B111</f>
        <v>CECEP ABDULATIF</v>
      </c>
      <c r="S111" s="24"/>
      <c r="T111" s="24"/>
      <c r="U111" s="24" t="n">
        <f aca="false">COUNTIF(B111:T111,"H")</f>
        <v>0</v>
      </c>
      <c r="V111" s="24" t="n">
        <f aca="false">COUNTIF(B111:T111,"ST")</f>
        <v>0</v>
      </c>
      <c r="W111" s="24" t="n">
        <f aca="false">COUNTIF(B111:T111,"I")</f>
        <v>0</v>
      </c>
      <c r="X111" s="24" t="n">
        <f aca="false">COUNTIF(B111:T111,"S")</f>
        <v>0</v>
      </c>
      <c r="Y111" s="24" t="n">
        <f aca="false">COUNTIF(B111:T111,"A")</f>
        <v>0</v>
      </c>
      <c r="Z111" s="24" t="str">
        <f aca="false">B111</f>
        <v>CECEP ABDULATIF</v>
      </c>
    </row>
    <row r="112" customFormat="false" ht="15.75" hidden="false" customHeight="false" outlineLevel="0" collapsed="false">
      <c r="A112" s="24" t="n">
        <v>4</v>
      </c>
      <c r="B112" s="24" t="str">
        <f aca="false">'absensi setoran'!B112</f>
        <v>DONI SUPRIATNA</v>
      </c>
      <c r="C112" s="24" t="n">
        <f aca="false">'absensi setoran'!C112</f>
        <v>30</v>
      </c>
      <c r="D112" s="24"/>
      <c r="E112" s="24"/>
      <c r="F112" s="24" t="str">
        <f aca="false">B112</f>
        <v>DONI SUPRIATNA</v>
      </c>
      <c r="G112" s="24"/>
      <c r="H112" s="24"/>
      <c r="I112" s="24" t="str">
        <f aca="false">B112</f>
        <v>DONI SUPRIATNA</v>
      </c>
      <c r="J112" s="24"/>
      <c r="K112" s="24"/>
      <c r="L112" s="24" t="str">
        <f aca="false">B112</f>
        <v>DONI SUPRIATNA</v>
      </c>
      <c r="M112" s="24"/>
      <c r="N112" s="24"/>
      <c r="O112" s="24" t="str">
        <f aca="false">B112</f>
        <v>DONI SUPRIATNA</v>
      </c>
      <c r="P112" s="24" t="s">
        <v>78</v>
      </c>
      <c r="Q112" s="24"/>
      <c r="R112" s="24" t="str">
        <f aca="false">B112</f>
        <v>DONI SUPRIATNA</v>
      </c>
      <c r="S112" s="24"/>
      <c r="T112" s="24"/>
      <c r="U112" s="24" t="n">
        <f aca="false">COUNTIF(B112:T112,"H")</f>
        <v>1</v>
      </c>
      <c r="V112" s="24" t="n">
        <f aca="false">COUNTIF(B112:T112,"ST")</f>
        <v>0</v>
      </c>
      <c r="W112" s="24" t="n">
        <f aca="false">COUNTIF(B112:T112,"I")</f>
        <v>0</v>
      </c>
      <c r="X112" s="24" t="n">
        <f aca="false">COUNTIF(B112:T112,"S")</f>
        <v>0</v>
      </c>
      <c r="Y112" s="24" t="n">
        <f aca="false">COUNTIF(B112:T112,"A")</f>
        <v>0</v>
      </c>
      <c r="Z112" s="24" t="str">
        <f aca="false">B112</f>
        <v>DONI SUPRIATNA</v>
      </c>
    </row>
    <row r="113" customFormat="false" ht="15.75" hidden="false" customHeight="false" outlineLevel="0" collapsed="false">
      <c r="A113" s="24" t="n">
        <v>5</v>
      </c>
      <c r="B113" s="24" t="e">
        <f aca="false">'absensi setoran'!B113</f>
        <v>#REF!</v>
      </c>
      <c r="C113" s="24" t="e">
        <f aca="false">'absensi setoran'!C113</f>
        <v>#REF!</v>
      </c>
      <c r="D113" s="24"/>
      <c r="E113" s="24"/>
      <c r="F113" s="24" t="e">
        <f aca="false">B113</f>
        <v>#REF!</v>
      </c>
      <c r="G113" s="24"/>
      <c r="H113" s="24"/>
      <c r="I113" s="24" t="e">
        <f aca="false">B113</f>
        <v>#REF!</v>
      </c>
      <c r="J113" s="24"/>
      <c r="K113" s="24"/>
      <c r="L113" s="24" t="e">
        <f aca="false">B113</f>
        <v>#REF!</v>
      </c>
      <c r="M113" s="24"/>
      <c r="N113" s="24"/>
      <c r="O113" s="24" t="e">
        <f aca="false">B113</f>
        <v>#REF!</v>
      </c>
      <c r="P113" s="24" t="s">
        <v>75</v>
      </c>
      <c r="Q113" s="24"/>
      <c r="R113" s="24" t="e">
        <f aca="false">B113</f>
        <v>#REF!</v>
      </c>
      <c r="S113" s="24"/>
      <c r="T113" s="24"/>
      <c r="U113" s="24" t="n">
        <f aca="false">COUNTIF(B113:T113,"H")</f>
        <v>0</v>
      </c>
      <c r="V113" s="24" t="n">
        <f aca="false">COUNTIF(B113:T113,"ST")</f>
        <v>0</v>
      </c>
      <c r="W113" s="24" t="n">
        <f aca="false">COUNTIF(B113:T113,"I")</f>
        <v>0</v>
      </c>
      <c r="X113" s="24" t="n">
        <f aca="false">COUNTIF(B113:T113,"S")</f>
        <v>0</v>
      </c>
      <c r="Y113" s="24" t="n">
        <f aca="false">COUNTIF(B113:T113,"A")</f>
        <v>1</v>
      </c>
      <c r="Z113" s="24" t="e">
        <f aca="false">B113</f>
        <v>#REF!</v>
      </c>
    </row>
    <row r="114" customFormat="false" ht="15.75" hidden="false" customHeight="false" outlineLevel="0" collapsed="false">
      <c r="A114" s="24" t="n">
        <v>6</v>
      </c>
      <c r="B114" s="24" t="str">
        <f aca="false">'absensi setoran'!B114</f>
        <v>ZAKY AZHARI</v>
      </c>
      <c r="C114" s="24" t="n">
        <f aca="false">'absensi setoran'!C114</f>
        <v>30</v>
      </c>
      <c r="D114" s="24"/>
      <c r="E114" s="24"/>
      <c r="F114" s="24" t="str">
        <f aca="false">B114</f>
        <v>ZAKY AZHARI</v>
      </c>
      <c r="G114" s="24"/>
      <c r="H114" s="24"/>
      <c r="I114" s="24" t="str">
        <f aca="false">B114</f>
        <v>ZAKY AZHARI</v>
      </c>
      <c r="J114" s="24"/>
      <c r="K114" s="24"/>
      <c r="L114" s="24" t="str">
        <f aca="false">B114</f>
        <v>ZAKY AZHARI</v>
      </c>
      <c r="M114" s="24"/>
      <c r="N114" s="24"/>
      <c r="O114" s="24" t="str">
        <f aca="false">B114</f>
        <v>ZAKY AZHARI</v>
      </c>
      <c r="P114" s="24" t="s">
        <v>75</v>
      </c>
      <c r="Q114" s="24"/>
      <c r="R114" s="24" t="str">
        <f aca="false">B114</f>
        <v>ZAKY AZHARI</v>
      </c>
      <c r="S114" s="24"/>
      <c r="T114" s="24"/>
      <c r="U114" s="24" t="n">
        <f aca="false">COUNTIF(B114:T114,"H")</f>
        <v>0</v>
      </c>
      <c r="V114" s="24" t="n">
        <f aca="false">COUNTIF(B114:T114,"ST")</f>
        <v>0</v>
      </c>
      <c r="W114" s="24" t="n">
        <f aca="false">COUNTIF(B114:T114,"I")</f>
        <v>0</v>
      </c>
      <c r="X114" s="24" t="n">
        <f aca="false">COUNTIF(B114:T114,"S")</f>
        <v>0</v>
      </c>
      <c r="Y114" s="24" t="n">
        <f aca="false">COUNTIF(B114:T114,"A")</f>
        <v>1</v>
      </c>
      <c r="Z114" s="24" t="str">
        <f aca="false">B114</f>
        <v>ZAKY AZHARI</v>
      </c>
    </row>
    <row r="115" customFormat="false" ht="15.75" hidden="false" customHeight="false" outlineLevel="0" collapsed="false">
      <c r="A115" s="24" t="n">
        <v>7</v>
      </c>
      <c r="B115" s="24" t="str">
        <f aca="false">'absensi setoran'!B115</f>
        <v>MUHAMMAD FAUZIL ADZIM</v>
      </c>
      <c r="C115" s="24" t="n">
        <f aca="false">'absensi setoran'!C115</f>
        <v>30</v>
      </c>
      <c r="D115" s="24"/>
      <c r="E115" s="24"/>
      <c r="F115" s="24" t="str">
        <f aca="false">B115</f>
        <v>MUHAMMAD FAUZIL ADZIM</v>
      </c>
      <c r="G115" s="24"/>
      <c r="H115" s="24"/>
      <c r="I115" s="24" t="str">
        <f aca="false">B115</f>
        <v>MUHAMMAD FAUZIL ADZIM</v>
      </c>
      <c r="J115" s="24"/>
      <c r="K115" s="24"/>
      <c r="L115" s="24" t="str">
        <f aca="false">B115</f>
        <v>MUHAMMAD FAUZIL ADZIM</v>
      </c>
      <c r="M115" s="24"/>
      <c r="N115" s="24"/>
      <c r="O115" s="24" t="str">
        <f aca="false">B115</f>
        <v>MUHAMMAD FAUZIL ADZIM</v>
      </c>
      <c r="P115" s="24"/>
      <c r="Q115" s="24"/>
      <c r="R115" s="24" t="str">
        <f aca="false">B115</f>
        <v>MUHAMMAD FAUZIL ADZIM</v>
      </c>
      <c r="S115" s="24"/>
      <c r="T115" s="24"/>
      <c r="U115" s="24" t="n">
        <f aca="false">COUNTIF(B115:T115,"H")</f>
        <v>0</v>
      </c>
      <c r="V115" s="24" t="n">
        <f aca="false">COUNTIF(B115:T115,"ST")</f>
        <v>0</v>
      </c>
      <c r="W115" s="24" t="n">
        <f aca="false">COUNTIF(B115:T115,"I")</f>
        <v>0</v>
      </c>
      <c r="X115" s="24" t="n">
        <f aca="false">COUNTIF(B115:T115,"S")</f>
        <v>0</v>
      </c>
      <c r="Y115" s="24" t="n">
        <f aca="false">COUNTIF(B115:T115,"A")</f>
        <v>0</v>
      </c>
      <c r="Z115" s="24" t="str">
        <f aca="false">B115</f>
        <v>MUHAMMAD FAUZIL ADZIM</v>
      </c>
    </row>
    <row r="116" customFormat="false" ht="15.75" hidden="false" customHeight="false" outlineLevel="0" collapsed="false">
      <c r="A116" s="24" t="n">
        <v>8</v>
      </c>
      <c r="B116" s="24" t="str">
        <f aca="false">'absensi setoran'!B116</f>
        <v>MUHAMMAD DZIKRI HUSAENI</v>
      </c>
      <c r="C116" s="24" t="n">
        <f aca="false">'absensi setoran'!C116</f>
        <v>18</v>
      </c>
      <c r="D116" s="24"/>
      <c r="E116" s="24"/>
      <c r="F116" s="24" t="str">
        <f aca="false">B116</f>
        <v>MUHAMMAD DZIKRI HUSAENI</v>
      </c>
      <c r="G116" s="24"/>
      <c r="H116" s="24"/>
      <c r="I116" s="24" t="str">
        <f aca="false">B116</f>
        <v>MUHAMMAD DZIKRI HUSAENI</v>
      </c>
      <c r="J116" s="24"/>
      <c r="K116" s="24"/>
      <c r="L116" s="24" t="str">
        <f aca="false">B116</f>
        <v>MUHAMMAD DZIKRI HUSAENI</v>
      </c>
      <c r="M116" s="24"/>
      <c r="N116" s="24"/>
      <c r="O116" s="24" t="str">
        <f aca="false">B116</f>
        <v>MUHAMMAD DZIKRI HUSAENI</v>
      </c>
      <c r="P116" s="24"/>
      <c r="Q116" s="24"/>
      <c r="R116" s="24" t="str">
        <f aca="false">B116</f>
        <v>MUHAMMAD DZIKRI HUSAENI</v>
      </c>
      <c r="S116" s="24"/>
      <c r="T116" s="24"/>
      <c r="U116" s="24" t="n">
        <f aca="false">COUNTIF(B116:T116,"H")</f>
        <v>0</v>
      </c>
      <c r="V116" s="24" t="n">
        <f aca="false">COUNTIF(B116:T116,"ST")</f>
        <v>0</v>
      </c>
      <c r="W116" s="24" t="n">
        <f aca="false">COUNTIF(B116:T116,"I")</f>
        <v>0</v>
      </c>
      <c r="X116" s="24" t="n">
        <f aca="false">COUNTIF(B116:T116,"S")</f>
        <v>0</v>
      </c>
      <c r="Y116" s="24" t="n">
        <f aca="false">COUNTIF(B116:T116,"A")</f>
        <v>0</v>
      </c>
      <c r="Z116" s="24" t="str">
        <f aca="false">B116</f>
        <v>MUHAMMAD DZIKRI HUSAENI</v>
      </c>
    </row>
    <row r="117" customFormat="false" ht="15.75" hidden="false" customHeight="false" outlineLevel="0" collapsed="false">
      <c r="A117" s="24" t="n">
        <v>9</v>
      </c>
      <c r="B117" s="24" t="e">
        <f aca="false">'absensi setoran'!B117</f>
        <v>#REF!</v>
      </c>
      <c r="C117" s="24" t="e">
        <f aca="false">'absensi setoran'!C117</f>
        <v>#REF!</v>
      </c>
      <c r="D117" s="24"/>
      <c r="E117" s="24"/>
      <c r="F117" s="24" t="e">
        <f aca="false">B117</f>
        <v>#REF!</v>
      </c>
      <c r="G117" s="24"/>
      <c r="H117" s="24"/>
      <c r="I117" s="24" t="e">
        <f aca="false">B117</f>
        <v>#REF!</v>
      </c>
      <c r="J117" s="24"/>
      <c r="K117" s="24"/>
      <c r="L117" s="24" t="e">
        <f aca="false">B117</f>
        <v>#REF!</v>
      </c>
      <c r="M117" s="24"/>
      <c r="N117" s="24"/>
      <c r="O117" s="24" t="e">
        <f aca="false">B117</f>
        <v>#REF!</v>
      </c>
      <c r="P117" s="24" t="s">
        <v>78</v>
      </c>
      <c r="Q117" s="24"/>
      <c r="R117" s="24" t="e">
        <f aca="false">B117</f>
        <v>#REF!</v>
      </c>
      <c r="S117" s="24"/>
      <c r="T117" s="24"/>
      <c r="U117" s="24" t="n">
        <f aca="false">COUNTIF(B117:T117,"H")</f>
        <v>1</v>
      </c>
      <c r="V117" s="24" t="n">
        <f aca="false">COUNTIF(B117:T117,"ST")</f>
        <v>0</v>
      </c>
      <c r="W117" s="24" t="n">
        <f aca="false">COUNTIF(B117:T117,"I")</f>
        <v>0</v>
      </c>
      <c r="X117" s="24" t="n">
        <f aca="false">COUNTIF(B117:T117,"S")</f>
        <v>0</v>
      </c>
      <c r="Y117" s="24" t="n">
        <f aca="false">COUNTIF(B117:T117,"A")</f>
        <v>0</v>
      </c>
      <c r="Z117" s="24" t="e">
        <f aca="false">B117</f>
        <v>#REF!</v>
      </c>
    </row>
    <row r="118" customFormat="false" ht="15.75" hidden="false" customHeight="false" outlineLevel="0" collapsed="false">
      <c r="A118" s="24" t="n">
        <v>10</v>
      </c>
      <c r="B118" s="24" t="str">
        <f aca="false">'absensi setoran'!B118</f>
        <v>ABDUL KHOLIQ</v>
      </c>
      <c r="C118" s="24" t="n">
        <f aca="false">'absensi setoran'!C118</f>
        <v>14</v>
      </c>
      <c r="D118" s="24"/>
      <c r="E118" s="24"/>
      <c r="F118" s="24" t="str">
        <f aca="false">B118</f>
        <v>ABDUL KHOLIQ</v>
      </c>
      <c r="G118" s="24"/>
      <c r="H118" s="24"/>
      <c r="I118" s="24" t="str">
        <f aca="false">B118</f>
        <v>ABDUL KHOLIQ</v>
      </c>
      <c r="J118" s="24"/>
      <c r="K118" s="24"/>
      <c r="L118" s="24" t="str">
        <f aca="false">B118</f>
        <v>ABDUL KHOLIQ</v>
      </c>
      <c r="M118" s="24"/>
      <c r="N118" s="24"/>
      <c r="O118" s="24" t="str">
        <f aca="false">B118</f>
        <v>ABDUL KHOLIQ</v>
      </c>
      <c r="P118" s="24" t="s">
        <v>78</v>
      </c>
      <c r="Q118" s="24"/>
      <c r="R118" s="24" t="str">
        <f aca="false">B118</f>
        <v>ABDUL KHOLIQ</v>
      </c>
      <c r="S118" s="24"/>
      <c r="T118" s="24"/>
      <c r="U118" s="24" t="n">
        <f aca="false">COUNTIF(B118:T118,"H")</f>
        <v>1</v>
      </c>
      <c r="V118" s="24" t="n">
        <f aca="false">COUNTIF(B118:T118,"ST")</f>
        <v>0</v>
      </c>
      <c r="W118" s="24" t="n">
        <f aca="false">COUNTIF(B118:T118,"I")</f>
        <v>0</v>
      </c>
      <c r="X118" s="24" t="n">
        <f aca="false">COUNTIF(B118:T118,"S")</f>
        <v>0</v>
      </c>
      <c r="Y118" s="24" t="n">
        <f aca="false">COUNTIF(B118:T118,"A")</f>
        <v>0</v>
      </c>
      <c r="Z118" s="24" t="str">
        <f aca="false">B118</f>
        <v>ABDUL KHOLIQ</v>
      </c>
    </row>
    <row r="119" customFormat="false" ht="15.75" hidden="false" customHeight="false" outlineLevel="0" collapsed="false">
      <c r="A119" s="24" t="n">
        <v>11</v>
      </c>
      <c r="B119" s="24" t="str">
        <f aca="false">'absensi setoran'!B119</f>
        <v>IYAN FARID</v>
      </c>
      <c r="C119" s="24" t="n">
        <f aca="false">'absensi setoran'!C119</f>
        <v>13</v>
      </c>
      <c r="D119" s="24"/>
      <c r="E119" s="24"/>
      <c r="F119" s="24" t="str">
        <f aca="false">B119</f>
        <v>IYAN FARID</v>
      </c>
      <c r="G119" s="24"/>
      <c r="H119" s="24"/>
      <c r="I119" s="24" t="str">
        <f aca="false">B119</f>
        <v>IYAN FARID</v>
      </c>
      <c r="J119" s="24"/>
      <c r="K119" s="24"/>
      <c r="L119" s="24" t="str">
        <f aca="false">B119</f>
        <v>IYAN FARID</v>
      </c>
      <c r="M119" s="24"/>
      <c r="N119" s="24"/>
      <c r="O119" s="24" t="str">
        <f aca="false">B119</f>
        <v>IYAN FARID</v>
      </c>
      <c r="P119" s="24"/>
      <c r="Q119" s="24"/>
      <c r="R119" s="24" t="str">
        <f aca="false">B119</f>
        <v>IYAN FARID</v>
      </c>
      <c r="S119" s="24"/>
      <c r="T119" s="24"/>
      <c r="U119" s="24" t="n">
        <f aca="false">COUNTIF(B119:T119,"H")</f>
        <v>0</v>
      </c>
      <c r="V119" s="24" t="n">
        <f aca="false">COUNTIF(B119:T119,"ST")</f>
        <v>0</v>
      </c>
      <c r="W119" s="24" t="n">
        <f aca="false">COUNTIF(B119:T119,"I")</f>
        <v>0</v>
      </c>
      <c r="X119" s="24" t="n">
        <f aca="false">COUNTIF(B119:T119,"S")</f>
        <v>0</v>
      </c>
      <c r="Y119" s="24" t="n">
        <f aca="false">COUNTIF(B119:T119,"A")</f>
        <v>0</v>
      </c>
      <c r="Z119" s="24" t="str">
        <f aca="false">B119</f>
        <v>IYAN FARID</v>
      </c>
    </row>
    <row r="120" customFormat="false" ht="15.75" hidden="false" customHeight="false" outlineLevel="0" collapsed="false">
      <c r="A120" s="24" t="n">
        <v>12</v>
      </c>
      <c r="B120" s="24" t="str">
        <f aca="false">'absensi setoran'!B120</f>
        <v>ZAENI NURIL HIKAM</v>
      </c>
      <c r="C120" s="24" t="n">
        <f aca="false">'absensi setoran'!C120</f>
        <v>12</v>
      </c>
      <c r="D120" s="24"/>
      <c r="E120" s="24"/>
      <c r="F120" s="24" t="str">
        <f aca="false">B120</f>
        <v>ZAENI NURIL HIKAM</v>
      </c>
      <c r="G120" s="24"/>
      <c r="H120" s="24"/>
      <c r="I120" s="24" t="str">
        <f aca="false">B120</f>
        <v>ZAENI NURIL HIKAM</v>
      </c>
      <c r="J120" s="24"/>
      <c r="K120" s="24"/>
      <c r="L120" s="24" t="str">
        <f aca="false">B120</f>
        <v>ZAENI NURIL HIKAM</v>
      </c>
      <c r="M120" s="24"/>
      <c r="N120" s="24"/>
      <c r="O120" s="24" t="str">
        <f aca="false">B120</f>
        <v>ZAENI NURIL HIKAM</v>
      </c>
      <c r="P120" s="24" t="s">
        <v>78</v>
      </c>
      <c r="Q120" s="24"/>
      <c r="R120" s="24" t="str">
        <f aca="false">B120</f>
        <v>ZAENI NURIL HIKAM</v>
      </c>
      <c r="S120" s="24"/>
      <c r="T120" s="24"/>
      <c r="U120" s="24" t="n">
        <f aca="false">COUNTIF(B120:T120,"H")</f>
        <v>1</v>
      </c>
      <c r="V120" s="24" t="n">
        <f aca="false">COUNTIF(B120:T120,"ST")</f>
        <v>0</v>
      </c>
      <c r="W120" s="24" t="n">
        <f aca="false">COUNTIF(B120:T120,"I")</f>
        <v>0</v>
      </c>
      <c r="X120" s="24" t="n">
        <f aca="false">COUNTIF(B120:T120,"S")</f>
        <v>0</v>
      </c>
      <c r="Y120" s="24" t="n">
        <f aca="false">COUNTIF(B120:T120,"A")</f>
        <v>0</v>
      </c>
      <c r="Z120" s="24" t="str">
        <f aca="false">B120</f>
        <v>ZAENI NURIL HIKAM</v>
      </c>
    </row>
    <row r="121" customFormat="false" ht="15.75" hidden="false" customHeight="false" outlineLevel="0" collapsed="false">
      <c r="A121" s="24" t="n">
        <v>13</v>
      </c>
      <c r="B121" s="24" t="str">
        <f aca="false">'absensi setoran'!B121</f>
        <v>LUCKY KURNIAWAN</v>
      </c>
      <c r="C121" s="24" t="n">
        <f aca="false">'absensi setoran'!C121</f>
        <v>12</v>
      </c>
      <c r="D121" s="24"/>
      <c r="E121" s="24"/>
      <c r="F121" s="24" t="str">
        <f aca="false">B121</f>
        <v>LUCKY KURNIAWAN</v>
      </c>
      <c r="G121" s="24"/>
      <c r="H121" s="24"/>
      <c r="I121" s="24" t="str">
        <f aca="false">B121</f>
        <v>LUCKY KURNIAWAN</v>
      </c>
      <c r="J121" s="24"/>
      <c r="K121" s="24"/>
      <c r="L121" s="24" t="str">
        <f aca="false">B121</f>
        <v>LUCKY KURNIAWAN</v>
      </c>
      <c r="M121" s="24"/>
      <c r="N121" s="24"/>
      <c r="O121" s="24" t="str">
        <f aca="false">B121</f>
        <v>LUCKY KURNIAWAN</v>
      </c>
      <c r="P121" s="24" t="s">
        <v>75</v>
      </c>
      <c r="Q121" s="24"/>
      <c r="R121" s="24" t="str">
        <f aca="false">B121</f>
        <v>LUCKY KURNIAWAN</v>
      </c>
      <c r="S121" s="24"/>
      <c r="T121" s="24"/>
      <c r="U121" s="24" t="n">
        <f aca="false">COUNTIF(B121:T121,"H")</f>
        <v>0</v>
      </c>
      <c r="V121" s="24" t="n">
        <f aca="false">COUNTIF(B121:T121,"ST")</f>
        <v>0</v>
      </c>
      <c r="W121" s="24" t="n">
        <f aca="false">COUNTIF(B121:T121,"I")</f>
        <v>0</v>
      </c>
      <c r="X121" s="24" t="n">
        <f aca="false">COUNTIF(B121:T121,"S")</f>
        <v>0</v>
      </c>
      <c r="Y121" s="24" t="n">
        <f aca="false">COUNTIF(B121:T121,"A")</f>
        <v>1</v>
      </c>
      <c r="Z121" s="24" t="str">
        <f aca="false">B121</f>
        <v>LUCKY KURNIAWAN</v>
      </c>
    </row>
    <row r="122" customFormat="false" ht="15.75" hidden="false" customHeight="false" outlineLevel="0" collapsed="false">
      <c r="A122" s="24" t="n">
        <v>14</v>
      </c>
      <c r="B122" s="24" t="str">
        <f aca="false">'absensi setoran'!B122</f>
        <v>MUHAMMAD RAFIK MUHARAM</v>
      </c>
      <c r="C122" s="24" t="n">
        <f aca="false">'absensi setoran'!C122</f>
        <v>12</v>
      </c>
      <c r="D122" s="24"/>
      <c r="E122" s="24"/>
      <c r="F122" s="24" t="str">
        <f aca="false">B122</f>
        <v>MUHAMMAD RAFIK MUHARAM</v>
      </c>
      <c r="G122" s="24"/>
      <c r="H122" s="24"/>
      <c r="I122" s="24" t="str">
        <f aca="false">B122</f>
        <v>MUHAMMAD RAFIK MUHARAM</v>
      </c>
      <c r="J122" s="24"/>
      <c r="K122" s="24"/>
      <c r="L122" s="24" t="str">
        <f aca="false">B122</f>
        <v>MUHAMMAD RAFIK MUHARAM</v>
      </c>
      <c r="M122" s="24"/>
      <c r="N122" s="24"/>
      <c r="O122" s="24" t="str">
        <f aca="false">B122</f>
        <v>MUHAMMAD RAFIK MUHARAM</v>
      </c>
      <c r="P122" s="24"/>
      <c r="Q122" s="24"/>
      <c r="R122" s="24" t="str">
        <f aca="false">B122</f>
        <v>MUHAMMAD RAFIK MUHARAM</v>
      </c>
      <c r="S122" s="24"/>
      <c r="T122" s="24"/>
      <c r="U122" s="24" t="n">
        <f aca="false">COUNTIF(B122:T122,"H")</f>
        <v>0</v>
      </c>
      <c r="V122" s="24" t="n">
        <f aca="false">COUNTIF(B122:T122,"ST")</f>
        <v>0</v>
      </c>
      <c r="W122" s="24" t="n">
        <f aca="false">COUNTIF(B122:T122,"I")</f>
        <v>0</v>
      </c>
      <c r="X122" s="24" t="n">
        <f aca="false">COUNTIF(B122:T122,"S")</f>
        <v>0</v>
      </c>
      <c r="Y122" s="24" t="n">
        <f aca="false">COUNTIF(B122:T122,"A")</f>
        <v>0</v>
      </c>
      <c r="Z122" s="24" t="str">
        <f aca="false">B122</f>
        <v>MUHAMMAD RAFIK MUHARAM</v>
      </c>
    </row>
    <row r="123" customFormat="false" ht="15.75" hidden="false" customHeight="false" outlineLevel="0" collapsed="false">
      <c r="A123" s="24" t="n">
        <v>15</v>
      </c>
      <c r="B123" s="24" t="str">
        <f aca="false">'absensi setoran'!B123</f>
        <v>UMAR ABDUL MALIK</v>
      </c>
      <c r="C123" s="24" t="n">
        <f aca="false">'absensi setoran'!C123</f>
        <v>11</v>
      </c>
      <c r="D123" s="24"/>
      <c r="E123" s="24"/>
      <c r="F123" s="24" t="str">
        <f aca="false">B123</f>
        <v>UMAR ABDUL MALIK</v>
      </c>
      <c r="G123" s="24"/>
      <c r="H123" s="24"/>
      <c r="I123" s="24" t="str">
        <f aca="false">B123</f>
        <v>UMAR ABDUL MALIK</v>
      </c>
      <c r="J123" s="24"/>
      <c r="K123" s="24"/>
      <c r="L123" s="24" t="str">
        <f aca="false">B123</f>
        <v>UMAR ABDUL MALIK</v>
      </c>
      <c r="M123" s="24"/>
      <c r="N123" s="24"/>
      <c r="O123" s="24" t="str">
        <f aca="false">B123</f>
        <v>UMAR ABDUL MALIK</v>
      </c>
      <c r="P123" s="24" t="s">
        <v>75</v>
      </c>
      <c r="Q123" s="24"/>
      <c r="R123" s="24" t="str">
        <f aca="false">B123</f>
        <v>UMAR ABDUL MALIK</v>
      </c>
      <c r="S123" s="24"/>
      <c r="T123" s="24"/>
      <c r="U123" s="24" t="n">
        <f aca="false">COUNTIF(B123:T123,"H")</f>
        <v>0</v>
      </c>
      <c r="V123" s="24" t="n">
        <f aca="false">COUNTIF(B123:T123,"ST")</f>
        <v>0</v>
      </c>
      <c r="W123" s="24" t="n">
        <f aca="false">COUNTIF(B123:T123,"I")</f>
        <v>0</v>
      </c>
      <c r="X123" s="24" t="n">
        <f aca="false">COUNTIF(B123:T123,"S")</f>
        <v>0</v>
      </c>
      <c r="Y123" s="24" t="n">
        <f aca="false">COUNTIF(B123:T123,"A")</f>
        <v>1</v>
      </c>
      <c r="Z123" s="24" t="str">
        <f aca="false">B123</f>
        <v>UMAR ABDUL MALIK</v>
      </c>
    </row>
    <row r="124" customFormat="false" ht="15.75" hidden="false" customHeight="false" outlineLevel="0" collapsed="false">
      <c r="A124" s="24" t="n">
        <v>16</v>
      </c>
      <c r="B124" s="24" t="str">
        <f aca="false">'absensi setoran'!B124</f>
        <v>AHMAD HAFIDZ ALHAWARI</v>
      </c>
      <c r="C124" s="24" t="n">
        <f aca="false">'absensi setoran'!C124</f>
        <v>10</v>
      </c>
      <c r="D124" s="24"/>
      <c r="E124" s="24"/>
      <c r="F124" s="24" t="str">
        <f aca="false">B124</f>
        <v>AHMAD HAFIDZ ALHAWARI</v>
      </c>
      <c r="G124" s="24"/>
      <c r="H124" s="24"/>
      <c r="I124" s="24" t="str">
        <f aca="false">B124</f>
        <v>AHMAD HAFIDZ ALHAWARI</v>
      </c>
      <c r="J124" s="24"/>
      <c r="K124" s="24"/>
      <c r="L124" s="24" t="str">
        <f aca="false">B124</f>
        <v>AHMAD HAFIDZ ALHAWARI</v>
      </c>
      <c r="M124" s="24"/>
      <c r="N124" s="24"/>
      <c r="O124" s="24" t="str">
        <f aca="false">B124</f>
        <v>AHMAD HAFIDZ ALHAWARI</v>
      </c>
      <c r="P124" s="24" t="s">
        <v>78</v>
      </c>
      <c r="Q124" s="24"/>
      <c r="R124" s="24" t="str">
        <f aca="false">B124</f>
        <v>AHMAD HAFIDZ ALHAWARI</v>
      </c>
      <c r="S124" s="24"/>
      <c r="T124" s="24"/>
      <c r="U124" s="24" t="n">
        <f aca="false">COUNTIF(B124:T124,"H")</f>
        <v>1</v>
      </c>
      <c r="V124" s="24" t="n">
        <f aca="false">COUNTIF(B124:T124,"ST")</f>
        <v>0</v>
      </c>
      <c r="W124" s="24" t="n">
        <f aca="false">COUNTIF(B124:T124,"I")</f>
        <v>0</v>
      </c>
      <c r="X124" s="24" t="n">
        <f aca="false">COUNTIF(B124:T124,"S")</f>
        <v>0</v>
      </c>
      <c r="Y124" s="24" t="n">
        <f aca="false">COUNTIF(B124:T124,"A")</f>
        <v>0</v>
      </c>
      <c r="Z124" s="24" t="str">
        <f aca="false">B124</f>
        <v>AHMAD HAFIDZ ALHAWARI</v>
      </c>
    </row>
    <row r="125" customFormat="false" ht="15.75" hidden="false" customHeight="false" outlineLevel="0" collapsed="false">
      <c r="A125" s="24" t="n">
        <v>17</v>
      </c>
      <c r="B125" s="24" t="str">
        <f aca="false">'absensi setoran'!B125</f>
        <v>MUHAMMAD FAUZAN</v>
      </c>
      <c r="C125" s="24" t="n">
        <f aca="false">'absensi setoran'!C125</f>
        <v>10</v>
      </c>
      <c r="D125" s="24"/>
      <c r="E125" s="24"/>
      <c r="F125" s="24" t="str">
        <f aca="false">B125</f>
        <v>MUHAMMAD FAUZAN</v>
      </c>
      <c r="G125" s="24"/>
      <c r="H125" s="24"/>
      <c r="I125" s="24" t="str">
        <f aca="false">B125</f>
        <v>MUHAMMAD FAUZAN</v>
      </c>
      <c r="J125" s="24"/>
      <c r="K125" s="24"/>
      <c r="L125" s="24" t="str">
        <f aca="false">B125</f>
        <v>MUHAMMAD FAUZAN</v>
      </c>
      <c r="M125" s="24"/>
      <c r="N125" s="24"/>
      <c r="O125" s="24" t="str">
        <f aca="false">B125</f>
        <v>MUHAMMAD FAUZAN</v>
      </c>
      <c r="P125" s="24" t="s">
        <v>78</v>
      </c>
      <c r="Q125" s="24"/>
      <c r="R125" s="24" t="str">
        <f aca="false">B125</f>
        <v>MUHAMMAD FAUZAN</v>
      </c>
      <c r="S125" s="24"/>
      <c r="T125" s="24"/>
      <c r="U125" s="24" t="n">
        <f aca="false">COUNTIF(B125:T125,"H")</f>
        <v>1</v>
      </c>
      <c r="V125" s="24" t="n">
        <f aca="false">COUNTIF(B125:T125,"ST")</f>
        <v>0</v>
      </c>
      <c r="W125" s="24" t="n">
        <f aca="false">COUNTIF(B125:T125,"I")</f>
        <v>0</v>
      </c>
      <c r="X125" s="24" t="n">
        <f aca="false">COUNTIF(B125:T125,"S")</f>
        <v>0</v>
      </c>
      <c r="Y125" s="24" t="n">
        <f aca="false">COUNTIF(B125:T125,"A")</f>
        <v>0</v>
      </c>
      <c r="Z125" s="24" t="str">
        <f aca="false">B125</f>
        <v>MUHAMMAD FAUZAN</v>
      </c>
    </row>
    <row r="126" customFormat="false" ht="15.75" hidden="false" customHeight="false" outlineLevel="0" collapsed="false">
      <c r="A126" s="24" t="n">
        <v>18</v>
      </c>
      <c r="B126" s="24" t="str">
        <f aca="false">'absensi setoran'!B126</f>
        <v>AKBAR RAMADAN</v>
      </c>
      <c r="C126" s="24" t="n">
        <f aca="false">'absensi setoran'!C126</f>
        <v>9</v>
      </c>
      <c r="D126" s="24"/>
      <c r="E126" s="24"/>
      <c r="F126" s="24" t="str">
        <f aca="false">B126</f>
        <v>AKBAR RAMADAN</v>
      </c>
      <c r="G126" s="24"/>
      <c r="H126" s="24"/>
      <c r="I126" s="24" t="str">
        <f aca="false">B126</f>
        <v>AKBAR RAMADAN</v>
      </c>
      <c r="J126" s="24"/>
      <c r="K126" s="24"/>
      <c r="L126" s="24" t="str">
        <f aca="false">B126</f>
        <v>AKBAR RAMADAN</v>
      </c>
      <c r="M126" s="24"/>
      <c r="N126" s="24"/>
      <c r="O126" s="24" t="str">
        <f aca="false">B126</f>
        <v>AKBAR RAMADAN</v>
      </c>
      <c r="P126" s="24" t="s">
        <v>78</v>
      </c>
      <c r="Q126" s="24"/>
      <c r="R126" s="24" t="str">
        <f aca="false">B126</f>
        <v>AKBAR RAMADAN</v>
      </c>
      <c r="S126" s="24"/>
      <c r="T126" s="24"/>
      <c r="U126" s="24" t="n">
        <f aca="false">COUNTIF(B126:T126,"H")</f>
        <v>1</v>
      </c>
      <c r="V126" s="24" t="n">
        <f aca="false">COUNTIF(B126:T126,"ST")</f>
        <v>0</v>
      </c>
      <c r="W126" s="24" t="n">
        <f aca="false">COUNTIF(B126:T126,"I")</f>
        <v>0</v>
      </c>
      <c r="X126" s="24" t="n">
        <f aca="false">COUNTIF(B126:T126,"S")</f>
        <v>0</v>
      </c>
      <c r="Y126" s="24" t="n">
        <f aca="false">COUNTIF(B126:T126,"A")</f>
        <v>0</v>
      </c>
      <c r="Z126" s="24" t="str">
        <f aca="false">B126</f>
        <v>AKBAR RAMADAN</v>
      </c>
    </row>
    <row r="127" customFormat="false" ht="15.75" hidden="false" customHeight="false" outlineLevel="0" collapsed="false">
      <c r="A127" s="24" t="n">
        <v>19</v>
      </c>
      <c r="B127" s="24" t="e">
        <f aca="false">'absensi setoran'!B127</f>
        <v>#REF!</v>
      </c>
      <c r="C127" s="24" t="e">
        <f aca="false">'absensi setoran'!C127</f>
        <v>#REF!</v>
      </c>
      <c r="D127" s="24"/>
      <c r="E127" s="24"/>
      <c r="F127" s="24" t="e">
        <f aca="false">B127</f>
        <v>#REF!</v>
      </c>
      <c r="G127" s="24"/>
      <c r="H127" s="24"/>
      <c r="I127" s="24" t="e">
        <f aca="false">B127</f>
        <v>#REF!</v>
      </c>
      <c r="J127" s="24"/>
      <c r="K127" s="24"/>
      <c r="L127" s="24" t="e">
        <f aca="false">B127</f>
        <v>#REF!</v>
      </c>
      <c r="M127" s="24"/>
      <c r="N127" s="24"/>
      <c r="O127" s="24" t="e">
        <f aca="false">B127</f>
        <v>#REF!</v>
      </c>
      <c r="P127" s="24" t="s">
        <v>78</v>
      </c>
      <c r="Q127" s="24"/>
      <c r="R127" s="24" t="e">
        <f aca="false">B127</f>
        <v>#REF!</v>
      </c>
      <c r="S127" s="24"/>
      <c r="T127" s="24"/>
      <c r="U127" s="24" t="n">
        <f aca="false">COUNTIF(B127:T127,"H")</f>
        <v>1</v>
      </c>
      <c r="V127" s="24" t="n">
        <f aca="false">COUNTIF(B127:T127,"ST")</f>
        <v>0</v>
      </c>
      <c r="W127" s="24" t="n">
        <f aca="false">COUNTIF(B127:T127,"I")</f>
        <v>0</v>
      </c>
      <c r="X127" s="24" t="n">
        <f aca="false">COUNTIF(B127:T127,"S")</f>
        <v>0</v>
      </c>
      <c r="Y127" s="24" t="n">
        <f aca="false">COUNTIF(B127:T127,"A")</f>
        <v>0</v>
      </c>
      <c r="Z127" s="24" t="e">
        <f aca="false">B127</f>
        <v>#REF!</v>
      </c>
    </row>
    <row r="128" customFormat="false" ht="15.75" hidden="false" customHeight="false" outlineLevel="0" collapsed="false">
      <c r="A128" s="24" t="n">
        <v>20</v>
      </c>
      <c r="B128" s="24" t="str">
        <f aca="false">'absensi setoran'!B128</f>
        <v>ABIDZAR ALGHIFARI</v>
      </c>
      <c r="C128" s="24" t="n">
        <f aca="false">'absensi setoran'!C128</f>
        <v>8</v>
      </c>
      <c r="D128" s="24"/>
      <c r="E128" s="24"/>
      <c r="F128" s="24" t="str">
        <f aca="false">B128</f>
        <v>ABIDZAR ALGHIFARI</v>
      </c>
      <c r="G128" s="24"/>
      <c r="H128" s="24"/>
      <c r="I128" s="24" t="str">
        <f aca="false">B128</f>
        <v>ABIDZAR ALGHIFARI</v>
      </c>
      <c r="J128" s="24"/>
      <c r="K128" s="24"/>
      <c r="L128" s="24" t="str">
        <f aca="false">B128</f>
        <v>ABIDZAR ALGHIFARI</v>
      </c>
      <c r="M128" s="24"/>
      <c r="N128" s="24"/>
      <c r="O128" s="24" t="str">
        <f aca="false">B128</f>
        <v>ABIDZAR ALGHIFARI</v>
      </c>
      <c r="P128" s="24" t="s">
        <v>78</v>
      </c>
      <c r="Q128" s="24"/>
      <c r="R128" s="24" t="str">
        <f aca="false">B128</f>
        <v>ABIDZAR ALGHIFARI</v>
      </c>
      <c r="S128" s="24"/>
      <c r="T128" s="24"/>
      <c r="U128" s="24" t="n">
        <f aca="false">COUNTIF(B128:T128,"H")</f>
        <v>1</v>
      </c>
      <c r="V128" s="24" t="n">
        <f aca="false">COUNTIF(B128:T128,"ST")</f>
        <v>0</v>
      </c>
      <c r="W128" s="24" t="n">
        <f aca="false">COUNTIF(B128:T128,"I")</f>
        <v>0</v>
      </c>
      <c r="X128" s="24" t="n">
        <f aca="false">COUNTIF(B128:T128,"S")</f>
        <v>0</v>
      </c>
      <c r="Y128" s="24" t="n">
        <f aca="false">COUNTIF(B128:T128,"A")</f>
        <v>0</v>
      </c>
      <c r="Z128" s="24" t="str">
        <f aca="false">B128</f>
        <v>ABIDZAR ALGHIFARI</v>
      </c>
    </row>
    <row r="129" customFormat="false" ht="15.75" hidden="false" customHeight="false" outlineLevel="0" collapsed="false">
      <c r="A129" s="24" t="n">
        <v>21</v>
      </c>
      <c r="B129" s="24" t="str">
        <f aca="false">'absensi setoran'!B129</f>
        <v>KAFY MUHAMMAD AZIZY</v>
      </c>
      <c r="C129" s="24" t="n">
        <f aca="false">'absensi setoran'!C129</f>
        <v>7</v>
      </c>
      <c r="D129" s="24"/>
      <c r="E129" s="24"/>
      <c r="F129" s="24" t="str">
        <f aca="false">B129</f>
        <v>KAFY MUHAMMAD AZIZY</v>
      </c>
      <c r="G129" s="24"/>
      <c r="H129" s="24"/>
      <c r="I129" s="24" t="str">
        <f aca="false">B129</f>
        <v>KAFY MUHAMMAD AZIZY</v>
      </c>
      <c r="J129" s="24"/>
      <c r="K129" s="24"/>
      <c r="L129" s="24" t="str">
        <f aca="false">B129</f>
        <v>KAFY MUHAMMAD AZIZY</v>
      </c>
      <c r="M129" s="24"/>
      <c r="N129" s="24"/>
      <c r="O129" s="24" t="str">
        <f aca="false">B129</f>
        <v>KAFY MUHAMMAD AZIZY</v>
      </c>
      <c r="P129" s="24" t="s">
        <v>78</v>
      </c>
      <c r="Q129" s="24"/>
      <c r="R129" s="24" t="str">
        <f aca="false">B129</f>
        <v>KAFY MUHAMMAD AZIZY</v>
      </c>
      <c r="S129" s="24"/>
      <c r="T129" s="24"/>
      <c r="U129" s="24" t="n">
        <f aca="false">COUNTIF(B129:T129,"H")</f>
        <v>1</v>
      </c>
      <c r="V129" s="24" t="n">
        <f aca="false">COUNTIF(B129:T129,"ST")</f>
        <v>0</v>
      </c>
      <c r="W129" s="24" t="n">
        <f aca="false">COUNTIF(B129:T129,"I")</f>
        <v>0</v>
      </c>
      <c r="X129" s="24" t="n">
        <f aca="false">COUNTIF(B129:T129,"S")</f>
        <v>0</v>
      </c>
      <c r="Y129" s="24" t="n">
        <f aca="false">COUNTIF(B129:T129,"A")</f>
        <v>0</v>
      </c>
      <c r="Z129" s="24" t="str">
        <f aca="false">B129</f>
        <v>KAFY MUHAMMAD AZIZY</v>
      </c>
    </row>
    <row r="130" customFormat="false" ht="15.75" hidden="false" customHeight="false" outlineLevel="0" collapsed="false">
      <c r="A130" s="24" t="n">
        <v>22</v>
      </c>
      <c r="B130" s="24" t="e">
        <f aca="false">'absensi setoran'!B130</f>
        <v>#REF!</v>
      </c>
      <c r="C130" s="24" t="e">
        <f aca="false">'absensi setoran'!C130</f>
        <v>#REF!</v>
      </c>
      <c r="D130" s="24"/>
      <c r="E130" s="24"/>
      <c r="F130" s="24" t="e">
        <f aca="false">B130</f>
        <v>#REF!</v>
      </c>
      <c r="G130" s="24"/>
      <c r="H130" s="24"/>
      <c r="I130" s="24" t="e">
        <f aca="false">B130</f>
        <v>#REF!</v>
      </c>
      <c r="J130" s="24"/>
      <c r="K130" s="24"/>
      <c r="L130" s="24" t="e">
        <f aca="false">B130</f>
        <v>#REF!</v>
      </c>
      <c r="M130" s="24"/>
      <c r="N130" s="24"/>
      <c r="O130" s="24" t="e">
        <f aca="false">B130</f>
        <v>#REF!</v>
      </c>
      <c r="P130" s="24" t="s">
        <v>78</v>
      </c>
      <c r="Q130" s="24"/>
      <c r="R130" s="24" t="e">
        <f aca="false">B130</f>
        <v>#REF!</v>
      </c>
      <c r="S130" s="24"/>
      <c r="T130" s="24"/>
      <c r="U130" s="24" t="n">
        <f aca="false">COUNTIF(B130:T130,"H")</f>
        <v>1</v>
      </c>
      <c r="V130" s="24" t="n">
        <f aca="false">COUNTIF(B130:T130,"ST")</f>
        <v>0</v>
      </c>
      <c r="W130" s="24" t="n">
        <f aca="false">COUNTIF(B130:T130,"I")</f>
        <v>0</v>
      </c>
      <c r="X130" s="24" t="n">
        <f aca="false">COUNTIF(B130:T130,"S")</f>
        <v>0</v>
      </c>
      <c r="Y130" s="24" t="n">
        <f aca="false">COUNTIF(B130:T130,"A")</f>
        <v>0</v>
      </c>
      <c r="Z130" s="24" t="e">
        <f aca="false">B130</f>
        <v>#REF!</v>
      </c>
    </row>
    <row r="131" customFormat="false" ht="15.75" hidden="false" customHeight="false" outlineLevel="0" collapsed="false">
      <c r="A131" s="24" t="n">
        <v>23</v>
      </c>
      <c r="B131" s="24" t="str">
        <f aca="false">'absensi setoran'!B131</f>
        <v>MUHAMMAD MUNAWWAR KHOLIL</v>
      </c>
      <c r="C131" s="24" t="n">
        <f aca="false">'absensi setoran'!C131</f>
        <v>4</v>
      </c>
      <c r="D131" s="24"/>
      <c r="E131" s="24"/>
      <c r="F131" s="24" t="str">
        <f aca="false">B131</f>
        <v>MUHAMMAD MUNAWWAR KHOLIL</v>
      </c>
      <c r="G131" s="24"/>
      <c r="H131" s="24"/>
      <c r="I131" s="24" t="str">
        <f aca="false">B131</f>
        <v>MUHAMMAD MUNAWWAR KHOLIL</v>
      </c>
      <c r="J131" s="24"/>
      <c r="K131" s="24"/>
      <c r="L131" s="24" t="str">
        <f aca="false">B131</f>
        <v>MUHAMMAD MUNAWWAR KHOLIL</v>
      </c>
      <c r="M131" s="24"/>
      <c r="N131" s="24"/>
      <c r="O131" s="24" t="str">
        <f aca="false">B131</f>
        <v>MUHAMMAD MUNAWWAR KHOLIL</v>
      </c>
      <c r="P131" s="24" t="s">
        <v>78</v>
      </c>
      <c r="Q131" s="24"/>
      <c r="R131" s="24" t="str">
        <f aca="false">B131</f>
        <v>MUHAMMAD MUNAWWAR KHOLIL</v>
      </c>
      <c r="S131" s="24"/>
      <c r="T131" s="24"/>
      <c r="U131" s="24" t="n">
        <f aca="false">COUNTIF(B131:T131,"H")</f>
        <v>1</v>
      </c>
      <c r="V131" s="24" t="n">
        <f aca="false">COUNTIF(B131:T131,"ST")</f>
        <v>0</v>
      </c>
      <c r="W131" s="24" t="n">
        <f aca="false">COUNTIF(B131:T131,"I")</f>
        <v>0</v>
      </c>
      <c r="X131" s="24" t="n">
        <f aca="false">COUNTIF(B131:T131,"S")</f>
        <v>0</v>
      </c>
      <c r="Y131" s="24" t="n">
        <f aca="false">COUNTIF(B131:T131,"A")</f>
        <v>0</v>
      </c>
      <c r="Z131" s="24" t="str">
        <f aca="false">B131</f>
        <v>MUHAMMAD MUNAWWAR KHOLIL</v>
      </c>
    </row>
    <row r="132" customFormat="false" ht="15.75" hidden="false" customHeight="false" outlineLevel="0" collapsed="false">
      <c r="A132" s="24" t="n">
        <v>24</v>
      </c>
      <c r="B132" s="24" t="str">
        <f aca="false">'absensi setoran'!B132</f>
        <v>ALWI</v>
      </c>
      <c r="C132" s="24" t="n">
        <f aca="false">'absensi setoran'!C132</f>
        <v>3</v>
      </c>
      <c r="D132" s="24"/>
      <c r="E132" s="24"/>
      <c r="F132" s="24" t="str">
        <f aca="false">B132</f>
        <v>ALWI</v>
      </c>
      <c r="G132" s="24"/>
      <c r="H132" s="24"/>
      <c r="I132" s="24" t="str">
        <f aca="false">B132</f>
        <v>ALWI</v>
      </c>
      <c r="J132" s="24"/>
      <c r="K132" s="24"/>
      <c r="L132" s="24" t="str">
        <f aca="false">B132</f>
        <v>ALWI</v>
      </c>
      <c r="M132" s="24"/>
      <c r="N132" s="24"/>
      <c r="O132" s="24" t="str">
        <f aca="false">B132</f>
        <v>ALWI</v>
      </c>
      <c r="P132" s="24" t="s">
        <v>78</v>
      </c>
      <c r="Q132" s="24"/>
      <c r="R132" s="24" t="str">
        <f aca="false">B132</f>
        <v>ALWI</v>
      </c>
      <c r="S132" s="24"/>
      <c r="T132" s="24"/>
      <c r="U132" s="24" t="n">
        <f aca="false">COUNTIF(B132:T132,"H")</f>
        <v>1</v>
      </c>
      <c r="V132" s="24" t="n">
        <f aca="false">COUNTIF(B132:T132,"ST")</f>
        <v>0</v>
      </c>
      <c r="W132" s="24" t="n">
        <f aca="false">COUNTIF(B132:T132,"I")</f>
        <v>0</v>
      </c>
      <c r="X132" s="24" t="n">
        <f aca="false">COUNTIF(B132:T132,"S")</f>
        <v>0</v>
      </c>
      <c r="Y132" s="24" t="n">
        <f aca="false">COUNTIF(B132:T132,"A")</f>
        <v>0</v>
      </c>
      <c r="Z132" s="24" t="str">
        <f aca="false">B132</f>
        <v>ALWI</v>
      </c>
    </row>
    <row r="133" customFormat="false" ht="15.75" hidden="false" customHeight="false" outlineLevel="0" collapsed="false">
      <c r="A133" s="24" t="n">
        <v>25</v>
      </c>
      <c r="B133" s="24" t="str">
        <f aca="false">'absensi setoran'!B133</f>
        <v>PIRMAN</v>
      </c>
      <c r="C133" s="24" t="n">
        <f aca="false">'absensi setoran'!C133</f>
        <v>1</v>
      </c>
      <c r="D133" s="24"/>
      <c r="E133" s="24"/>
      <c r="F133" s="24" t="str">
        <f aca="false">B133</f>
        <v>PIRMAN</v>
      </c>
      <c r="G133" s="24"/>
      <c r="H133" s="24"/>
      <c r="I133" s="24" t="str">
        <f aca="false">B133</f>
        <v>PIRMAN</v>
      </c>
      <c r="J133" s="24"/>
      <c r="K133" s="24"/>
      <c r="L133" s="24" t="str">
        <f aca="false">B133</f>
        <v>PIRMAN</v>
      </c>
      <c r="M133" s="24"/>
      <c r="N133" s="24"/>
      <c r="O133" s="24" t="str">
        <f aca="false">B133</f>
        <v>PIRMAN</v>
      </c>
      <c r="P133" s="24" t="s">
        <v>78</v>
      </c>
      <c r="Q133" s="24"/>
      <c r="R133" s="24" t="str">
        <f aca="false">B133</f>
        <v>PIRMAN</v>
      </c>
      <c r="S133" s="24"/>
      <c r="T133" s="24"/>
      <c r="U133" s="24" t="n">
        <f aca="false">COUNTIF(B133:T133,"H")</f>
        <v>1</v>
      </c>
      <c r="V133" s="24" t="n">
        <f aca="false">COUNTIF(B133:T133,"ST")</f>
        <v>0</v>
      </c>
      <c r="W133" s="24" t="n">
        <f aca="false">COUNTIF(B133:T133,"I")</f>
        <v>0</v>
      </c>
      <c r="X133" s="24" t="n">
        <f aca="false">COUNTIF(B133:T133,"S")</f>
        <v>0</v>
      </c>
      <c r="Y133" s="24" t="n">
        <f aca="false">COUNTIF(B133:T133,"A")</f>
        <v>0</v>
      </c>
      <c r="Z133" s="24" t="str">
        <f aca="false">B133</f>
        <v>PIRMAN</v>
      </c>
    </row>
    <row r="134" customFormat="false" ht="15.75" hidden="false" customHeight="false" outlineLevel="0" collapsed="false">
      <c r="A134" s="24" t="n">
        <v>26</v>
      </c>
      <c r="B134" s="24" t="str">
        <f aca="false">'absensi setoran'!B134</f>
        <v>MUHAMMAD DENMAR NABAWI</v>
      </c>
      <c r="C134" s="24" t="n">
        <f aca="false">'absensi setoran'!C134</f>
        <v>1</v>
      </c>
      <c r="D134" s="24"/>
      <c r="E134" s="24"/>
      <c r="F134" s="24" t="str">
        <f aca="false">B134</f>
        <v>MUHAMMAD DENMAR NABAWI</v>
      </c>
      <c r="G134" s="24"/>
      <c r="H134" s="24"/>
      <c r="I134" s="24" t="str">
        <f aca="false">B134</f>
        <v>MUHAMMAD DENMAR NABAWI</v>
      </c>
      <c r="J134" s="24"/>
      <c r="K134" s="24"/>
      <c r="L134" s="24" t="str">
        <f aca="false">B134</f>
        <v>MUHAMMAD DENMAR NABAWI</v>
      </c>
      <c r="M134" s="24"/>
      <c r="N134" s="24"/>
      <c r="O134" s="24" t="str">
        <f aca="false">B134</f>
        <v>MUHAMMAD DENMAR NABAWI</v>
      </c>
      <c r="P134" s="24" t="s">
        <v>78</v>
      </c>
      <c r="Q134" s="24"/>
      <c r="R134" s="24" t="str">
        <f aca="false">B134</f>
        <v>MUHAMMAD DENMAR NABAWI</v>
      </c>
      <c r="S134" s="24"/>
      <c r="T134" s="24"/>
      <c r="U134" s="24" t="n">
        <f aca="false">COUNTIF(B134:T134,"H")</f>
        <v>1</v>
      </c>
      <c r="V134" s="24" t="n">
        <f aca="false">COUNTIF(B134:T134,"ST")</f>
        <v>0</v>
      </c>
      <c r="W134" s="24" t="n">
        <f aca="false">COUNTIF(B134:T134,"I")</f>
        <v>0</v>
      </c>
      <c r="X134" s="24" t="n">
        <f aca="false">COUNTIF(B134:T134,"S")</f>
        <v>0</v>
      </c>
      <c r="Y134" s="24" t="n">
        <f aca="false">COUNTIF(B134:T134,"A")</f>
        <v>0</v>
      </c>
      <c r="Z134" s="24" t="str">
        <f aca="false">B134</f>
        <v>MUHAMMAD DENMAR NABAWI</v>
      </c>
    </row>
    <row r="135" customFormat="false" ht="15.75" hidden="false" customHeight="false" outlineLevel="0" collapsed="false">
      <c r="A135" s="24" t="n">
        <v>27</v>
      </c>
      <c r="B135" s="24" t="e">
        <f aca="false">'absensi setoran'!B135</f>
        <v>#REF!</v>
      </c>
      <c r="C135" s="24" t="e">
        <f aca="false">'absensi setoran'!C135</f>
        <v>#REF!</v>
      </c>
      <c r="D135" s="24"/>
      <c r="E135" s="24"/>
      <c r="F135" s="24" t="e">
        <f aca="false">B135</f>
        <v>#REF!</v>
      </c>
      <c r="G135" s="24"/>
      <c r="H135" s="24"/>
      <c r="I135" s="24" t="e">
        <f aca="false">B135</f>
        <v>#REF!</v>
      </c>
      <c r="J135" s="24"/>
      <c r="K135" s="24"/>
      <c r="L135" s="24" t="e">
        <f aca="false">B135</f>
        <v>#REF!</v>
      </c>
      <c r="M135" s="24"/>
      <c r="N135" s="24"/>
      <c r="O135" s="24" t="e">
        <f aca="false">B135</f>
        <v>#REF!</v>
      </c>
      <c r="P135" s="24" t="s">
        <v>78</v>
      </c>
      <c r="Q135" s="24"/>
      <c r="R135" s="24" t="e">
        <f aca="false">B135</f>
        <v>#REF!</v>
      </c>
      <c r="S135" s="24"/>
      <c r="T135" s="24"/>
      <c r="U135" s="24" t="n">
        <f aca="false">COUNTIF(B135:T135,"H")</f>
        <v>1</v>
      </c>
      <c r="V135" s="24" t="n">
        <f aca="false">COUNTIF(B135:T135,"ST")</f>
        <v>0</v>
      </c>
      <c r="W135" s="24" t="n">
        <f aca="false">COUNTIF(B135:T135,"I")</f>
        <v>0</v>
      </c>
      <c r="X135" s="24" t="n">
        <f aca="false">COUNTIF(B135:T135,"S")</f>
        <v>0</v>
      </c>
      <c r="Y135" s="24" t="n">
        <f aca="false">COUNTIF(B135:T135,"A")</f>
        <v>0</v>
      </c>
      <c r="Z135" s="24" t="e">
        <f aca="false">B135</f>
        <v>#REF!</v>
      </c>
    </row>
    <row r="136" customFormat="false" ht="15.75" hidden="false" customHeight="false" outlineLevel="0" collapsed="false">
      <c r="A136" s="24" t="n">
        <v>28</v>
      </c>
      <c r="B136" s="24" t="e">
        <f aca="false">'absensi setoran'!B136</f>
        <v>#REF!</v>
      </c>
      <c r="C136" s="24" t="e">
        <f aca="false">'absensi setoran'!C136</f>
        <v>#REF!</v>
      </c>
      <c r="D136" s="24"/>
      <c r="E136" s="24"/>
      <c r="F136" s="24" t="e">
        <f aca="false">B136</f>
        <v>#REF!</v>
      </c>
      <c r="G136" s="24"/>
      <c r="H136" s="24"/>
      <c r="I136" s="24" t="e">
        <f aca="false">B136</f>
        <v>#REF!</v>
      </c>
      <c r="J136" s="24"/>
      <c r="K136" s="24"/>
      <c r="L136" s="24" t="e">
        <f aca="false">B136</f>
        <v>#REF!</v>
      </c>
      <c r="M136" s="24"/>
      <c r="N136" s="24"/>
      <c r="O136" s="24" t="e">
        <f aca="false">B136</f>
        <v>#REF!</v>
      </c>
      <c r="P136" s="24"/>
      <c r="Q136" s="24"/>
      <c r="R136" s="24" t="e">
        <f aca="false">B136</f>
        <v>#REF!</v>
      </c>
      <c r="S136" s="24"/>
      <c r="T136" s="24"/>
      <c r="U136" s="24" t="n">
        <f aca="false">COUNTIF(B136:T136,"H")</f>
        <v>0</v>
      </c>
      <c r="V136" s="24" t="n">
        <f aca="false">COUNTIF(B136:T136,"ST")</f>
        <v>0</v>
      </c>
      <c r="W136" s="24" t="n">
        <f aca="false">COUNTIF(B136:T136,"I")</f>
        <v>0</v>
      </c>
      <c r="X136" s="24" t="n">
        <f aca="false">COUNTIF(B136:T136,"S")</f>
        <v>0</v>
      </c>
      <c r="Y136" s="24" t="n">
        <f aca="false">COUNTIF(B136:T136,"A")</f>
        <v>0</v>
      </c>
      <c r="Z136" s="24" t="e">
        <f aca="false">B136</f>
        <v>#REF!</v>
      </c>
    </row>
    <row r="137" customFormat="false" ht="15.75" hidden="false" customHeight="false" outlineLevel="0" collapsed="false">
      <c r="A137" s="19" t="s">
        <v>57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customFormat="false" ht="15.75" hidden="false" customHeight="tru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customFormat="false" ht="15.7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customFormat="false" ht="15.75" hidden="false" customHeight="false" outlineLevel="0" collapsed="false">
      <c r="A140" s="20" t="s">
        <v>301</v>
      </c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customFormat="false" ht="15.75" hidden="false" customHeight="false" outlineLevel="0" collapsed="false">
      <c r="A141" s="21" t="s">
        <v>1</v>
      </c>
      <c r="B141" s="21" t="s">
        <v>2</v>
      </c>
      <c r="C141" s="22"/>
      <c r="D141" s="21" t="s">
        <v>262</v>
      </c>
      <c r="E141" s="21"/>
      <c r="F141" s="21" t="s">
        <v>2</v>
      </c>
      <c r="G141" s="21" t="s">
        <v>302</v>
      </c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39" t="s">
        <v>49</v>
      </c>
      <c r="V141" s="39"/>
      <c r="W141" s="39"/>
      <c r="X141" s="39"/>
      <c r="Y141" s="39"/>
      <c r="Z141" s="39"/>
    </row>
    <row r="142" customFormat="false" ht="15.75" hidden="false" customHeight="false" outlineLevel="0" collapsed="false">
      <c r="A142" s="21"/>
      <c r="B142" s="21"/>
      <c r="C142" s="22" t="s">
        <v>50</v>
      </c>
      <c r="D142" s="40" t="s">
        <v>296</v>
      </c>
      <c r="E142" s="40" t="s">
        <v>303</v>
      </c>
      <c r="F142" s="21"/>
      <c r="G142" s="40" t="s">
        <v>296</v>
      </c>
      <c r="H142" s="40" t="s">
        <v>303</v>
      </c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4" t="s">
        <v>51</v>
      </c>
      <c r="V142" s="24" t="s">
        <v>52</v>
      </c>
      <c r="W142" s="24" t="s">
        <v>53</v>
      </c>
      <c r="X142" s="24" t="s">
        <v>54</v>
      </c>
      <c r="Y142" s="24" t="s">
        <v>55</v>
      </c>
      <c r="Z142" s="24"/>
    </row>
    <row r="143" customFormat="false" ht="15.75" hidden="false" customHeight="false" outlineLevel="0" collapsed="false">
      <c r="A143" s="24" t="n">
        <v>1</v>
      </c>
      <c r="B143" s="24" t="str">
        <f aca="false">'absensi setoran'!B143</f>
        <v>AYI KOSIM HATIMI</v>
      </c>
      <c r="C143" s="24" t="n">
        <f aca="false">'absensi setoran'!C143</f>
        <v>30</v>
      </c>
      <c r="D143" s="24"/>
      <c r="E143" s="24"/>
      <c r="F143" s="24" t="str">
        <f aca="false">B143</f>
        <v>AYI KOSIM HATIMI</v>
      </c>
      <c r="G143" s="24"/>
      <c r="H143" s="24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4" t="n">
        <f aca="false">COUNTIF(B143:T143,"H")</f>
        <v>0</v>
      </c>
      <c r="V143" s="24" t="n">
        <f aca="false">COUNTIF(B143:T143,"ST")</f>
        <v>0</v>
      </c>
      <c r="W143" s="24" t="n">
        <f aca="false">COUNTIF(B143:T143,"I")</f>
        <v>0</v>
      </c>
      <c r="X143" s="24" t="n">
        <f aca="false">COUNTIF(B143:T143,"S")</f>
        <v>0</v>
      </c>
      <c r="Y143" s="24" t="n">
        <f aca="false">COUNTIF(B143:T143,"A")</f>
        <v>0</v>
      </c>
      <c r="Z143" s="24" t="str">
        <f aca="false">B143</f>
        <v>AYI KOSIM HATIMI</v>
      </c>
    </row>
    <row r="144" customFormat="false" ht="15.75" hidden="false" customHeight="false" outlineLevel="0" collapsed="false">
      <c r="A144" s="24" t="n">
        <v>2</v>
      </c>
      <c r="B144" s="24" t="str">
        <f aca="false">'absensi setoran'!B144</f>
        <v>ABRURRAHMAN AFANDI</v>
      </c>
      <c r="C144" s="24" t="n">
        <f aca="false">'absensi setoran'!C144</f>
        <v>30</v>
      </c>
      <c r="D144" s="24"/>
      <c r="E144" s="24"/>
      <c r="F144" s="24" t="str">
        <f aca="false">B144</f>
        <v>ABRURRAHMAN AFANDI</v>
      </c>
      <c r="G144" s="24"/>
      <c r="H144" s="24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4" t="n">
        <f aca="false">COUNTIF(B144:T144,"H")</f>
        <v>0</v>
      </c>
      <c r="V144" s="24" t="n">
        <f aca="false">COUNTIF(B144:T144,"ST")</f>
        <v>0</v>
      </c>
      <c r="W144" s="24" t="n">
        <f aca="false">COUNTIF(B144:T144,"I")</f>
        <v>0</v>
      </c>
      <c r="X144" s="24" t="n">
        <f aca="false">COUNTIF(B144:T144,"S")</f>
        <v>0</v>
      </c>
      <c r="Y144" s="24" t="n">
        <f aca="false">COUNTIF(B144:T144,"A")</f>
        <v>0</v>
      </c>
      <c r="Z144" s="24" t="str">
        <f aca="false">B144</f>
        <v>ABRURRAHMAN AFANDI</v>
      </c>
    </row>
    <row r="145" customFormat="false" ht="15.75" hidden="false" customHeight="false" outlineLevel="0" collapsed="false">
      <c r="A145" s="24" t="n">
        <v>3</v>
      </c>
      <c r="B145" s="24" t="str">
        <f aca="false">'absensi setoran'!B145</f>
        <v>CECEP ABDULATIF</v>
      </c>
      <c r="C145" s="24" t="n">
        <f aca="false">'absensi setoran'!C145</f>
        <v>30</v>
      </c>
      <c r="D145" s="24"/>
      <c r="E145" s="24"/>
      <c r="F145" s="24" t="str">
        <f aca="false">B145</f>
        <v>CECEP ABDULATIF</v>
      </c>
      <c r="G145" s="24"/>
      <c r="H145" s="24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4" t="n">
        <f aca="false">COUNTIF(B145:T145,"H")</f>
        <v>0</v>
      </c>
      <c r="V145" s="24" t="n">
        <f aca="false">COUNTIF(B145:T145,"ST")</f>
        <v>0</v>
      </c>
      <c r="W145" s="24" t="n">
        <f aca="false">COUNTIF(B145:T145,"I")</f>
        <v>0</v>
      </c>
      <c r="X145" s="24" t="n">
        <f aca="false">COUNTIF(B145:T145,"S")</f>
        <v>0</v>
      </c>
      <c r="Y145" s="24" t="n">
        <f aca="false">COUNTIF(B145:T145,"A")</f>
        <v>0</v>
      </c>
      <c r="Z145" s="24" t="str">
        <f aca="false">B145</f>
        <v>CECEP ABDULATIF</v>
      </c>
    </row>
    <row r="146" customFormat="false" ht="15.75" hidden="false" customHeight="false" outlineLevel="0" collapsed="false">
      <c r="A146" s="24" t="n">
        <v>4</v>
      </c>
      <c r="B146" s="24" t="str">
        <f aca="false">'absensi setoran'!B146</f>
        <v>DONI SUPRIATNA</v>
      </c>
      <c r="C146" s="24" t="n">
        <f aca="false">'absensi setoran'!C146</f>
        <v>30</v>
      </c>
      <c r="D146" s="24"/>
      <c r="E146" s="24"/>
      <c r="F146" s="24" t="str">
        <f aca="false">B146</f>
        <v>DONI SUPRIATNA</v>
      </c>
      <c r="G146" s="24"/>
      <c r="H146" s="24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4" t="n">
        <f aca="false">COUNTIF(B146:T146,"H")</f>
        <v>0</v>
      </c>
      <c r="V146" s="24" t="n">
        <f aca="false">COUNTIF(B146:T146,"ST")</f>
        <v>0</v>
      </c>
      <c r="W146" s="24" t="n">
        <f aca="false">COUNTIF(B146:T146,"I")</f>
        <v>0</v>
      </c>
      <c r="X146" s="24" t="n">
        <f aca="false">COUNTIF(B146:T146,"S")</f>
        <v>0</v>
      </c>
      <c r="Y146" s="24" t="n">
        <f aca="false">COUNTIF(B146:T146,"A")</f>
        <v>0</v>
      </c>
      <c r="Z146" s="24" t="str">
        <f aca="false">B146</f>
        <v>DONI SUPRIATNA</v>
      </c>
    </row>
    <row r="147" customFormat="false" ht="15.75" hidden="false" customHeight="false" outlineLevel="0" collapsed="false">
      <c r="A147" s="24" t="n">
        <v>5</v>
      </c>
      <c r="B147" s="24" t="e">
        <f aca="false">'absensi setoran'!B147</f>
        <v>#REF!</v>
      </c>
      <c r="C147" s="24" t="e">
        <f aca="false">'absensi setoran'!C147</f>
        <v>#REF!</v>
      </c>
      <c r="D147" s="24"/>
      <c r="E147" s="24"/>
      <c r="F147" s="24" t="e">
        <f aca="false">B147</f>
        <v>#REF!</v>
      </c>
      <c r="G147" s="24"/>
      <c r="H147" s="24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4" t="n">
        <f aca="false">COUNTIF(B147:T147,"H")</f>
        <v>0</v>
      </c>
      <c r="V147" s="24" t="n">
        <f aca="false">COUNTIF(B147:T147,"ST")</f>
        <v>0</v>
      </c>
      <c r="W147" s="24" t="n">
        <f aca="false">COUNTIF(B147:T147,"I")</f>
        <v>0</v>
      </c>
      <c r="X147" s="24" t="n">
        <f aca="false">COUNTIF(B147:T147,"S")</f>
        <v>0</v>
      </c>
      <c r="Y147" s="24" t="n">
        <f aca="false">COUNTIF(B147:T147,"A")</f>
        <v>0</v>
      </c>
      <c r="Z147" s="24" t="e">
        <f aca="false">B147</f>
        <v>#REF!</v>
      </c>
    </row>
    <row r="148" customFormat="false" ht="15.75" hidden="false" customHeight="false" outlineLevel="0" collapsed="false">
      <c r="A148" s="24" t="n">
        <v>6</v>
      </c>
      <c r="B148" s="24" t="str">
        <f aca="false">'absensi setoran'!B148</f>
        <v>ZAKY AZHARI</v>
      </c>
      <c r="C148" s="24" t="n">
        <f aca="false">'absensi setoran'!C148</f>
        <v>30</v>
      </c>
      <c r="D148" s="24"/>
      <c r="E148" s="24"/>
      <c r="F148" s="24" t="str">
        <f aca="false">B148</f>
        <v>ZAKY AZHARI</v>
      </c>
      <c r="G148" s="24"/>
      <c r="H148" s="24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4" t="n">
        <f aca="false">COUNTIF(B148:T148,"H")</f>
        <v>0</v>
      </c>
      <c r="V148" s="24" t="n">
        <f aca="false">COUNTIF(B148:T148,"ST")</f>
        <v>0</v>
      </c>
      <c r="W148" s="24" t="n">
        <f aca="false">COUNTIF(B148:T148,"I")</f>
        <v>0</v>
      </c>
      <c r="X148" s="24" t="n">
        <f aca="false">COUNTIF(B148:T148,"S")</f>
        <v>0</v>
      </c>
      <c r="Y148" s="24" t="n">
        <f aca="false">COUNTIF(B148:T148,"A")</f>
        <v>0</v>
      </c>
      <c r="Z148" s="24" t="str">
        <f aca="false">B148</f>
        <v>ZAKY AZHARI</v>
      </c>
    </row>
    <row r="149" customFormat="false" ht="15.75" hidden="false" customHeight="false" outlineLevel="0" collapsed="false">
      <c r="A149" s="24" t="n">
        <v>7</v>
      </c>
      <c r="B149" s="24" t="str">
        <f aca="false">'absensi setoran'!B149</f>
        <v>MUHAMMAD FAUZIL ADZIM</v>
      </c>
      <c r="C149" s="24" t="n">
        <f aca="false">'absensi setoran'!C149</f>
        <v>30</v>
      </c>
      <c r="D149" s="24"/>
      <c r="E149" s="24"/>
      <c r="F149" s="24" t="str">
        <f aca="false">B149</f>
        <v>MUHAMMAD FAUZIL ADZIM</v>
      </c>
      <c r="G149" s="24"/>
      <c r="H149" s="24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4" t="n">
        <f aca="false">COUNTIF(B149:T149,"H")</f>
        <v>0</v>
      </c>
      <c r="V149" s="24" t="n">
        <f aca="false">COUNTIF(B149:T149,"ST")</f>
        <v>0</v>
      </c>
      <c r="W149" s="24" t="n">
        <f aca="false">COUNTIF(B149:T149,"I")</f>
        <v>0</v>
      </c>
      <c r="X149" s="24" t="n">
        <f aca="false">COUNTIF(B149:T149,"S")</f>
        <v>0</v>
      </c>
      <c r="Y149" s="24" t="n">
        <f aca="false">COUNTIF(B149:T149,"A")</f>
        <v>0</v>
      </c>
      <c r="Z149" s="24" t="str">
        <f aca="false">B149</f>
        <v>MUHAMMAD FAUZIL ADZIM</v>
      </c>
    </row>
    <row r="150" customFormat="false" ht="15.75" hidden="false" customHeight="false" outlineLevel="0" collapsed="false">
      <c r="A150" s="24" t="n">
        <v>8</v>
      </c>
      <c r="B150" s="24" t="str">
        <f aca="false">'absensi setoran'!B150</f>
        <v>MUHAMMAD DZIKRI HUSAENI</v>
      </c>
      <c r="C150" s="24" t="n">
        <f aca="false">'absensi setoran'!C150</f>
        <v>18</v>
      </c>
      <c r="D150" s="24"/>
      <c r="E150" s="24"/>
      <c r="F150" s="24" t="str">
        <f aca="false">B150</f>
        <v>MUHAMMAD DZIKRI HUSAENI</v>
      </c>
      <c r="G150" s="24"/>
      <c r="H150" s="24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4" t="n">
        <f aca="false">COUNTIF(B150:T150,"H")</f>
        <v>0</v>
      </c>
      <c r="V150" s="24" t="n">
        <f aca="false">COUNTIF(B150:T150,"ST")</f>
        <v>0</v>
      </c>
      <c r="W150" s="24" t="n">
        <f aca="false">COUNTIF(B150:T150,"I")</f>
        <v>0</v>
      </c>
      <c r="X150" s="24" t="n">
        <f aca="false">COUNTIF(B150:T150,"S")</f>
        <v>0</v>
      </c>
      <c r="Y150" s="24" t="n">
        <f aca="false">COUNTIF(B150:T150,"A")</f>
        <v>0</v>
      </c>
      <c r="Z150" s="24" t="str">
        <f aca="false">B150</f>
        <v>MUHAMMAD DZIKRI HUSAENI</v>
      </c>
    </row>
    <row r="151" customFormat="false" ht="15.75" hidden="false" customHeight="false" outlineLevel="0" collapsed="false">
      <c r="A151" s="24" t="n">
        <v>9</v>
      </c>
      <c r="B151" s="24" t="e">
        <f aca="false">'absensi setoran'!B151</f>
        <v>#REF!</v>
      </c>
      <c r="C151" s="24" t="e">
        <f aca="false">'absensi setoran'!C151</f>
        <v>#REF!</v>
      </c>
      <c r="D151" s="24"/>
      <c r="E151" s="24"/>
      <c r="F151" s="24" t="e">
        <f aca="false">B151</f>
        <v>#REF!</v>
      </c>
      <c r="G151" s="24"/>
      <c r="H151" s="24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4" t="n">
        <f aca="false">COUNTIF(B151:T151,"H")</f>
        <v>0</v>
      </c>
      <c r="V151" s="24" t="n">
        <f aca="false">COUNTIF(B151:T151,"ST")</f>
        <v>0</v>
      </c>
      <c r="W151" s="24" t="n">
        <f aca="false">COUNTIF(B151:T151,"I")</f>
        <v>0</v>
      </c>
      <c r="X151" s="24" t="n">
        <f aca="false">COUNTIF(B151:T151,"S")</f>
        <v>0</v>
      </c>
      <c r="Y151" s="24" t="n">
        <f aca="false">COUNTIF(B151:T151,"A")</f>
        <v>0</v>
      </c>
      <c r="Z151" s="24" t="e">
        <f aca="false">B151</f>
        <v>#REF!</v>
      </c>
    </row>
    <row r="152" customFormat="false" ht="15.75" hidden="false" customHeight="false" outlineLevel="0" collapsed="false">
      <c r="A152" s="24" t="n">
        <v>10</v>
      </c>
      <c r="B152" s="24" t="str">
        <f aca="false">'absensi setoran'!B152</f>
        <v>ABDUL KHOLIQ</v>
      </c>
      <c r="C152" s="24" t="n">
        <f aca="false">'absensi setoran'!C152</f>
        <v>14</v>
      </c>
      <c r="D152" s="24"/>
      <c r="E152" s="24"/>
      <c r="F152" s="24" t="str">
        <f aca="false">B152</f>
        <v>ABDUL KHOLIQ</v>
      </c>
      <c r="G152" s="24"/>
      <c r="H152" s="24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4" t="n">
        <f aca="false">COUNTIF(B152:T152,"H")</f>
        <v>0</v>
      </c>
      <c r="V152" s="24" t="n">
        <f aca="false">COUNTIF(B152:T152,"ST")</f>
        <v>0</v>
      </c>
      <c r="W152" s="24" t="n">
        <f aca="false">COUNTIF(B152:T152,"I")</f>
        <v>0</v>
      </c>
      <c r="X152" s="24" t="n">
        <f aca="false">COUNTIF(B152:T152,"S")</f>
        <v>0</v>
      </c>
      <c r="Y152" s="24" t="n">
        <f aca="false">COUNTIF(B152:T152,"A")</f>
        <v>0</v>
      </c>
      <c r="Z152" s="24" t="str">
        <f aca="false">B152</f>
        <v>ABDUL KHOLIQ</v>
      </c>
    </row>
    <row r="153" customFormat="false" ht="15.75" hidden="false" customHeight="false" outlineLevel="0" collapsed="false">
      <c r="A153" s="24" t="n">
        <v>11</v>
      </c>
      <c r="B153" s="24" t="str">
        <f aca="false">'absensi setoran'!B153</f>
        <v>IYAN FARID</v>
      </c>
      <c r="C153" s="24" t="n">
        <f aca="false">'absensi setoran'!C153</f>
        <v>13</v>
      </c>
      <c r="D153" s="24"/>
      <c r="E153" s="24"/>
      <c r="F153" s="24" t="str">
        <f aca="false">B153</f>
        <v>IYAN FARID</v>
      </c>
      <c r="G153" s="24"/>
      <c r="H153" s="24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4" t="n">
        <f aca="false">COUNTIF(B153:T153,"H")</f>
        <v>0</v>
      </c>
      <c r="V153" s="24" t="n">
        <f aca="false">COUNTIF(B153:T153,"ST")</f>
        <v>0</v>
      </c>
      <c r="W153" s="24" t="n">
        <f aca="false">COUNTIF(B153:T153,"I")</f>
        <v>0</v>
      </c>
      <c r="X153" s="24" t="n">
        <f aca="false">COUNTIF(B153:T153,"S")</f>
        <v>0</v>
      </c>
      <c r="Y153" s="24" t="n">
        <f aca="false">COUNTIF(B153:T153,"A")</f>
        <v>0</v>
      </c>
      <c r="Z153" s="24" t="str">
        <f aca="false">B153</f>
        <v>IYAN FARID</v>
      </c>
    </row>
    <row r="154" customFormat="false" ht="15.75" hidden="false" customHeight="false" outlineLevel="0" collapsed="false">
      <c r="A154" s="24" t="n">
        <v>12</v>
      </c>
      <c r="B154" s="24" t="str">
        <f aca="false">'absensi setoran'!B154</f>
        <v>ZAENI NURIL HIKAM</v>
      </c>
      <c r="C154" s="24" t="n">
        <f aca="false">'absensi setoran'!C154</f>
        <v>12</v>
      </c>
      <c r="D154" s="24"/>
      <c r="E154" s="24"/>
      <c r="F154" s="24" t="str">
        <f aca="false">B154</f>
        <v>ZAENI NURIL HIKAM</v>
      </c>
      <c r="G154" s="24"/>
      <c r="H154" s="24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4" t="n">
        <f aca="false">COUNTIF(B154:T154,"H")</f>
        <v>0</v>
      </c>
      <c r="V154" s="24" t="n">
        <f aca="false">COUNTIF(B154:T154,"ST")</f>
        <v>0</v>
      </c>
      <c r="W154" s="24" t="n">
        <f aca="false">COUNTIF(B154:T154,"I")</f>
        <v>0</v>
      </c>
      <c r="X154" s="24" t="n">
        <f aca="false">COUNTIF(B154:T154,"S")</f>
        <v>0</v>
      </c>
      <c r="Y154" s="24" t="n">
        <f aca="false">COUNTIF(B154:T154,"A")</f>
        <v>0</v>
      </c>
      <c r="Z154" s="24" t="str">
        <f aca="false">B154</f>
        <v>ZAENI NURIL HIKAM</v>
      </c>
    </row>
    <row r="155" customFormat="false" ht="15.75" hidden="false" customHeight="false" outlineLevel="0" collapsed="false">
      <c r="A155" s="24" t="n">
        <v>13</v>
      </c>
      <c r="B155" s="24" t="str">
        <f aca="false">'absensi setoran'!B155</f>
        <v>LUCKY KURNIAWAN</v>
      </c>
      <c r="C155" s="24" t="n">
        <f aca="false">'absensi setoran'!C155</f>
        <v>12</v>
      </c>
      <c r="D155" s="24"/>
      <c r="E155" s="24"/>
      <c r="F155" s="24" t="str">
        <f aca="false">B155</f>
        <v>LUCKY KURNIAWAN</v>
      </c>
      <c r="G155" s="24"/>
      <c r="H155" s="24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4" t="n">
        <f aca="false">COUNTIF(B155:T155,"H")</f>
        <v>0</v>
      </c>
      <c r="V155" s="24" t="n">
        <f aca="false">COUNTIF(B155:T155,"ST")</f>
        <v>0</v>
      </c>
      <c r="W155" s="24" t="n">
        <f aca="false">COUNTIF(B155:T155,"I")</f>
        <v>0</v>
      </c>
      <c r="X155" s="24" t="n">
        <f aca="false">COUNTIF(B155:T155,"S")</f>
        <v>0</v>
      </c>
      <c r="Y155" s="24" t="n">
        <f aca="false">COUNTIF(B155:T155,"A")</f>
        <v>0</v>
      </c>
      <c r="Z155" s="24" t="str">
        <f aca="false">B155</f>
        <v>LUCKY KURNIAWAN</v>
      </c>
    </row>
    <row r="156" customFormat="false" ht="15.75" hidden="false" customHeight="false" outlineLevel="0" collapsed="false">
      <c r="A156" s="24" t="n">
        <v>14</v>
      </c>
      <c r="B156" s="24" t="str">
        <f aca="false">'absensi setoran'!B156</f>
        <v>MUHAMMAD RAFIK MUHARAM</v>
      </c>
      <c r="C156" s="24" t="n">
        <f aca="false">'absensi setoran'!C156</f>
        <v>12</v>
      </c>
      <c r="D156" s="24"/>
      <c r="E156" s="24"/>
      <c r="F156" s="24" t="str">
        <f aca="false">B156</f>
        <v>MUHAMMAD RAFIK MUHARAM</v>
      </c>
      <c r="G156" s="24"/>
      <c r="H156" s="24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4" t="n">
        <f aca="false">COUNTIF(B156:T156,"H")</f>
        <v>0</v>
      </c>
      <c r="V156" s="24" t="n">
        <f aca="false">COUNTIF(B156:T156,"ST")</f>
        <v>0</v>
      </c>
      <c r="W156" s="24" t="n">
        <f aca="false">COUNTIF(B156:T156,"I")</f>
        <v>0</v>
      </c>
      <c r="X156" s="24" t="n">
        <f aca="false">COUNTIF(B156:T156,"S")</f>
        <v>0</v>
      </c>
      <c r="Y156" s="24" t="n">
        <f aca="false">COUNTIF(B156:T156,"A")</f>
        <v>0</v>
      </c>
      <c r="Z156" s="24" t="str">
        <f aca="false">B156</f>
        <v>MUHAMMAD RAFIK MUHARAM</v>
      </c>
    </row>
    <row r="157" customFormat="false" ht="15.75" hidden="false" customHeight="false" outlineLevel="0" collapsed="false">
      <c r="A157" s="24" t="n">
        <v>15</v>
      </c>
      <c r="B157" s="24" t="str">
        <f aca="false">'absensi setoran'!B157</f>
        <v>UMAR ABDUL MALIK</v>
      </c>
      <c r="C157" s="24" t="n">
        <f aca="false">'absensi setoran'!C157</f>
        <v>11</v>
      </c>
      <c r="D157" s="24"/>
      <c r="E157" s="24"/>
      <c r="F157" s="24" t="str">
        <f aca="false">B157</f>
        <v>UMAR ABDUL MALIK</v>
      </c>
      <c r="G157" s="24"/>
      <c r="H157" s="24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4" t="n">
        <f aca="false">COUNTIF(B157:T157,"H")</f>
        <v>0</v>
      </c>
      <c r="V157" s="24" t="n">
        <f aca="false">COUNTIF(B157:T157,"ST")</f>
        <v>0</v>
      </c>
      <c r="W157" s="24" t="n">
        <f aca="false">COUNTIF(B157:T157,"I")</f>
        <v>0</v>
      </c>
      <c r="X157" s="24" t="n">
        <f aca="false">COUNTIF(B157:T157,"S")</f>
        <v>0</v>
      </c>
      <c r="Y157" s="24" t="n">
        <f aca="false">COUNTIF(B157:T157,"A")</f>
        <v>0</v>
      </c>
      <c r="Z157" s="24" t="str">
        <f aca="false">B157</f>
        <v>UMAR ABDUL MALIK</v>
      </c>
    </row>
    <row r="158" customFormat="false" ht="15.75" hidden="false" customHeight="false" outlineLevel="0" collapsed="false">
      <c r="A158" s="24" t="n">
        <v>16</v>
      </c>
      <c r="B158" s="24" t="str">
        <f aca="false">'absensi setoran'!B158</f>
        <v>AHMAD HAFIDZ ALHAWARI</v>
      </c>
      <c r="C158" s="24" t="n">
        <f aca="false">'absensi setoran'!C158</f>
        <v>10</v>
      </c>
      <c r="D158" s="24"/>
      <c r="E158" s="24"/>
      <c r="F158" s="24" t="str">
        <f aca="false">B158</f>
        <v>AHMAD HAFIDZ ALHAWARI</v>
      </c>
      <c r="G158" s="24"/>
      <c r="H158" s="24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4" t="n">
        <f aca="false">COUNTIF(B158:T158,"H")</f>
        <v>0</v>
      </c>
      <c r="V158" s="24" t="n">
        <f aca="false">COUNTIF(B158:T158,"ST")</f>
        <v>0</v>
      </c>
      <c r="W158" s="24" t="n">
        <f aca="false">COUNTIF(B158:T158,"I")</f>
        <v>0</v>
      </c>
      <c r="X158" s="24" t="n">
        <f aca="false">COUNTIF(B158:T158,"S")</f>
        <v>0</v>
      </c>
      <c r="Y158" s="24" t="n">
        <f aca="false">COUNTIF(B158:T158,"A")</f>
        <v>0</v>
      </c>
      <c r="Z158" s="24" t="str">
        <f aca="false">B158</f>
        <v>AHMAD HAFIDZ ALHAWARI</v>
      </c>
    </row>
    <row r="159" customFormat="false" ht="15.75" hidden="false" customHeight="false" outlineLevel="0" collapsed="false">
      <c r="A159" s="24" t="n">
        <v>17</v>
      </c>
      <c r="B159" s="24" t="str">
        <f aca="false">'absensi setoran'!B159</f>
        <v>ABIDZAR FAYYAD AL FARIZI</v>
      </c>
      <c r="C159" s="24" t="n">
        <f aca="false">'absensi setoran'!C159</f>
        <v>10</v>
      </c>
      <c r="D159" s="24"/>
      <c r="E159" s="24"/>
      <c r="F159" s="24" t="str">
        <f aca="false">B159</f>
        <v>ABIDZAR FAYYAD AL FARIZI</v>
      </c>
      <c r="G159" s="24"/>
      <c r="H159" s="24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4" t="n">
        <f aca="false">COUNTIF(B159:T159,"H")</f>
        <v>0</v>
      </c>
      <c r="V159" s="24" t="n">
        <f aca="false">COUNTIF(B159:T159,"ST")</f>
        <v>0</v>
      </c>
      <c r="W159" s="24" t="n">
        <f aca="false">COUNTIF(B159:T159,"I")</f>
        <v>0</v>
      </c>
      <c r="X159" s="24" t="n">
        <f aca="false">COUNTIF(B159:T159,"S")</f>
        <v>0</v>
      </c>
      <c r="Y159" s="24" t="n">
        <f aca="false">COUNTIF(B159:T159,"A")</f>
        <v>0</v>
      </c>
      <c r="Z159" s="24" t="str">
        <f aca="false">B159</f>
        <v>ABIDZAR FAYYAD AL FARIZI</v>
      </c>
    </row>
    <row r="160" customFormat="false" ht="15.75" hidden="false" customHeight="false" outlineLevel="0" collapsed="false">
      <c r="A160" s="24" t="n">
        <v>18</v>
      </c>
      <c r="B160" s="24" t="str">
        <f aca="false">'absensi setoran'!B160</f>
        <v>AKBAR RAMADAN</v>
      </c>
      <c r="C160" s="24" t="n">
        <f aca="false">'absensi setoran'!C160</f>
        <v>9</v>
      </c>
      <c r="D160" s="24"/>
      <c r="E160" s="24"/>
      <c r="F160" s="24" t="str">
        <f aca="false">B160</f>
        <v>AKBAR RAMADAN</v>
      </c>
      <c r="G160" s="24"/>
      <c r="H160" s="24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4" t="n">
        <f aca="false">COUNTIF(B160:T160,"H")</f>
        <v>0</v>
      </c>
      <c r="V160" s="24" t="n">
        <f aca="false">COUNTIF(B160:T160,"ST")</f>
        <v>0</v>
      </c>
      <c r="W160" s="24" t="n">
        <f aca="false">COUNTIF(B160:T160,"I")</f>
        <v>0</v>
      </c>
      <c r="X160" s="24" t="n">
        <f aca="false">COUNTIF(B160:T160,"S")</f>
        <v>0</v>
      </c>
      <c r="Y160" s="24" t="n">
        <f aca="false">COUNTIF(B160:T160,"A")</f>
        <v>0</v>
      </c>
      <c r="Z160" s="24" t="str">
        <f aca="false">B160</f>
        <v>AKBAR RAMADAN</v>
      </c>
    </row>
    <row r="161" customFormat="false" ht="15.75" hidden="false" customHeight="false" outlineLevel="0" collapsed="false">
      <c r="A161" s="24" t="n">
        <v>19</v>
      </c>
      <c r="B161" s="24" t="e">
        <f aca="false">'absensi setoran'!B161</f>
        <v>#REF!</v>
      </c>
      <c r="C161" s="24" t="e">
        <f aca="false">'absensi setoran'!C161</f>
        <v>#REF!</v>
      </c>
      <c r="D161" s="24"/>
      <c r="E161" s="24"/>
      <c r="F161" s="24" t="e">
        <f aca="false">B161</f>
        <v>#REF!</v>
      </c>
      <c r="G161" s="24"/>
      <c r="H161" s="24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4" t="n">
        <f aca="false">COUNTIF(B161:T161,"H")</f>
        <v>0</v>
      </c>
      <c r="V161" s="24" t="n">
        <f aca="false">COUNTIF(B161:T161,"ST")</f>
        <v>0</v>
      </c>
      <c r="W161" s="24" t="n">
        <f aca="false">COUNTIF(B161:T161,"I")</f>
        <v>0</v>
      </c>
      <c r="X161" s="24" t="n">
        <f aca="false">COUNTIF(B161:T161,"S")</f>
        <v>0</v>
      </c>
      <c r="Y161" s="24" t="n">
        <f aca="false">COUNTIF(B161:T161,"A")</f>
        <v>0</v>
      </c>
      <c r="Z161" s="24" t="e">
        <f aca="false">B161</f>
        <v>#REF!</v>
      </c>
    </row>
    <row r="162" customFormat="false" ht="15.75" hidden="false" customHeight="false" outlineLevel="0" collapsed="false">
      <c r="A162" s="24" t="n">
        <v>20</v>
      </c>
      <c r="B162" s="24" t="str">
        <f aca="false">'absensi setoran'!B162</f>
        <v>ABIDZAR ALGHIFARI</v>
      </c>
      <c r="C162" s="24" t="n">
        <f aca="false">'absensi setoran'!C162</f>
        <v>8</v>
      </c>
      <c r="D162" s="24"/>
      <c r="E162" s="24"/>
      <c r="F162" s="24" t="str">
        <f aca="false">B162</f>
        <v>ABIDZAR ALGHIFARI</v>
      </c>
      <c r="G162" s="24"/>
      <c r="H162" s="24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4" t="n">
        <f aca="false">COUNTIF(B162:T162,"H")</f>
        <v>0</v>
      </c>
      <c r="V162" s="24" t="n">
        <f aca="false">COUNTIF(B162:T162,"ST")</f>
        <v>0</v>
      </c>
      <c r="W162" s="24" t="n">
        <f aca="false">COUNTIF(B162:T162,"I")</f>
        <v>0</v>
      </c>
      <c r="X162" s="24" t="n">
        <f aca="false">COUNTIF(B162:T162,"S")</f>
        <v>0</v>
      </c>
      <c r="Y162" s="24" t="n">
        <f aca="false">COUNTIF(B162:T162,"A")</f>
        <v>0</v>
      </c>
      <c r="Z162" s="24" t="str">
        <f aca="false">B162</f>
        <v>ABIDZAR ALGHIFARI</v>
      </c>
    </row>
    <row r="163" customFormat="false" ht="15.75" hidden="false" customHeight="false" outlineLevel="0" collapsed="false">
      <c r="A163" s="24" t="n">
        <v>21</v>
      </c>
      <c r="B163" s="24" t="str">
        <f aca="false">'absensi setoran'!B163</f>
        <v>MUHAMMAD ALWI ARIZKY</v>
      </c>
      <c r="C163" s="24" t="n">
        <f aca="false">'absensi setoran'!C163</f>
        <v>7</v>
      </c>
      <c r="D163" s="24"/>
      <c r="E163" s="24"/>
      <c r="F163" s="24" t="str">
        <f aca="false">B163</f>
        <v>MUHAMMAD ALWI ARIZKY</v>
      </c>
      <c r="G163" s="24"/>
      <c r="H163" s="24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4" t="n">
        <f aca="false">COUNTIF(B163:T163,"H")</f>
        <v>0</v>
      </c>
      <c r="V163" s="24" t="n">
        <f aca="false">COUNTIF(B163:T163,"ST")</f>
        <v>0</v>
      </c>
      <c r="W163" s="24" t="n">
        <f aca="false">COUNTIF(B163:T163,"I")</f>
        <v>0</v>
      </c>
      <c r="X163" s="24" t="n">
        <f aca="false">COUNTIF(B163:T163,"S")</f>
        <v>0</v>
      </c>
      <c r="Y163" s="24" t="n">
        <f aca="false">COUNTIF(B163:T163,"A")</f>
        <v>0</v>
      </c>
      <c r="Z163" s="24" t="str">
        <f aca="false">B163</f>
        <v>MUHAMMAD ALWI ARIZKY</v>
      </c>
    </row>
    <row r="164" customFormat="false" ht="15.75" hidden="false" customHeight="false" outlineLevel="0" collapsed="false">
      <c r="A164" s="24" t="n">
        <v>22</v>
      </c>
      <c r="B164" s="24" t="e">
        <f aca="false">'absensi setoran'!B164</f>
        <v>#REF!</v>
      </c>
      <c r="C164" s="24" t="e">
        <f aca="false">'absensi setoran'!C164</f>
        <v>#REF!</v>
      </c>
      <c r="D164" s="24"/>
      <c r="E164" s="24"/>
      <c r="F164" s="24" t="e">
        <f aca="false">B164</f>
        <v>#REF!</v>
      </c>
      <c r="G164" s="24"/>
      <c r="H164" s="24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4" t="n">
        <f aca="false">COUNTIF(B164:T164,"H")</f>
        <v>0</v>
      </c>
      <c r="V164" s="24" t="n">
        <f aca="false">COUNTIF(B164:T164,"ST")</f>
        <v>0</v>
      </c>
      <c r="W164" s="24" t="n">
        <f aca="false">COUNTIF(B164:T164,"I")</f>
        <v>0</v>
      </c>
      <c r="X164" s="24" t="n">
        <f aca="false">COUNTIF(B164:T164,"S")</f>
        <v>0</v>
      </c>
      <c r="Y164" s="24" t="n">
        <f aca="false">COUNTIF(B164:T164,"A")</f>
        <v>0</v>
      </c>
      <c r="Z164" s="24" t="e">
        <f aca="false">B164</f>
        <v>#REF!</v>
      </c>
    </row>
    <row r="165" customFormat="false" ht="15.75" hidden="false" customHeight="false" outlineLevel="0" collapsed="false">
      <c r="A165" s="24" t="n">
        <v>23</v>
      </c>
      <c r="B165" s="24" t="str">
        <f aca="false">'absensi setoran'!B165</f>
        <v>MUHAMMAD MUNAWWAR KHOLIL</v>
      </c>
      <c r="C165" s="24" t="n">
        <f aca="false">'absensi setoran'!C165</f>
        <v>4</v>
      </c>
      <c r="D165" s="24"/>
      <c r="E165" s="24"/>
      <c r="F165" s="24" t="str">
        <f aca="false">B165</f>
        <v>MUHAMMAD MUNAWWAR KHOLIL</v>
      </c>
      <c r="G165" s="24"/>
      <c r="H165" s="24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4" t="n">
        <f aca="false">COUNTIF(B165:T165,"H")</f>
        <v>0</v>
      </c>
      <c r="V165" s="24" t="n">
        <f aca="false">COUNTIF(B165:T165,"ST")</f>
        <v>0</v>
      </c>
      <c r="W165" s="24" t="n">
        <f aca="false">COUNTIF(B165:T165,"I")</f>
        <v>0</v>
      </c>
      <c r="X165" s="24" t="n">
        <f aca="false">COUNTIF(B165:T165,"S")</f>
        <v>0</v>
      </c>
      <c r="Y165" s="24" t="n">
        <f aca="false">COUNTIF(B165:T165,"A")</f>
        <v>0</v>
      </c>
      <c r="Z165" s="24" t="str">
        <f aca="false">B165</f>
        <v>MUHAMMAD MUNAWWAR KHOLIL</v>
      </c>
    </row>
    <row r="166" customFormat="false" ht="15.75" hidden="false" customHeight="false" outlineLevel="0" collapsed="false">
      <c r="A166" s="24" t="n">
        <v>24</v>
      </c>
      <c r="B166" s="24" t="str">
        <f aca="false">'absensi setoran'!B166</f>
        <v>MUHAMMAD MUNAWAR KHOLIL</v>
      </c>
      <c r="C166" s="24" t="n">
        <f aca="false">'absensi setoran'!C166</f>
        <v>3</v>
      </c>
      <c r="D166" s="24"/>
      <c r="E166" s="24"/>
      <c r="F166" s="24" t="str">
        <f aca="false">B166</f>
        <v>MUHAMMAD MUNAWAR KHOLIL</v>
      </c>
      <c r="G166" s="24"/>
      <c r="H166" s="24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4" t="n">
        <f aca="false">COUNTIF(B166:T166,"H")</f>
        <v>0</v>
      </c>
      <c r="V166" s="24" t="n">
        <f aca="false">COUNTIF(B166:T166,"ST")</f>
        <v>0</v>
      </c>
      <c r="W166" s="24" t="n">
        <f aca="false">COUNTIF(B166:T166,"I")</f>
        <v>0</v>
      </c>
      <c r="X166" s="24" t="n">
        <f aca="false">COUNTIF(B166:T166,"S")</f>
        <v>0</v>
      </c>
      <c r="Y166" s="24" t="n">
        <f aca="false">COUNTIF(B166:T166,"A")</f>
        <v>0</v>
      </c>
      <c r="Z166" s="24" t="str">
        <f aca="false">B166</f>
        <v>MUHAMMAD MUNAWAR KHOLIL</v>
      </c>
    </row>
    <row r="167" customFormat="false" ht="15.75" hidden="false" customHeight="false" outlineLevel="0" collapsed="false">
      <c r="A167" s="24" t="n">
        <v>25</v>
      </c>
      <c r="B167" s="24" t="str">
        <f aca="false">'absensi setoran'!B167</f>
        <v>MUHAMMAD DENMAR NABAWI</v>
      </c>
      <c r="C167" s="24" t="n">
        <f aca="false">'absensi setoran'!C167</f>
        <v>1</v>
      </c>
      <c r="D167" s="24"/>
      <c r="E167" s="24"/>
      <c r="F167" s="24" t="str">
        <f aca="false">B167</f>
        <v>MUHAMMAD DENMAR NABAWI</v>
      </c>
      <c r="G167" s="24"/>
      <c r="H167" s="24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4" t="n">
        <f aca="false">COUNTIF(B167:T167,"H")</f>
        <v>0</v>
      </c>
      <c r="V167" s="24" t="n">
        <f aca="false">COUNTIF(B167:T167,"ST")</f>
        <v>0</v>
      </c>
      <c r="W167" s="24" t="n">
        <f aca="false">COUNTIF(B167:T167,"I")</f>
        <v>0</v>
      </c>
      <c r="X167" s="24" t="n">
        <f aca="false">COUNTIF(B167:T167,"S")</f>
        <v>0</v>
      </c>
      <c r="Y167" s="24" t="n">
        <f aca="false">COUNTIF(B167:T167,"A")</f>
        <v>0</v>
      </c>
      <c r="Z167" s="24" t="str">
        <f aca="false">B167</f>
        <v>MUHAMMAD DENMAR NABAWI</v>
      </c>
    </row>
    <row r="168" customFormat="false" ht="15.75" hidden="false" customHeight="false" outlineLevel="0" collapsed="false">
      <c r="A168" s="24" t="n">
        <v>26</v>
      </c>
      <c r="B168" s="24" t="str">
        <f aca="false">'absensi setoran'!B168</f>
        <v>MUHAMMAD RAFIK MUHARAM</v>
      </c>
      <c r="C168" s="24" t="n">
        <f aca="false">'absensi setoran'!C168</f>
        <v>1</v>
      </c>
      <c r="D168" s="24"/>
      <c r="E168" s="24"/>
      <c r="F168" s="24" t="str">
        <f aca="false">B168</f>
        <v>MUHAMMAD RAFIK MUHARAM</v>
      </c>
      <c r="G168" s="24"/>
      <c r="H168" s="24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4" t="n">
        <f aca="false">COUNTIF(B168:T168,"H")</f>
        <v>0</v>
      </c>
      <c r="V168" s="24" t="n">
        <f aca="false">COUNTIF(B168:T168,"ST")</f>
        <v>0</v>
      </c>
      <c r="W168" s="24" t="n">
        <f aca="false">COUNTIF(B168:T168,"I")</f>
        <v>0</v>
      </c>
      <c r="X168" s="24" t="n">
        <f aca="false">COUNTIF(B168:T168,"S")</f>
        <v>0</v>
      </c>
      <c r="Y168" s="24" t="n">
        <f aca="false">COUNTIF(B168:T168,"A")</f>
        <v>0</v>
      </c>
      <c r="Z168" s="24" t="str">
        <f aca="false">B168</f>
        <v>MUHAMMAD RAFIK MUHARAM</v>
      </c>
    </row>
    <row r="169" customFormat="false" ht="15.75" hidden="false" customHeight="false" outlineLevel="0" collapsed="false">
      <c r="A169" s="24" t="n">
        <v>27</v>
      </c>
      <c r="B169" s="24" t="str">
        <f aca="false">'absensi setoran'!B169</f>
        <v>FATRAH MUHAMMAD RAMADAN</v>
      </c>
      <c r="C169" s="24" t="e">
        <f aca="false">'absensi setoran'!C169</f>
        <v>#REF!</v>
      </c>
      <c r="D169" s="24"/>
      <c r="E169" s="24"/>
      <c r="F169" s="24" t="str">
        <f aca="false">B169</f>
        <v>FATRAH MUHAMMAD RAMADAN</v>
      </c>
      <c r="G169" s="24"/>
      <c r="H169" s="24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4" t="n">
        <f aca="false">COUNTIF(B169:T169,"H")</f>
        <v>0</v>
      </c>
      <c r="V169" s="24" t="n">
        <f aca="false">COUNTIF(B169:T169,"ST")</f>
        <v>0</v>
      </c>
      <c r="W169" s="24" t="n">
        <f aca="false">COUNTIF(B169:T169,"I")</f>
        <v>0</v>
      </c>
      <c r="X169" s="24" t="n">
        <f aca="false">COUNTIF(B169:T169,"S")</f>
        <v>0</v>
      </c>
      <c r="Y169" s="24" t="n">
        <f aca="false">COUNTIF(B169:T169,"A")</f>
        <v>0</v>
      </c>
      <c r="Z169" s="24" t="str">
        <f aca="false">B169</f>
        <v>FATRAH MUHAMMAD RAMADAN</v>
      </c>
    </row>
    <row r="170" customFormat="false" ht="15.75" hidden="false" customHeight="false" outlineLevel="0" collapsed="false">
      <c r="A170" s="24" t="n">
        <v>28</v>
      </c>
      <c r="B170" s="24" t="e">
        <f aca="false">'absensi setoran'!B170</f>
        <v>#REF!</v>
      </c>
      <c r="C170" s="24" t="e">
        <f aca="false">'absensi setoran'!C170</f>
        <v>#REF!</v>
      </c>
      <c r="D170" s="24"/>
      <c r="E170" s="24"/>
      <c r="F170" s="24" t="e">
        <f aca="false">B170</f>
        <v>#REF!</v>
      </c>
      <c r="G170" s="24"/>
      <c r="H170" s="24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4" t="n">
        <f aca="false">COUNTIF(B170:T170,"H")</f>
        <v>0</v>
      </c>
      <c r="V170" s="24" t="n">
        <f aca="false">COUNTIF(B170:T170,"ST")</f>
        <v>0</v>
      </c>
      <c r="W170" s="24" t="n">
        <f aca="false">COUNTIF(B170:T170,"I")</f>
        <v>0</v>
      </c>
      <c r="X170" s="24" t="n">
        <f aca="false">COUNTIF(B170:T170,"S")</f>
        <v>0</v>
      </c>
      <c r="Y170" s="24" t="n">
        <f aca="false">COUNTIF(B170:T170,"A")</f>
        <v>0</v>
      </c>
      <c r="Z170" s="24" t="e">
        <f aca="false">B170</f>
        <v>#REF!</v>
      </c>
    </row>
  </sheetData>
  <mergeCells count="73">
    <mergeCell ref="A1:Z3"/>
    <mergeCell ref="A4:Z4"/>
    <mergeCell ref="A5:A6"/>
    <mergeCell ref="B5:B6"/>
    <mergeCell ref="D5:E5"/>
    <mergeCell ref="F5:F6"/>
    <mergeCell ref="G5:H5"/>
    <mergeCell ref="I5:I6"/>
    <mergeCell ref="J5:K5"/>
    <mergeCell ref="L5:L6"/>
    <mergeCell ref="M5:N5"/>
    <mergeCell ref="O5:O6"/>
    <mergeCell ref="P5:Q5"/>
    <mergeCell ref="R5:R6"/>
    <mergeCell ref="S5:T5"/>
    <mergeCell ref="U5:Z5"/>
    <mergeCell ref="A35:Z37"/>
    <mergeCell ref="A38:Z38"/>
    <mergeCell ref="A39:A40"/>
    <mergeCell ref="B39:B40"/>
    <mergeCell ref="D39:E39"/>
    <mergeCell ref="F39:F40"/>
    <mergeCell ref="G39:H39"/>
    <mergeCell ref="I39:I40"/>
    <mergeCell ref="J39:K39"/>
    <mergeCell ref="L39:L40"/>
    <mergeCell ref="M39:N39"/>
    <mergeCell ref="O39:O40"/>
    <mergeCell ref="P39:Q39"/>
    <mergeCell ref="R39:R40"/>
    <mergeCell ref="S39:T39"/>
    <mergeCell ref="U39:Z39"/>
    <mergeCell ref="A69:Z71"/>
    <mergeCell ref="A72:Z72"/>
    <mergeCell ref="A73:A74"/>
    <mergeCell ref="B73:B74"/>
    <mergeCell ref="D73:E73"/>
    <mergeCell ref="F73:F74"/>
    <mergeCell ref="G73:H73"/>
    <mergeCell ref="I73:I74"/>
    <mergeCell ref="J73:K73"/>
    <mergeCell ref="L73:L74"/>
    <mergeCell ref="M73:N73"/>
    <mergeCell ref="O73:O74"/>
    <mergeCell ref="P73:Q73"/>
    <mergeCell ref="R73:R74"/>
    <mergeCell ref="S73:T73"/>
    <mergeCell ref="U73:Z73"/>
    <mergeCell ref="A103:Z105"/>
    <mergeCell ref="A106:Z106"/>
    <mergeCell ref="A107:A108"/>
    <mergeCell ref="B107:B108"/>
    <mergeCell ref="D107:E107"/>
    <mergeCell ref="F107:F108"/>
    <mergeCell ref="G107:H107"/>
    <mergeCell ref="I107:I108"/>
    <mergeCell ref="J107:K107"/>
    <mergeCell ref="L107:L108"/>
    <mergeCell ref="M107:N107"/>
    <mergeCell ref="O107:O108"/>
    <mergeCell ref="P107:Q107"/>
    <mergeCell ref="R107:R108"/>
    <mergeCell ref="S107:T107"/>
    <mergeCell ref="U107:Z107"/>
    <mergeCell ref="A137:Z139"/>
    <mergeCell ref="A140:Z140"/>
    <mergeCell ref="A141:A142"/>
    <mergeCell ref="B141:B142"/>
    <mergeCell ref="D141:E141"/>
    <mergeCell ref="F141:F142"/>
    <mergeCell ref="G141:H141"/>
    <mergeCell ref="I141:T170"/>
    <mergeCell ref="U141:Z141"/>
  </mergeCells>
  <dataValidations count="1">
    <dataValidation allowBlank="true" errorStyle="stop" operator="between" showDropDown="false" showErrorMessage="true" showInputMessage="false" sqref="D7:E34 G7:H34 J7:K34 M7:N34 P7:Q34 S7:T34 D41:E68 G41:H68 J41:K68 M41:N68 P41:Q68 S41:T68 D75:E102 G75:H102 J75:K102 M75:N102 P75:Q102 S75:T102 D109:E136 G109:H136 J109:K136 M109:N136 P109:Q136 S109:T136 D143:E170 G143:H170" type="list">
      <formula1>"H,I,ST,S,A"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34"/>
  <sheetViews>
    <sheetView showFormulas="false" showGridLines="true" showRowColHeaders="true" showZeros="true" rightToLeft="false" tabSelected="false" showOutlineSymbols="true" defaultGridColor="true" view="normal" topLeftCell="A1" colorId="64" zoomScale="61" zoomScaleNormal="61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6.38"/>
    <col collapsed="false" customWidth="true" hidden="false" outlineLevel="0" max="2" min="2" style="0" width="25.75"/>
    <col collapsed="false" customWidth="true" hidden="false" outlineLevel="0" max="16" min="16" style="0" width="13.88"/>
    <col collapsed="false" customWidth="true" hidden="false" outlineLevel="0" max="25" min="21" style="0" width="9.51"/>
    <col collapsed="false" customWidth="true" hidden="false" outlineLevel="0" max="26" min="26" style="0" width="25.75"/>
  </cols>
  <sheetData>
    <row r="1" customFormat="false" ht="15.75" hidden="false" customHeight="false" outlineLevel="0" collapsed="false">
      <c r="A1" s="19" t="s">
        <v>304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5.75" hidden="false" customHeight="true" outlineLevel="0" collapsed="false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customFormat="false" ht="15.75" hidden="false" customHeight="true" outlineLevel="0" collapsed="false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customFormat="false" ht="15.75" hidden="false" customHeight="fals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customFormat="false" ht="15.75" hidden="false" customHeight="false" outlineLevel="0" collapsed="false">
      <c r="A5" s="21" t="s">
        <v>1</v>
      </c>
      <c r="B5" s="21" t="s">
        <v>2</v>
      </c>
      <c r="C5" s="22"/>
      <c r="D5" s="22"/>
      <c r="E5" s="21" t="s">
        <v>289</v>
      </c>
      <c r="F5" s="21"/>
      <c r="G5" s="21"/>
      <c r="H5" s="22"/>
      <c r="I5" s="21" t="s">
        <v>297</v>
      </c>
      <c r="J5" s="21"/>
      <c r="K5" s="21"/>
      <c r="L5" s="21"/>
      <c r="M5" s="21" t="s">
        <v>299</v>
      </c>
      <c r="N5" s="21"/>
      <c r="O5" s="21"/>
      <c r="P5" s="21"/>
      <c r="Q5" s="21" t="s">
        <v>300</v>
      </c>
      <c r="R5" s="21"/>
      <c r="S5" s="21"/>
      <c r="T5" s="21"/>
      <c r="U5" s="23" t="s">
        <v>49</v>
      </c>
      <c r="V5" s="23"/>
      <c r="W5" s="23"/>
      <c r="X5" s="23"/>
      <c r="Y5" s="23"/>
      <c r="Z5" s="23"/>
    </row>
    <row r="6" customFormat="false" ht="15.75" hidden="false" customHeight="false" outlineLevel="0" collapsed="false">
      <c r="A6" s="21"/>
      <c r="B6" s="21"/>
      <c r="C6" s="22" t="s">
        <v>50</v>
      </c>
      <c r="D6" s="22" t="s">
        <v>305</v>
      </c>
      <c r="E6" s="40" t="s">
        <v>306</v>
      </c>
      <c r="F6" s="40" t="s">
        <v>307</v>
      </c>
      <c r="G6" s="40" t="s">
        <v>308</v>
      </c>
      <c r="H6" s="40"/>
      <c r="I6" s="40" t="s">
        <v>306</v>
      </c>
      <c r="J6" s="40" t="s">
        <v>307</v>
      </c>
      <c r="K6" s="40" t="s">
        <v>308</v>
      </c>
      <c r="L6" s="40" t="s">
        <v>309</v>
      </c>
      <c r="M6" s="42" t="s">
        <v>306</v>
      </c>
      <c r="N6" s="42" t="s">
        <v>307</v>
      </c>
      <c r="O6" s="42" t="s">
        <v>308</v>
      </c>
      <c r="P6" s="42" t="s">
        <v>310</v>
      </c>
      <c r="Q6" s="42" t="s">
        <v>306</v>
      </c>
      <c r="R6" s="42" t="s">
        <v>307</v>
      </c>
      <c r="S6" s="42" t="s">
        <v>308</v>
      </c>
      <c r="T6" s="42" t="s">
        <v>309</v>
      </c>
      <c r="U6" s="24" t="s">
        <v>51</v>
      </c>
      <c r="V6" s="24" t="s">
        <v>52</v>
      </c>
      <c r="W6" s="24" t="s">
        <v>53</v>
      </c>
      <c r="X6" s="24" t="s">
        <v>54</v>
      </c>
      <c r="Y6" s="24" t="s">
        <v>55</v>
      </c>
      <c r="Z6" s="24"/>
    </row>
    <row r="7" customFormat="false" ht="15.75" hidden="false" customHeight="false" outlineLevel="0" collapsed="false">
      <c r="A7" s="24" t="n">
        <v>1</v>
      </c>
      <c r="B7" s="24" t="str">
        <f aca="false">'absensi setoran'!B7</f>
        <v>AYI KOSIM HATIMI</v>
      </c>
      <c r="C7" s="24" t="n">
        <f aca="false">'absensi setoran'!C7</f>
        <v>30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 t="n">
        <f aca="false">COUNTIF(B7:T7,"H")</f>
        <v>0</v>
      </c>
      <c r="V7" s="24" t="n">
        <f aca="false">COUNTIF(B7:T7,"ST")</f>
        <v>0</v>
      </c>
      <c r="W7" s="24" t="n">
        <f aca="false">COUNTIF(B7:T7,"I")</f>
        <v>0</v>
      </c>
      <c r="X7" s="24" t="n">
        <f aca="false">COUNTIF(B7:T7,"S")</f>
        <v>0</v>
      </c>
      <c r="Y7" s="24" t="n">
        <f aca="false">COUNTIF(B7:T7,"A")</f>
        <v>0</v>
      </c>
      <c r="Z7" s="24" t="str">
        <f aca="false">B7</f>
        <v>AYI KOSIM HATIMI</v>
      </c>
    </row>
    <row r="8" customFormat="false" ht="15.75" hidden="false" customHeight="false" outlineLevel="0" collapsed="false">
      <c r="A8" s="24" t="n">
        <v>2</v>
      </c>
      <c r="B8" s="24" t="str">
        <f aca="false">'absensi setoran'!B8</f>
        <v>ABRURRAHMAN AFANDI</v>
      </c>
      <c r="C8" s="24" t="n">
        <f aca="false">'absensi setoran'!C8</f>
        <v>30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 t="n">
        <f aca="false">COUNTIF(B8:T8,"H")</f>
        <v>0</v>
      </c>
      <c r="V8" s="24" t="n">
        <f aca="false">COUNTIF(B8:T8,"ST")</f>
        <v>0</v>
      </c>
      <c r="W8" s="24" t="n">
        <f aca="false">COUNTIF(B8:T8,"I")</f>
        <v>0</v>
      </c>
      <c r="X8" s="24" t="n">
        <f aca="false">COUNTIF(B8:T8,"S")</f>
        <v>0</v>
      </c>
      <c r="Y8" s="24" t="n">
        <f aca="false">COUNTIF(B8:T8,"A")</f>
        <v>0</v>
      </c>
      <c r="Z8" s="24" t="str">
        <f aca="false">B8</f>
        <v>ABRURRAHMAN AFANDI</v>
      </c>
    </row>
    <row r="9" customFormat="false" ht="15.75" hidden="false" customHeight="false" outlineLevel="0" collapsed="false">
      <c r="A9" s="24" t="n">
        <v>3</v>
      </c>
      <c r="B9" s="24" t="str">
        <f aca="false">'absensi setoran'!B9</f>
        <v>CECEP ABDULATIF</v>
      </c>
      <c r="C9" s="24" t="n">
        <f aca="false">'absensi setoran'!C9</f>
        <v>30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 t="n">
        <f aca="false">COUNTIF(B9:T9,"H")</f>
        <v>0</v>
      </c>
      <c r="V9" s="24" t="n">
        <f aca="false">COUNTIF(B9:T9,"ST")</f>
        <v>0</v>
      </c>
      <c r="W9" s="24" t="n">
        <f aca="false">COUNTIF(B9:T9,"I")</f>
        <v>0</v>
      </c>
      <c r="X9" s="24" t="n">
        <f aca="false">COUNTIF(B9:T9,"S")</f>
        <v>0</v>
      </c>
      <c r="Y9" s="24" t="n">
        <f aca="false">COUNTIF(B9:T9,"A")</f>
        <v>0</v>
      </c>
      <c r="Z9" s="24" t="str">
        <f aca="false">B9</f>
        <v>CECEP ABDULATIF</v>
      </c>
    </row>
    <row r="10" customFormat="false" ht="15.75" hidden="false" customHeight="false" outlineLevel="0" collapsed="false">
      <c r="A10" s="24" t="n">
        <v>4</v>
      </c>
      <c r="B10" s="24" t="str">
        <f aca="false">'absensi setoran'!B10</f>
        <v>DONI SUPRIATNA</v>
      </c>
      <c r="C10" s="24" t="n">
        <f aca="false">'absensi setoran'!C10</f>
        <v>30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 t="n">
        <f aca="false">COUNTIF(B10:T10,"H")</f>
        <v>0</v>
      </c>
      <c r="V10" s="24" t="n">
        <f aca="false">COUNTIF(B10:T10,"ST")</f>
        <v>0</v>
      </c>
      <c r="W10" s="24" t="n">
        <f aca="false">COUNTIF(B10:T10,"I")</f>
        <v>0</v>
      </c>
      <c r="X10" s="24" t="n">
        <f aca="false">COUNTIF(B10:T10,"S")</f>
        <v>0</v>
      </c>
      <c r="Y10" s="24" t="n">
        <f aca="false">COUNTIF(B10:T10,"A")</f>
        <v>0</v>
      </c>
      <c r="Z10" s="24" t="str">
        <f aca="false">B10</f>
        <v>DONI SUPRIATNA</v>
      </c>
    </row>
    <row r="11" customFormat="false" ht="15.75" hidden="false" customHeight="false" outlineLevel="0" collapsed="false">
      <c r="A11" s="24" t="n">
        <v>5</v>
      </c>
      <c r="B11" s="24" t="e">
        <f aca="false">'absensi setoran'!B11</f>
        <v>#REF!</v>
      </c>
      <c r="C11" s="24" t="e">
        <f aca="false">'absensi setoran'!C11</f>
        <v>#REF!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 t="n">
        <f aca="false">COUNTIF(B11:T11,"H")</f>
        <v>0</v>
      </c>
      <c r="V11" s="24" t="n">
        <f aca="false">COUNTIF(B11:T11,"ST")</f>
        <v>0</v>
      </c>
      <c r="W11" s="24" t="n">
        <f aca="false">COUNTIF(B11:T11,"I")</f>
        <v>0</v>
      </c>
      <c r="X11" s="24" t="n">
        <f aca="false">COUNTIF(B11:T11,"S")</f>
        <v>0</v>
      </c>
      <c r="Y11" s="24" t="n">
        <f aca="false">COUNTIF(B11:T11,"A")</f>
        <v>0</v>
      </c>
      <c r="Z11" s="24" t="e">
        <f aca="false">B11</f>
        <v>#REF!</v>
      </c>
    </row>
    <row r="12" customFormat="false" ht="15.75" hidden="false" customHeight="false" outlineLevel="0" collapsed="false">
      <c r="A12" s="24" t="n">
        <v>6</v>
      </c>
      <c r="B12" s="24" t="str">
        <f aca="false">'absensi setoran'!B12</f>
        <v>ZAKY AZHARI</v>
      </c>
      <c r="C12" s="24" t="n">
        <f aca="false">'absensi setoran'!C12</f>
        <v>30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 t="n">
        <f aca="false">COUNTIF(B12:T12,"H")</f>
        <v>0</v>
      </c>
      <c r="V12" s="24" t="n">
        <f aca="false">COUNTIF(B12:T12,"ST")</f>
        <v>0</v>
      </c>
      <c r="W12" s="24" t="n">
        <f aca="false">COUNTIF(B12:T12,"I")</f>
        <v>0</v>
      </c>
      <c r="X12" s="24" t="n">
        <f aca="false">COUNTIF(B12:T12,"S")</f>
        <v>0</v>
      </c>
      <c r="Y12" s="24" t="n">
        <f aca="false">COUNTIF(B12:T12,"A")</f>
        <v>0</v>
      </c>
      <c r="Z12" s="24" t="str">
        <f aca="false">B12</f>
        <v>ZAKY AZHARI</v>
      </c>
    </row>
    <row r="13" customFormat="false" ht="15.75" hidden="false" customHeight="false" outlineLevel="0" collapsed="false">
      <c r="A13" s="24" t="n">
        <v>7</v>
      </c>
      <c r="B13" s="24" t="str">
        <f aca="false">'absensi setoran'!B13</f>
        <v>MUHAMMAD FAUZIL ADZIM</v>
      </c>
      <c r="C13" s="24" t="n">
        <f aca="false">'absensi setoran'!C13</f>
        <v>30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 t="n">
        <f aca="false">COUNTIF(B13:T13,"H")</f>
        <v>0</v>
      </c>
      <c r="V13" s="24" t="n">
        <f aca="false">COUNTIF(B13:T13,"ST")</f>
        <v>0</v>
      </c>
      <c r="W13" s="24" t="n">
        <f aca="false">COUNTIF(B13:T13,"I")</f>
        <v>0</v>
      </c>
      <c r="X13" s="24" t="n">
        <f aca="false">COUNTIF(B13:T13,"S")</f>
        <v>0</v>
      </c>
      <c r="Y13" s="24" t="n">
        <f aca="false">COUNTIF(B13:T13,"A")</f>
        <v>0</v>
      </c>
      <c r="Z13" s="24" t="str">
        <f aca="false">B13</f>
        <v>MUHAMMAD FAUZIL ADZIM</v>
      </c>
    </row>
    <row r="14" customFormat="false" ht="15.75" hidden="false" customHeight="false" outlineLevel="0" collapsed="false">
      <c r="A14" s="24" t="n">
        <v>8</v>
      </c>
      <c r="B14" s="24" t="str">
        <f aca="false">'absensi setoran'!B14</f>
        <v>MUHAMMAD DZIKRI HUSAENI</v>
      </c>
      <c r="C14" s="24" t="n">
        <f aca="false">'absensi setoran'!C14</f>
        <v>18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 t="n">
        <f aca="false">COUNTIF(B14:T14,"H")</f>
        <v>0</v>
      </c>
      <c r="V14" s="24" t="n">
        <f aca="false">COUNTIF(B14:T14,"ST")</f>
        <v>0</v>
      </c>
      <c r="W14" s="24" t="n">
        <f aca="false">COUNTIF(B14:T14,"I")</f>
        <v>0</v>
      </c>
      <c r="X14" s="24" t="n">
        <f aca="false">COUNTIF(B14:T14,"S")</f>
        <v>0</v>
      </c>
      <c r="Y14" s="24" t="n">
        <f aca="false">COUNTIF(B14:T14,"A")</f>
        <v>0</v>
      </c>
      <c r="Z14" s="24" t="str">
        <f aca="false">B14</f>
        <v>MUHAMMAD DZIKRI HUSAENI</v>
      </c>
    </row>
    <row r="15" customFormat="false" ht="15.75" hidden="false" customHeight="false" outlineLevel="0" collapsed="false">
      <c r="A15" s="24" t="n">
        <v>9</v>
      </c>
      <c r="B15" s="24" t="e">
        <f aca="false">'absensi setoran'!B15</f>
        <v>#REF!</v>
      </c>
      <c r="C15" s="24" t="e">
        <f aca="false">'absensi setoran'!C15</f>
        <v>#REF!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 t="n">
        <f aca="false">COUNTIF(B15:T15,"H")</f>
        <v>0</v>
      </c>
      <c r="V15" s="24" t="n">
        <f aca="false">COUNTIF(B15:T15,"ST")</f>
        <v>0</v>
      </c>
      <c r="W15" s="24" t="n">
        <f aca="false">COUNTIF(B15:T15,"I")</f>
        <v>0</v>
      </c>
      <c r="X15" s="24" t="n">
        <f aca="false">COUNTIF(B15:T15,"S")</f>
        <v>0</v>
      </c>
      <c r="Y15" s="24" t="n">
        <f aca="false">COUNTIF(B15:T15,"A")</f>
        <v>0</v>
      </c>
      <c r="Z15" s="24" t="e">
        <f aca="false">B15</f>
        <v>#REF!</v>
      </c>
    </row>
    <row r="16" customFormat="false" ht="15.75" hidden="false" customHeight="false" outlineLevel="0" collapsed="false">
      <c r="A16" s="24" t="n">
        <v>10</v>
      </c>
      <c r="B16" s="24" t="str">
        <f aca="false">'absensi setoran'!B16</f>
        <v>ABDUL KHOLIQ</v>
      </c>
      <c r="C16" s="24" t="n">
        <f aca="false">'absensi setoran'!C16</f>
        <v>14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 t="n">
        <f aca="false">COUNTIF(B16:T16,"H")</f>
        <v>0</v>
      </c>
      <c r="V16" s="24" t="n">
        <f aca="false">COUNTIF(B16:T16,"ST")</f>
        <v>0</v>
      </c>
      <c r="W16" s="24" t="n">
        <f aca="false">COUNTIF(B16:T16,"I")</f>
        <v>0</v>
      </c>
      <c r="X16" s="24" t="n">
        <f aca="false">COUNTIF(B16:T16,"S")</f>
        <v>0</v>
      </c>
      <c r="Y16" s="24" t="n">
        <f aca="false">COUNTIF(B16:T16,"A")</f>
        <v>0</v>
      </c>
      <c r="Z16" s="24" t="str">
        <f aca="false">B16</f>
        <v>ABDUL KHOLIQ</v>
      </c>
    </row>
    <row r="17" customFormat="false" ht="15.75" hidden="false" customHeight="false" outlineLevel="0" collapsed="false">
      <c r="A17" s="24" t="n">
        <v>11</v>
      </c>
      <c r="B17" s="24" t="str">
        <f aca="false">'absensi setoran'!B17</f>
        <v>IYAN FARID</v>
      </c>
      <c r="C17" s="24" t="n">
        <f aca="false">'absensi setoran'!C17</f>
        <v>13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 t="n">
        <f aca="false">COUNTIF(B17:T17,"H")</f>
        <v>0</v>
      </c>
      <c r="V17" s="24" t="n">
        <f aca="false">COUNTIF(B17:T17,"ST")</f>
        <v>0</v>
      </c>
      <c r="W17" s="24" t="n">
        <f aca="false">COUNTIF(B17:T17,"I")</f>
        <v>0</v>
      </c>
      <c r="X17" s="24" t="n">
        <f aca="false">COUNTIF(B17:T17,"S")</f>
        <v>0</v>
      </c>
      <c r="Y17" s="24" t="n">
        <f aca="false">COUNTIF(B17:T17,"A")</f>
        <v>0</v>
      </c>
      <c r="Z17" s="24" t="str">
        <f aca="false">B17</f>
        <v>IYAN FARID</v>
      </c>
    </row>
    <row r="18" customFormat="false" ht="15.75" hidden="false" customHeight="false" outlineLevel="0" collapsed="false">
      <c r="A18" s="24" t="n">
        <v>12</v>
      </c>
      <c r="B18" s="24" t="str">
        <f aca="false">'absensi setoran'!B18</f>
        <v>ZAENI NURIL HIKAM</v>
      </c>
      <c r="C18" s="24" t="n">
        <f aca="false">'absensi setoran'!C18</f>
        <v>12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 t="n">
        <f aca="false">COUNTIF(B18:T18,"H")</f>
        <v>0</v>
      </c>
      <c r="V18" s="24" t="n">
        <f aca="false">COUNTIF(B18:T18,"ST")</f>
        <v>0</v>
      </c>
      <c r="W18" s="24" t="n">
        <f aca="false">COUNTIF(B18:T18,"I")</f>
        <v>0</v>
      </c>
      <c r="X18" s="24" t="n">
        <f aca="false">COUNTIF(B18:T18,"S")</f>
        <v>0</v>
      </c>
      <c r="Y18" s="24" t="n">
        <f aca="false">COUNTIF(B18:T18,"A")</f>
        <v>0</v>
      </c>
      <c r="Z18" s="24" t="str">
        <f aca="false">B18</f>
        <v>ZAENI NURIL HIKAM</v>
      </c>
    </row>
    <row r="19" customFormat="false" ht="15.75" hidden="false" customHeight="false" outlineLevel="0" collapsed="false">
      <c r="A19" s="24" t="n">
        <v>13</v>
      </c>
      <c r="B19" s="24" t="str">
        <f aca="false">'absensi setoran'!B19</f>
        <v>LUCKY KURNIAWAN</v>
      </c>
      <c r="C19" s="24" t="n">
        <f aca="false">'absensi setoran'!C19</f>
        <v>12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 t="n">
        <f aca="false">COUNTIF(B19:T19,"H")</f>
        <v>0</v>
      </c>
      <c r="V19" s="24" t="n">
        <f aca="false">COUNTIF(B19:T19,"ST")</f>
        <v>0</v>
      </c>
      <c r="W19" s="24" t="n">
        <f aca="false">COUNTIF(B19:T19,"I")</f>
        <v>0</v>
      </c>
      <c r="X19" s="24" t="n">
        <f aca="false">COUNTIF(B19:T19,"S")</f>
        <v>0</v>
      </c>
      <c r="Y19" s="24" t="n">
        <f aca="false">COUNTIF(B19:T19,"A")</f>
        <v>0</v>
      </c>
      <c r="Z19" s="24" t="str">
        <f aca="false">B19</f>
        <v>LUCKY KURNIAWAN</v>
      </c>
    </row>
    <row r="20" customFormat="false" ht="15.75" hidden="false" customHeight="false" outlineLevel="0" collapsed="false">
      <c r="A20" s="24" t="n">
        <v>14</v>
      </c>
      <c r="B20" s="24" t="str">
        <f aca="false">'absensi setoran'!B20</f>
        <v>MUHAMMAD RAFIK MUHARAM</v>
      </c>
      <c r="C20" s="24" t="n">
        <f aca="false">'absensi setoran'!C20</f>
        <v>12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 t="n">
        <f aca="false">COUNTIF(B20:T20,"H")</f>
        <v>0</v>
      </c>
      <c r="V20" s="24" t="n">
        <f aca="false">COUNTIF(B20:T20,"ST")</f>
        <v>0</v>
      </c>
      <c r="W20" s="24" t="n">
        <f aca="false">COUNTIF(B20:T20,"I")</f>
        <v>0</v>
      </c>
      <c r="X20" s="24" t="n">
        <f aca="false">COUNTIF(B20:T20,"S")</f>
        <v>0</v>
      </c>
      <c r="Y20" s="24" t="n">
        <f aca="false">COUNTIF(B20:T20,"A")</f>
        <v>0</v>
      </c>
      <c r="Z20" s="24" t="str">
        <f aca="false">B20</f>
        <v>MUHAMMAD RAFIK MUHARAM</v>
      </c>
    </row>
    <row r="21" customFormat="false" ht="15.75" hidden="false" customHeight="false" outlineLevel="0" collapsed="false">
      <c r="A21" s="24" t="n">
        <v>15</v>
      </c>
      <c r="B21" s="24" t="str">
        <f aca="false">'absensi setoran'!B21</f>
        <v>UMAR ABDUL MALIK</v>
      </c>
      <c r="C21" s="24" t="n">
        <f aca="false">'absensi setoran'!C21</f>
        <v>11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 t="n">
        <f aca="false">COUNTIF(B21:T21,"H")</f>
        <v>0</v>
      </c>
      <c r="V21" s="24" t="n">
        <f aca="false">COUNTIF(B21:T21,"ST")</f>
        <v>0</v>
      </c>
      <c r="W21" s="24" t="n">
        <f aca="false">COUNTIF(B21:T21,"I")</f>
        <v>0</v>
      </c>
      <c r="X21" s="24" t="n">
        <f aca="false">COUNTIF(B21:T21,"S")</f>
        <v>0</v>
      </c>
      <c r="Y21" s="24" t="n">
        <f aca="false">COUNTIF(B21:T21,"A")</f>
        <v>0</v>
      </c>
      <c r="Z21" s="24" t="str">
        <f aca="false">B21</f>
        <v>UMAR ABDUL MALIK</v>
      </c>
    </row>
    <row r="22" customFormat="false" ht="15.75" hidden="false" customHeight="false" outlineLevel="0" collapsed="false">
      <c r="A22" s="24" t="n">
        <v>16</v>
      </c>
      <c r="B22" s="24" t="str">
        <f aca="false">'absensi setoran'!B22</f>
        <v>AHMAD HAFIDZ ALHAWARI</v>
      </c>
      <c r="C22" s="24" t="n">
        <f aca="false">'absensi setoran'!C22</f>
        <v>10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 t="n">
        <f aca="false">COUNTIF(B22:T22,"H")</f>
        <v>0</v>
      </c>
      <c r="V22" s="24" t="n">
        <f aca="false">COUNTIF(B22:T22,"ST")</f>
        <v>0</v>
      </c>
      <c r="W22" s="24" t="n">
        <f aca="false">COUNTIF(B22:T22,"I")</f>
        <v>0</v>
      </c>
      <c r="X22" s="24" t="n">
        <f aca="false">COUNTIF(B22:T22,"S")</f>
        <v>0</v>
      </c>
      <c r="Y22" s="24" t="n">
        <f aca="false">COUNTIF(B22:T22,"A")</f>
        <v>0</v>
      </c>
      <c r="Z22" s="24" t="str">
        <f aca="false">B22</f>
        <v>AHMAD HAFIDZ ALHAWARI</v>
      </c>
    </row>
    <row r="23" customFormat="false" ht="15.75" hidden="false" customHeight="false" outlineLevel="0" collapsed="false">
      <c r="A23" s="24" t="n">
        <v>17</v>
      </c>
      <c r="B23" s="24" t="str">
        <f aca="false">'absensi setoran'!B23</f>
        <v>MUHAMMAD FAUZAN</v>
      </c>
      <c r="C23" s="24" t="n">
        <f aca="false">'absensi setoran'!C23</f>
        <v>10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 t="n">
        <f aca="false">COUNTIF(B23:T23,"H")</f>
        <v>0</v>
      </c>
      <c r="V23" s="24" t="n">
        <f aca="false">COUNTIF(B23:T23,"ST")</f>
        <v>0</v>
      </c>
      <c r="W23" s="24" t="n">
        <f aca="false">COUNTIF(B23:T23,"I")</f>
        <v>0</v>
      </c>
      <c r="X23" s="24" t="n">
        <f aca="false">COUNTIF(B23:T23,"S")</f>
        <v>0</v>
      </c>
      <c r="Y23" s="24" t="n">
        <f aca="false">COUNTIF(B23:T23,"A")</f>
        <v>0</v>
      </c>
      <c r="Z23" s="24" t="str">
        <f aca="false">B23</f>
        <v>MUHAMMAD FAUZAN</v>
      </c>
    </row>
    <row r="24" customFormat="false" ht="15.75" hidden="false" customHeight="false" outlineLevel="0" collapsed="false">
      <c r="A24" s="24" t="n">
        <v>18</v>
      </c>
      <c r="B24" s="24" t="str">
        <f aca="false">'absensi setoran'!B24</f>
        <v>AKBAR RAMADAN</v>
      </c>
      <c r="C24" s="24" t="n">
        <f aca="false">'absensi setoran'!C24</f>
        <v>9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 t="n">
        <f aca="false">COUNTIF(B24:T24,"H")</f>
        <v>0</v>
      </c>
      <c r="V24" s="24" t="n">
        <f aca="false">COUNTIF(B24:T24,"ST")</f>
        <v>0</v>
      </c>
      <c r="W24" s="24" t="n">
        <f aca="false">COUNTIF(B24:T24,"I")</f>
        <v>0</v>
      </c>
      <c r="X24" s="24" t="n">
        <f aca="false">COUNTIF(B24:T24,"S")</f>
        <v>0</v>
      </c>
      <c r="Y24" s="24" t="n">
        <f aca="false">COUNTIF(B24:T24,"A")</f>
        <v>0</v>
      </c>
      <c r="Z24" s="24" t="str">
        <f aca="false">B24</f>
        <v>AKBAR RAMADAN</v>
      </c>
    </row>
    <row r="25" customFormat="false" ht="15.75" hidden="false" customHeight="false" outlineLevel="0" collapsed="false">
      <c r="A25" s="24" t="n">
        <v>19</v>
      </c>
      <c r="B25" s="24" t="e">
        <f aca="false">'absensi setoran'!B25</f>
        <v>#REF!</v>
      </c>
      <c r="C25" s="24" t="e">
        <f aca="false">'absensi setoran'!C25</f>
        <v>#REF!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 t="n">
        <f aca="false">COUNTIF(B25:T25,"H")</f>
        <v>0</v>
      </c>
      <c r="V25" s="24" t="n">
        <f aca="false">COUNTIF(B25:T25,"ST")</f>
        <v>0</v>
      </c>
      <c r="W25" s="24" t="n">
        <f aca="false">COUNTIF(B25:T25,"I")</f>
        <v>0</v>
      </c>
      <c r="X25" s="24" t="n">
        <f aca="false">COUNTIF(B25:T25,"S")</f>
        <v>0</v>
      </c>
      <c r="Y25" s="24" t="n">
        <f aca="false">COUNTIF(B25:T25,"A")</f>
        <v>0</v>
      </c>
      <c r="Z25" s="24" t="e">
        <f aca="false">B25</f>
        <v>#REF!</v>
      </c>
    </row>
    <row r="26" customFormat="false" ht="15.75" hidden="false" customHeight="false" outlineLevel="0" collapsed="false">
      <c r="A26" s="24" t="n">
        <v>20</v>
      </c>
      <c r="B26" s="24" t="str">
        <f aca="false">'absensi setoran'!B26</f>
        <v>ABIDZAR ALGHIFARI</v>
      </c>
      <c r="C26" s="24" t="n">
        <f aca="false">'absensi setoran'!C26</f>
        <v>8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 t="n">
        <f aca="false">COUNTIF(B26:T26,"H")</f>
        <v>0</v>
      </c>
      <c r="V26" s="24" t="n">
        <f aca="false">COUNTIF(B26:T26,"ST")</f>
        <v>0</v>
      </c>
      <c r="W26" s="24" t="n">
        <f aca="false">COUNTIF(B26:T26,"I")</f>
        <v>0</v>
      </c>
      <c r="X26" s="24" t="n">
        <f aca="false">COUNTIF(B26:T26,"S")</f>
        <v>0</v>
      </c>
      <c r="Y26" s="24" t="n">
        <f aca="false">COUNTIF(B26:T26,"A")</f>
        <v>0</v>
      </c>
      <c r="Z26" s="24" t="str">
        <f aca="false">B26</f>
        <v>ABIDZAR ALGHIFARI</v>
      </c>
    </row>
    <row r="27" customFormat="false" ht="15.75" hidden="false" customHeight="false" outlineLevel="0" collapsed="false">
      <c r="A27" s="24" t="n">
        <v>21</v>
      </c>
      <c r="B27" s="24" t="str">
        <f aca="false">'absensi setoran'!B27</f>
        <v>KAFY MUHAMMAD AZIZY</v>
      </c>
      <c r="C27" s="24" t="n">
        <f aca="false">'absensi setoran'!C27</f>
        <v>7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 t="n">
        <f aca="false">COUNTIF(B27:T27,"H")</f>
        <v>0</v>
      </c>
      <c r="V27" s="24" t="n">
        <f aca="false">COUNTIF(B27:T27,"ST")</f>
        <v>0</v>
      </c>
      <c r="W27" s="24" t="n">
        <f aca="false">COUNTIF(B27:T27,"I")</f>
        <v>0</v>
      </c>
      <c r="X27" s="24" t="n">
        <f aca="false">COUNTIF(B27:T27,"S")</f>
        <v>0</v>
      </c>
      <c r="Y27" s="24" t="n">
        <f aca="false">COUNTIF(B27:T27,"A")</f>
        <v>0</v>
      </c>
      <c r="Z27" s="24" t="str">
        <f aca="false">B27</f>
        <v>KAFY MUHAMMAD AZIZY</v>
      </c>
    </row>
    <row r="28" customFormat="false" ht="15.75" hidden="false" customHeight="false" outlineLevel="0" collapsed="false">
      <c r="A28" s="24" t="n">
        <v>22</v>
      </c>
      <c r="B28" s="24" t="e">
        <f aca="false">'absensi setoran'!B28</f>
        <v>#REF!</v>
      </c>
      <c r="C28" s="24" t="e">
        <f aca="false">'absensi setoran'!C28</f>
        <v>#REF!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 t="n">
        <f aca="false">COUNTIF(B28:T28,"H")</f>
        <v>0</v>
      </c>
      <c r="V28" s="24" t="n">
        <f aca="false">COUNTIF(B28:T28,"ST")</f>
        <v>0</v>
      </c>
      <c r="W28" s="24" t="n">
        <f aca="false">COUNTIF(B28:T28,"I")</f>
        <v>0</v>
      </c>
      <c r="X28" s="24" t="n">
        <f aca="false">COUNTIF(B28:T28,"S")</f>
        <v>0</v>
      </c>
      <c r="Y28" s="24" t="n">
        <f aca="false">COUNTIF(B28:T28,"A")</f>
        <v>0</v>
      </c>
      <c r="Z28" s="24" t="e">
        <f aca="false">B28</f>
        <v>#REF!</v>
      </c>
    </row>
    <row r="29" customFormat="false" ht="15.75" hidden="false" customHeight="false" outlineLevel="0" collapsed="false">
      <c r="A29" s="24" t="n">
        <v>23</v>
      </c>
      <c r="B29" s="24" t="str">
        <f aca="false">'absensi setoran'!B29</f>
        <v>MUHAMMAD MUNAWWAR KHOLIL</v>
      </c>
      <c r="C29" s="24" t="n">
        <f aca="false">'absensi setoran'!C29</f>
        <v>4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 t="n">
        <f aca="false">COUNTIF(B29:T29,"H")</f>
        <v>0</v>
      </c>
      <c r="V29" s="24" t="n">
        <f aca="false">COUNTIF(B29:T29,"ST")</f>
        <v>0</v>
      </c>
      <c r="W29" s="24" t="n">
        <f aca="false">COUNTIF(B29:T29,"I")</f>
        <v>0</v>
      </c>
      <c r="X29" s="24" t="n">
        <f aca="false">COUNTIF(B29:T29,"S")</f>
        <v>0</v>
      </c>
      <c r="Y29" s="24" t="n">
        <f aca="false">COUNTIF(B29:T29,"A")</f>
        <v>0</v>
      </c>
      <c r="Z29" s="24" t="str">
        <f aca="false">B29</f>
        <v>MUHAMMAD MUNAWWAR KHOLIL</v>
      </c>
    </row>
    <row r="30" customFormat="false" ht="15.75" hidden="false" customHeight="false" outlineLevel="0" collapsed="false">
      <c r="A30" s="24" t="n">
        <v>24</v>
      </c>
      <c r="B30" s="24" t="str">
        <f aca="false">'absensi setoran'!B30</f>
        <v>ALWI</v>
      </c>
      <c r="C30" s="24" t="n">
        <f aca="false">'absensi setoran'!C30</f>
        <v>3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 t="n">
        <f aca="false">COUNTIF(B30:T30,"H")</f>
        <v>0</v>
      </c>
      <c r="V30" s="24" t="n">
        <f aca="false">COUNTIF(B30:T30,"ST")</f>
        <v>0</v>
      </c>
      <c r="W30" s="24" t="n">
        <f aca="false">COUNTIF(B30:T30,"I")</f>
        <v>0</v>
      </c>
      <c r="X30" s="24" t="n">
        <f aca="false">COUNTIF(B30:T30,"S")</f>
        <v>0</v>
      </c>
      <c r="Y30" s="24" t="n">
        <f aca="false">COUNTIF(B30:T30,"A")</f>
        <v>0</v>
      </c>
      <c r="Z30" s="24" t="str">
        <f aca="false">B30</f>
        <v>ALWI</v>
      </c>
    </row>
    <row r="31" customFormat="false" ht="15.75" hidden="false" customHeight="false" outlineLevel="0" collapsed="false">
      <c r="A31" s="24" t="n">
        <v>25</v>
      </c>
      <c r="B31" s="24" t="str">
        <f aca="false">'absensi setoran'!B31</f>
        <v>PIRMAN</v>
      </c>
      <c r="C31" s="24" t="n">
        <f aca="false">'absensi setoran'!C31</f>
        <v>1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 t="n">
        <f aca="false">COUNTIF(B31:T31,"H")</f>
        <v>0</v>
      </c>
      <c r="V31" s="24" t="n">
        <f aca="false">COUNTIF(B31:T31,"ST")</f>
        <v>0</v>
      </c>
      <c r="W31" s="24" t="n">
        <f aca="false">COUNTIF(B31:T31,"I")</f>
        <v>0</v>
      </c>
      <c r="X31" s="24" t="n">
        <f aca="false">COUNTIF(B31:T31,"S")</f>
        <v>0</v>
      </c>
      <c r="Y31" s="24" t="n">
        <f aca="false">COUNTIF(B31:T31,"A")</f>
        <v>0</v>
      </c>
      <c r="Z31" s="24" t="str">
        <f aca="false">B31</f>
        <v>PIRMAN</v>
      </c>
    </row>
    <row r="32" customFormat="false" ht="15.75" hidden="false" customHeight="false" outlineLevel="0" collapsed="false">
      <c r="A32" s="24" t="n">
        <v>26</v>
      </c>
      <c r="B32" s="24" t="str">
        <f aca="false">'absensi setoran'!B32</f>
        <v>MUHAMMAD DENMAR NABAWI</v>
      </c>
      <c r="C32" s="24" t="n">
        <f aca="false">'absensi setoran'!C32</f>
        <v>1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 t="n">
        <f aca="false">COUNTIF(B32:T32,"H")</f>
        <v>0</v>
      </c>
      <c r="V32" s="24" t="n">
        <f aca="false">COUNTIF(B32:T32,"ST")</f>
        <v>0</v>
      </c>
      <c r="W32" s="24" t="n">
        <f aca="false">COUNTIF(B32:T32,"I")</f>
        <v>0</v>
      </c>
      <c r="X32" s="24" t="n">
        <f aca="false">COUNTIF(B32:T32,"S")</f>
        <v>0</v>
      </c>
      <c r="Y32" s="24" t="n">
        <f aca="false">COUNTIF(B32:T32,"A")</f>
        <v>0</v>
      </c>
      <c r="Z32" s="24" t="str">
        <f aca="false">B32</f>
        <v>MUHAMMAD DENMAR NABAWI</v>
      </c>
    </row>
    <row r="33" customFormat="false" ht="15.75" hidden="false" customHeight="false" outlineLevel="0" collapsed="false">
      <c r="A33" s="24" t="n">
        <v>27</v>
      </c>
      <c r="B33" s="24" t="e">
        <f aca="false">'absensi setoran'!B33</f>
        <v>#REF!</v>
      </c>
      <c r="C33" s="24" t="e">
        <f aca="false">'absensi setoran'!C33</f>
        <v>#REF!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 t="n">
        <f aca="false">COUNTIF(B33:T33,"H")</f>
        <v>0</v>
      </c>
      <c r="V33" s="24" t="n">
        <f aca="false">COUNTIF(B33:T33,"ST")</f>
        <v>0</v>
      </c>
      <c r="W33" s="24" t="n">
        <f aca="false">COUNTIF(B33:T33,"I")</f>
        <v>0</v>
      </c>
      <c r="X33" s="24" t="n">
        <f aca="false">COUNTIF(B33:T33,"S")</f>
        <v>0</v>
      </c>
      <c r="Y33" s="24" t="n">
        <f aca="false">COUNTIF(B33:T33,"A")</f>
        <v>0</v>
      </c>
      <c r="Z33" s="24" t="e">
        <f aca="false">B33</f>
        <v>#REF!</v>
      </c>
    </row>
    <row r="34" customFormat="false" ht="15.75" hidden="false" customHeight="false" outlineLevel="0" collapsed="false">
      <c r="A34" s="24" t="n">
        <v>28</v>
      </c>
      <c r="B34" s="24" t="e">
        <f aca="false">'absensi setoran'!B34</f>
        <v>#REF!</v>
      </c>
      <c r="C34" s="24" t="e">
        <f aca="false">'absensi setoran'!C34</f>
        <v>#REF!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 t="n">
        <f aca="false">COUNTIF(B34:T34,"H")</f>
        <v>0</v>
      </c>
      <c r="V34" s="24" t="n">
        <f aca="false">COUNTIF(B34:T34,"ST")</f>
        <v>0</v>
      </c>
      <c r="W34" s="24" t="n">
        <f aca="false">COUNTIF(B34:T34,"I")</f>
        <v>0</v>
      </c>
      <c r="X34" s="24" t="n">
        <f aca="false">COUNTIF(B34:T34,"S")</f>
        <v>0</v>
      </c>
      <c r="Y34" s="24" t="n">
        <f aca="false">COUNTIF(B34:T34,"A")</f>
        <v>0</v>
      </c>
      <c r="Z34" s="24" t="e">
        <f aca="false">B34</f>
        <v>#REF!</v>
      </c>
    </row>
  </sheetData>
  <mergeCells count="9">
    <mergeCell ref="A1:Z3"/>
    <mergeCell ref="A4:Z4"/>
    <mergeCell ref="A5:A6"/>
    <mergeCell ref="B5:B6"/>
    <mergeCell ref="E5:G5"/>
    <mergeCell ref="I5:L5"/>
    <mergeCell ref="M5:P5"/>
    <mergeCell ref="Q5:T5"/>
    <mergeCell ref="U5:Z5"/>
  </mergeCells>
  <dataValidations count="1">
    <dataValidation allowBlank="true" errorStyle="stop" operator="between" showDropDown="false" showErrorMessage="true" showInputMessage="false" sqref="D7:T34" type="list">
      <formula1>"H,I,ST,S,A"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2026-06-20T23:31:34Z</dcterms:modified>
  <cp:revision>1</cp:revision>
  <dc:subject/>
  <dc:title/>
</cp:coreProperties>
</file>