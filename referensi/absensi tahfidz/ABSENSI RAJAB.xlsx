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oran" sheetId="1" r:id="rId5"/>
    <sheet state="visible" name="Murojaah" sheetId="2" r:id="rId6"/>
    <sheet state="visible" name="NGAJI" sheetId="3" r:id="rId7"/>
    <sheet state="visible" name="Mingguan " sheetId="4" r:id="rId8"/>
    <sheet state="visible" name="Kehadiran " sheetId="5" r:id="rId9"/>
    <sheet state="visible" name="Sholat hifdzi" sheetId="6" r:id="rId10"/>
  </sheets>
  <definedNames/>
  <calcPr/>
</workbook>
</file>

<file path=xl/sharedStrings.xml><?xml version="1.0" encoding="utf-8"?>
<sst xmlns="http://schemas.openxmlformats.org/spreadsheetml/2006/main" count="4725" uniqueCount="830">
  <si>
    <t>ABSENSI SETORAN</t>
  </si>
  <si>
    <t>MINGGU KE 1</t>
  </si>
  <si>
    <t>NO</t>
  </si>
  <si>
    <t>NAMA</t>
  </si>
  <si>
    <t>RABU 1</t>
  </si>
  <si>
    <t>KAMIS 2</t>
  </si>
  <si>
    <t>SABTU 4</t>
  </si>
  <si>
    <t>AHAD 5</t>
  </si>
  <si>
    <t>SENIN 6</t>
  </si>
  <si>
    <t>SELASA 7</t>
  </si>
  <si>
    <t xml:space="preserve">JUMLAH </t>
  </si>
  <si>
    <t>PAGI</t>
  </si>
  <si>
    <t>Penyimak</t>
  </si>
  <si>
    <t>SIANG</t>
  </si>
  <si>
    <t>H</t>
  </si>
  <si>
    <t>I</t>
  </si>
  <si>
    <t>TD</t>
  </si>
  <si>
    <t>S</t>
  </si>
  <si>
    <t>A</t>
  </si>
  <si>
    <t>A M Faruq</t>
  </si>
  <si>
    <t>juz 20 ¼¹</t>
  </si>
  <si>
    <t>A Rifqi</t>
  </si>
  <si>
    <t>juz 20 Q.s al qasas, 5 hal</t>
  </si>
  <si>
    <t xml:space="preserve">Syakir </t>
  </si>
  <si>
    <t>Abidzar F Af</t>
  </si>
  <si>
    <t>juz 1 Q.s al baqoroh 3 hal</t>
  </si>
  <si>
    <t>juz 1 ¼ اولا يعلمون ان لله</t>
  </si>
  <si>
    <t>Ahmad</t>
  </si>
  <si>
    <t xml:space="preserve">juz 1 ¼ akhir </t>
  </si>
  <si>
    <t>Faliq</t>
  </si>
  <si>
    <t>juz 2 al baqoroh, 5 hal</t>
  </si>
  <si>
    <t>juz 1 ½ juz awal</t>
  </si>
  <si>
    <t>juz 1 ,2 hal</t>
  </si>
  <si>
    <t>juz 1 al baqoroh 5 lembar</t>
  </si>
  <si>
    <t>Akbar Ramadan</t>
  </si>
  <si>
    <t>juz 4 لقد من على المؤمين إذ بعث فيهم رسولا</t>
  </si>
  <si>
    <t>juz 4 ali imron, 5 ayat</t>
  </si>
  <si>
    <t>juz 4 , 3 ayat</t>
  </si>
  <si>
    <t>juz 4 , 1 hal</t>
  </si>
  <si>
    <t>Iyan F</t>
  </si>
  <si>
    <t>juz 5 وان امرأة خافت</t>
  </si>
  <si>
    <t>juz 6 ½ hal</t>
  </si>
  <si>
    <t>juz 6 ½ hal لا يحب الله</t>
  </si>
  <si>
    <t>Kafy Muhammad A</t>
  </si>
  <si>
    <t>juz 1 Q.s al baqoroh ayat 72-73</t>
  </si>
  <si>
    <t>juz 1 Q.s al baqoroh ayat 74</t>
  </si>
  <si>
    <t>juz 1 Q.s al baqoroh 2 ayat</t>
  </si>
  <si>
    <t>juz 1 Al-Baqarah ayat 77-79</t>
  </si>
  <si>
    <t>juz 1 Al-Baqarah ayat 80-82</t>
  </si>
  <si>
    <t>K A Jerolin</t>
  </si>
  <si>
    <t>Lucky K</t>
  </si>
  <si>
    <t>juz 6 وأخذهم الربوا</t>
  </si>
  <si>
    <t>juz 6 Q.s annisa ayat 168-171</t>
  </si>
  <si>
    <t xml:space="preserve">juz 6 Q.s annisa </t>
  </si>
  <si>
    <t>juz  6 Q.s annisa ayat 173-174</t>
  </si>
  <si>
    <t>juz 6 Q.s annisa satu ayat</t>
  </si>
  <si>
    <t>juz 6 annisa ayat 175-176</t>
  </si>
  <si>
    <t>juz 6 almaidah ayat 1-3</t>
  </si>
  <si>
    <t>juz 6 al maidah 2 ayat</t>
  </si>
  <si>
    <t>juz 6 1 hal</t>
  </si>
  <si>
    <t>juz 6 ,½ hal حرمت عليكم</t>
  </si>
  <si>
    <t>M Alwi Ar</t>
  </si>
  <si>
    <t>juz 30 Q.s an-nazi'at ayat 16-30</t>
  </si>
  <si>
    <t xml:space="preserve">juz 30 Q.s an nazi'at ayat 16-31 </t>
  </si>
  <si>
    <t>QS annaziat 31-42🔄</t>
  </si>
  <si>
    <t>juz 30 Q.s annaba</t>
  </si>
  <si>
    <t xml:space="preserve">juz 30 annaziat </t>
  </si>
  <si>
    <t>juz 30 annaba ayat 24-40</t>
  </si>
  <si>
    <t>juz 30 , annaziat</t>
  </si>
  <si>
    <t>juz 30 annaziat</t>
  </si>
  <si>
    <t>M Abi Alpano</t>
  </si>
  <si>
    <t xml:space="preserve">juz 6 ¹hal وقفينا على اثارهم </t>
  </si>
  <si>
    <t>juz 6 ¹H يايهاالذين امنوالاتتخذو</t>
  </si>
  <si>
    <t>juz 6 hal 17</t>
  </si>
  <si>
    <t>juz 7 al maidah, 1 hal</t>
  </si>
  <si>
    <t>M Dzikri H</t>
  </si>
  <si>
    <t>juz 5 Q.s annisa, 1 hal</t>
  </si>
  <si>
    <t>juz 5 Q.s annisa</t>
  </si>
  <si>
    <t>juz  5 Q.s annisa ayat 106-109</t>
  </si>
  <si>
    <t>juz 6 annisa ayat 110-116</t>
  </si>
  <si>
    <t>juz 5 annisa ayat 122-127</t>
  </si>
  <si>
    <t>juz 5, ½ hal</t>
  </si>
  <si>
    <t>juz 4 annisa 122-126</t>
  </si>
  <si>
    <t>M Fauzan</t>
  </si>
  <si>
    <t>juz 7 أحل لكم 🔄</t>
  </si>
  <si>
    <t>juz 7 احل لكم🔄</t>
  </si>
  <si>
    <t xml:space="preserve">juz 7 ,1 halاحل لكم صيد البحر </t>
  </si>
  <si>
    <t>M Fauzil A</t>
  </si>
  <si>
    <t>juz 25</t>
  </si>
  <si>
    <t>juz 21 ½ juz awal</t>
  </si>
  <si>
    <t>M Hafidz A H</t>
  </si>
  <si>
    <t>juz 6 وان احكم بينهم</t>
  </si>
  <si>
    <t>juz 6 surat al maidah 2 ayat</t>
  </si>
  <si>
    <t>juz  6 al maidah ayat 51-54</t>
  </si>
  <si>
    <t>M Hafidz Dh</t>
  </si>
  <si>
    <t>juz 28 Q.s at taghobun ayat 1-13</t>
  </si>
  <si>
    <t>juz 28 Q.s at taghobun ayat 1-18</t>
  </si>
  <si>
    <t>juz 28 Q.s at tolaq ayat 1-3</t>
  </si>
  <si>
    <t>juz 28 Q.s at tolaq 3 ayat</t>
  </si>
  <si>
    <t>juz 28 Q.s at tolaq ayat 4-6</t>
  </si>
  <si>
    <t>juz 28 attagobun</t>
  </si>
  <si>
    <t>juz 28 attalaq ayat 4-7</t>
  </si>
  <si>
    <t>juz 28 , attolaq 1 hal</t>
  </si>
  <si>
    <t>juz 28 attolat</t>
  </si>
  <si>
    <t>juz 28 attolaq 2 ayat</t>
  </si>
  <si>
    <t>M Rival N</t>
  </si>
  <si>
    <t>juz 28 Q.s at taghobun ayat 10-13</t>
  </si>
  <si>
    <t>juz 28 Q.s at taghobun ayat 10-18</t>
  </si>
  <si>
    <t>juz 28 Q.s at tolaq, 2 ayat</t>
  </si>
  <si>
    <t>juz 28 attalaq ,5 ayat</t>
  </si>
  <si>
    <t>juz 28 attolaq 3 ayat</t>
  </si>
  <si>
    <t>juz 28 4 ayat</t>
  </si>
  <si>
    <t>juz 28 attalaq ayat 9-12</t>
  </si>
  <si>
    <t>M Sudais H</t>
  </si>
  <si>
    <t>juz 2 ¼¹</t>
  </si>
  <si>
    <t>juz 2 ½ juz awal</t>
  </si>
  <si>
    <t xml:space="preserve">juz 2 Q.s al baqoroh </t>
  </si>
  <si>
    <t>juz 3  Q.s al baqoroh, 1 hal</t>
  </si>
  <si>
    <t>juz 3 al baqoroh, 2 hal</t>
  </si>
  <si>
    <t>juz 3 Al-Baqarah 1 hal</t>
  </si>
  <si>
    <t>juz 3 , 2 hal</t>
  </si>
  <si>
    <t>juz 3 , 3 ayat واذ قال ابراهيم</t>
  </si>
  <si>
    <t>Z N Hikam</t>
  </si>
  <si>
    <t>juz 8 قال فيها تحيون وفيها تموتون</t>
  </si>
  <si>
    <t>juz 8 Q.s al a'raf, 1 hal</t>
  </si>
  <si>
    <t>juz 8 Q.s Al-A'raf, 1 hal</t>
  </si>
  <si>
    <t>juz 8 , 1 hal</t>
  </si>
  <si>
    <t>juz 8 ,½ hal ونادى اصحب الجنة</t>
  </si>
  <si>
    <t>Zubair A I</t>
  </si>
  <si>
    <t xml:space="preserve">juz  30 Q.s an-nazi'at </t>
  </si>
  <si>
    <t>juz 30 Q.s an naba ayat 1-15</t>
  </si>
  <si>
    <t>juz 30 Q.s an naba 1-15</t>
  </si>
  <si>
    <t>juz 30 annaba 1-16</t>
  </si>
  <si>
    <t>juz 30 , 1- 16</t>
  </si>
  <si>
    <t>juz 30 annaba 3 ayat ان يوم الفصل</t>
  </si>
  <si>
    <t>Ayi</t>
  </si>
  <si>
    <t>juz 7</t>
  </si>
  <si>
    <t>juz 7 ½ ke dua</t>
  </si>
  <si>
    <t>Hasbi</t>
  </si>
  <si>
    <t>Fandi</t>
  </si>
  <si>
    <t>juz  3 , 1 lembar</t>
  </si>
  <si>
    <t>Zaki</t>
  </si>
  <si>
    <t>Doni</t>
  </si>
  <si>
    <t>Yusril</t>
  </si>
  <si>
    <t>MINGGU KE 2</t>
  </si>
  <si>
    <t>RABU 8</t>
  </si>
  <si>
    <t>KAMIS 9</t>
  </si>
  <si>
    <t>SABTU 11</t>
  </si>
  <si>
    <t>AHAD 12</t>
  </si>
  <si>
    <t>SENIN 13</t>
  </si>
  <si>
    <t>SELASA 14</t>
  </si>
  <si>
    <t>juz 5 ويستفتونك في النساء</t>
  </si>
  <si>
    <t>juz 5 ½ hal يابها الذين امنوا كونوا</t>
  </si>
  <si>
    <t>إن الذين امنوا ثم كفروا</t>
  </si>
  <si>
    <t>juz 5  وان امراة خافت</t>
  </si>
  <si>
    <t>juz 5 , 2 hal</t>
  </si>
  <si>
    <t>juz 8 أهؤلاء الذين أقسمتم</t>
  </si>
  <si>
    <t>juz 8 , al a'raf 1 hal</t>
  </si>
  <si>
    <t>juz 8 ½ hal والبلد الطبب</t>
  </si>
  <si>
    <t>juz 8 أبلغكم رسالات ربي</t>
  </si>
  <si>
    <t>juz 8 ½ hal قال قد وقع عليكم</t>
  </si>
  <si>
    <t>juz 8 , al a'raf 74-76</t>
  </si>
  <si>
    <t>juz 8 Al A'raf 77-85</t>
  </si>
  <si>
    <t>juz 6 وحسبوا</t>
  </si>
  <si>
    <t>juz 6 , 1 hal قل ياهل الكتب لا تغلو</t>
  </si>
  <si>
    <t>juz 6 ¹½hal لا يحب الله الجهر</t>
  </si>
  <si>
    <t xml:space="preserve">juz 6  1 hal </t>
  </si>
  <si>
    <t xml:space="preserve">juz 6 ¹hal يسألونك ماذا أحل لكم </t>
  </si>
  <si>
    <t>juz 6 . al maidah 1 hal</t>
  </si>
  <si>
    <t>juz 6 ولقد أخذ الله ميثاق</t>
  </si>
  <si>
    <t>2 ayat juz 6</t>
  </si>
  <si>
    <t>4 ayat  juz 6</t>
  </si>
  <si>
    <t xml:space="preserve">juz 6 1 hal </t>
  </si>
  <si>
    <t>juz 6 إنما وليكم الله ورسوله</t>
  </si>
  <si>
    <t>juz 6 وإذا ناديتم إلى الصلاة</t>
  </si>
  <si>
    <t>juz 6 ، 4 ayat وقالت اليهود يد الله مغلولة</t>
  </si>
  <si>
    <t>juz 7 وإذا قيل لهم تعالو</t>
  </si>
  <si>
    <t>juz 7 ½ hal واذا قيل لهم تعالو</t>
  </si>
  <si>
    <t>juz 7 فإن عثر</t>
  </si>
  <si>
    <t>juz 7 ½ hal واذ اوحيت الى الحورين</t>
  </si>
  <si>
    <t>3 ayat juz 7</t>
  </si>
  <si>
    <t>juz 7 Al Maidah 1 hal</t>
  </si>
  <si>
    <t>juz 6 ½hal إنا أوحينا إليك</t>
  </si>
  <si>
    <t>juz 6 إنا أوحينا إليك</t>
  </si>
  <si>
    <t xml:space="preserve">½ hal juz 6 </t>
  </si>
  <si>
    <t>juz 4 ¹hal- فانقلبوا بنعمة من الله</t>
  </si>
  <si>
    <t xml:space="preserve">juz 4 ½ hal ما كان الله ليذر </t>
  </si>
  <si>
    <t>juz 4 لقد سمع الله</t>
  </si>
  <si>
    <t>juz 4 ½ hal فان كذبوك فقد كذب</t>
  </si>
  <si>
    <t>juz 4 Ali Imran 189-192</t>
  </si>
  <si>
    <t>juz 3 ومثل الذين ينفقون</t>
  </si>
  <si>
    <t>juz 3, 1 hal ومثل الذين ينفقون</t>
  </si>
  <si>
    <t>juz 3 ½ hal وما انفقتم</t>
  </si>
  <si>
    <t>juz 3 وما أنفقتم</t>
  </si>
  <si>
    <t xml:space="preserve">juz 3 al baqoroh </t>
  </si>
  <si>
    <t>1 hal juz 3 al baqoroh</t>
  </si>
  <si>
    <t>2 ayat al baqoroh juz 3</t>
  </si>
  <si>
    <t>juz 28 attolaq, 1 hal</t>
  </si>
  <si>
    <t>juz 28 attolaq, 2 hal</t>
  </si>
  <si>
    <t xml:space="preserve">juz 28 attalaq </t>
  </si>
  <si>
    <t>juz 28 attahrim 1 - 4</t>
  </si>
  <si>
    <t>At-tahrim ayat 1</t>
  </si>
  <si>
    <t>juz 28, attahrim ayat 1-4</t>
  </si>
  <si>
    <t>at tahrim juz 28</t>
  </si>
  <si>
    <t>1 hal attahrim juz 28</t>
  </si>
  <si>
    <t>juz 28 attahrim ayat 8-9</t>
  </si>
  <si>
    <t>juz 28 attahrim 1 hal</t>
  </si>
  <si>
    <t>juz 28 ½ hal يايها الذين امنوا توبو</t>
  </si>
  <si>
    <t>At-tahrim ✅</t>
  </si>
  <si>
    <t>juz 28 ,1 hal</t>
  </si>
  <si>
    <t>1 hal awal, juz 28</t>
  </si>
  <si>
    <t>juz 28 ,½ hal</t>
  </si>
  <si>
    <t>juz 1 , 15 hal</t>
  </si>
  <si>
    <t>juz 1 أولا يعلمون</t>
  </si>
  <si>
    <t>juz 2 ,1 hal</t>
  </si>
  <si>
    <t>juz 30, annaba 1-30</t>
  </si>
  <si>
    <t>Juz 30, annaba ayat 1-30</t>
  </si>
  <si>
    <t>An-naba ¹hal 🔄</t>
  </si>
  <si>
    <t>juz 30, annaba ayat 1-30</t>
  </si>
  <si>
    <t>annaziat 1 - 37</t>
  </si>
  <si>
    <t xml:space="preserve">Annaba ayat 31-40 </t>
  </si>
  <si>
    <t>juz 30 , annaba 6 ayat</t>
  </si>
  <si>
    <t>juz 30 annaba 6 ayat</t>
  </si>
  <si>
    <t>can di tahsin</t>
  </si>
  <si>
    <t>juz 30, annaba ayat 17-25</t>
  </si>
  <si>
    <t xml:space="preserve">annaba </t>
  </si>
  <si>
    <t>26-30 annaba</t>
  </si>
  <si>
    <t>Yazid</t>
  </si>
  <si>
    <t>juz 22</t>
  </si>
  <si>
    <t>juz 22 ¹lmbar  يسألونك عن الساعة</t>
  </si>
  <si>
    <t>juz 7 إنمايستجيب</t>
  </si>
  <si>
    <t>juz 7 ¹lmbar وإذ قال إبراهيم لأبيه</t>
  </si>
  <si>
    <t>juz 7 ¼ وإذ قال إبراهيم لأبيه</t>
  </si>
  <si>
    <t xml:space="preserve">3 hal, juz 8 awal  ( qodho) </t>
  </si>
  <si>
    <t xml:space="preserve">juz 8 , 5 hal ( ke 1 ) </t>
  </si>
  <si>
    <t>juz 9 ¼ وإذ قالت أمة</t>
  </si>
  <si>
    <t>3 hal al anfal juz 9</t>
  </si>
  <si>
    <t>juz 9 , 2 hal</t>
  </si>
  <si>
    <t>juz 3 ¹½lmbar الذين يقولون ربنا</t>
  </si>
  <si>
    <t>juz 3, 1 hal</t>
  </si>
  <si>
    <t>juz 6 ²lmbar لا يحب الله الجهر</t>
  </si>
  <si>
    <t>juz 6 , 4 hal يستفتونك</t>
  </si>
  <si>
    <t>2 hal al maidah juz 6</t>
  </si>
  <si>
    <t>كلام+إعراب</t>
  </si>
  <si>
    <t>MINGGU KE 3</t>
  </si>
  <si>
    <t>RABU 15</t>
  </si>
  <si>
    <t>KAMIS 16</t>
  </si>
  <si>
    <t>SABTU 18</t>
  </si>
  <si>
    <t>AHAD 19</t>
  </si>
  <si>
    <t>SENIN 20</t>
  </si>
  <si>
    <t>SELASA 21</t>
  </si>
  <si>
    <t>p</t>
  </si>
  <si>
    <t>juz 5, ¼ juz  الله لا اله الا هو</t>
  </si>
  <si>
    <t xml:space="preserve">juz 6, 1 hal فبما نقضهم </t>
  </si>
  <si>
    <t>⬅️</t>
  </si>
  <si>
    <t>juz 5, 4H</t>
  </si>
  <si>
    <t>juz 6 فبما نقضهم</t>
  </si>
  <si>
    <t>juz 5 والمحصنت من النساء ¹½lmbar</t>
  </si>
  <si>
    <t>juz 5 ¼ والمحصنت من النساء</t>
  </si>
  <si>
    <t>الجزء ٦، لا يحب الله الجهر</t>
  </si>
  <si>
    <t>juz 8, ½ hal فعقروا الناقة</t>
  </si>
  <si>
    <t xml:space="preserve">juz 8, 1 hal وما كان جواب قومه </t>
  </si>
  <si>
    <t>juz 8 وما كان جواب قومه</t>
  </si>
  <si>
    <t>¼  awal</t>
  </si>
  <si>
    <t>juz 9 قال الملا الذين استكبروا</t>
  </si>
  <si>
    <t>juz 8 ³hal</t>
  </si>
  <si>
    <t>juz 8 ¼ ثمنية أزواج</t>
  </si>
  <si>
    <t>الجزء ٩، ولو ان اهل القرى</t>
  </si>
  <si>
    <t>juz 6, 1 hal قالوا يموسى</t>
  </si>
  <si>
    <t>juz 6, 1 hal من اجل ذلك</t>
  </si>
  <si>
    <t xml:space="preserve">juz 6 , 5 lembar ( ke 1 ) </t>
  </si>
  <si>
    <t>يريدون ايّخرجوا (juz 6 (2H</t>
  </si>
  <si>
    <t>juz 6 وقفينا على اثارهم</t>
  </si>
  <si>
    <t>juz 7 al maidah 51-57</t>
  </si>
  <si>
    <t>الجزء ٦، واذا ناديتم الى الصلوة</t>
  </si>
  <si>
    <t>juz 6 يهدي به الله</t>
  </si>
  <si>
    <t>juz 6 وقالت اليهود</t>
  </si>
  <si>
    <t>juz 6 قالو يموسى انا لن ندخلها</t>
  </si>
  <si>
    <t>juz 6 al maidah 24-31</t>
  </si>
  <si>
    <t>juz 6 قالو يموسى</t>
  </si>
  <si>
    <t>juz 6, 1 hal وحسبوا</t>
  </si>
  <si>
    <t>juz 6 مالمسيح</t>
  </si>
  <si>
    <t>juz 6 ما المسيح ابن مريم</t>
  </si>
  <si>
    <t>TS</t>
  </si>
  <si>
    <t xml:space="preserve"> juz 7 الحمدلله الذي خلث السموات</t>
  </si>
  <si>
    <t xml:space="preserve">juz 7 الم يروا كم </t>
  </si>
  <si>
    <t>juz 7 ولو جعلنه ملكا لجعلنه</t>
  </si>
  <si>
    <t>juz 7 ولو جعلنه رجلا</t>
  </si>
  <si>
    <t>juz 7 قل إني أخاف</t>
  </si>
  <si>
    <t>juz 6</t>
  </si>
  <si>
    <t>Al Maidah 1 - 2</t>
  </si>
  <si>
    <t>الماءدة 1-2</t>
  </si>
  <si>
    <t>juz 6 al maidah 3-5</t>
  </si>
  <si>
    <t>juz 6 حرمت عليكم الميتة</t>
  </si>
  <si>
    <t>juz 4 Ali Imran ayat 189-192</t>
  </si>
  <si>
    <t>juz 4 Ali Imran ayat  193-195</t>
  </si>
  <si>
    <t>juz 4 ولله ملك السموات</t>
  </si>
  <si>
    <t xml:space="preserve">الاعمران 193-195 </t>
  </si>
  <si>
    <t>juz 4 1 hal</t>
  </si>
  <si>
    <t>juz 4 ali imron لايغرنك تقلب الذين</t>
  </si>
  <si>
    <t>juz 4 يا أيها الناس اتقوا ربكم</t>
  </si>
  <si>
    <t>juz 3 الذين يأكلون الربوا</t>
  </si>
  <si>
    <t>juz 3 , ½ hal يايها الذين امنوااذا تداينتم</t>
  </si>
  <si>
    <t>juz 3 إذا تداينتم</t>
  </si>
  <si>
    <t>juz 3 يايها الذين امنوا اذا تداينتم</t>
  </si>
  <si>
    <t xml:space="preserve">يايهاالذين امنواذا تدا juz 3 </t>
  </si>
  <si>
    <t>juz 3 وان كنتم على سفر</t>
  </si>
  <si>
    <t>juz 3  وإن كنتم على سفر</t>
  </si>
  <si>
    <t>juz 3 آلم الله لا إله إلا هو</t>
  </si>
  <si>
    <t>juz 28 attahrim 1-9</t>
  </si>
  <si>
    <t>juz 28 attahrim 10-12</t>
  </si>
  <si>
    <t xml:space="preserve">Attahrim </t>
  </si>
  <si>
    <t>المجادلة 1-6</t>
  </si>
  <si>
    <t>juz 28 al mujadalah 14-22</t>
  </si>
  <si>
    <t>الجثيه ١-١٢</t>
  </si>
  <si>
    <t xml:space="preserve">juz 28 Almujadalah </t>
  </si>
  <si>
    <t>juz 28 Al-Hasyr 1-3</t>
  </si>
  <si>
    <t>juz 28 , 5 hal, al hasyr- almumtahanah</t>
  </si>
  <si>
    <t>الجمعة</t>
  </si>
  <si>
    <t>الصّف</t>
  </si>
  <si>
    <t>juz 28 المنفقون</t>
  </si>
  <si>
    <t xml:space="preserve">juz 1 ,¼ akhir </t>
  </si>
  <si>
    <t>juz 2 سيقول السفهاء</t>
  </si>
  <si>
    <t>juz 2 الذين اتتينهم الكتب يعرفونه</t>
  </si>
  <si>
    <t>الجزء ٢، ولا تقولو لمن يقتل</t>
  </si>
  <si>
    <t>البقرة 80-81</t>
  </si>
  <si>
    <t>juz 1 al baqoroh 70-76</t>
  </si>
  <si>
    <t>juz 30 , annaba 31-40</t>
  </si>
  <si>
    <t xml:space="preserve">Annaba </t>
  </si>
  <si>
    <t>النباء</t>
  </si>
  <si>
    <t>al mulk</t>
  </si>
  <si>
    <t>الجزء ٢٩، وللذين كفروا بربهم</t>
  </si>
  <si>
    <t xml:space="preserve">juz 30 annaba 1- 30 </t>
  </si>
  <si>
    <t>juz 30 annaba 31-40</t>
  </si>
  <si>
    <t>juz 30, annaba 31-40</t>
  </si>
  <si>
    <t>النباء 35-40</t>
  </si>
  <si>
    <t>النباء🔄</t>
  </si>
  <si>
    <t>juz 22 أفترى على الله كذبا</t>
  </si>
  <si>
    <t>juz 22 وما يستوي البحران</t>
  </si>
  <si>
    <t>juz 8, 2 hal</t>
  </si>
  <si>
    <t>juz 8 ¹lmbar</t>
  </si>
  <si>
    <t>juz 8, 2H</t>
  </si>
  <si>
    <t>juz 8 يا بني آدم خذوا زينتكم</t>
  </si>
  <si>
    <t>juz 8 ¼ آلمص</t>
  </si>
  <si>
    <t>juz 9</t>
  </si>
  <si>
    <t>juz 10 ¹½lmbar واعلموا أنما غنمتم</t>
  </si>
  <si>
    <t>juz 10 برآءة من الله</t>
  </si>
  <si>
    <t>juz 10¼  برآءة من الله</t>
  </si>
  <si>
    <t>Ajril</t>
  </si>
  <si>
    <t>juz 14 ¹juz</t>
  </si>
  <si>
    <t>Umar 'Abdul Malik Almulki</t>
  </si>
  <si>
    <t>An-Nazi'ah ¹surat</t>
  </si>
  <si>
    <t>عبس</t>
  </si>
  <si>
    <t>MINGGU KE 4</t>
  </si>
  <si>
    <t>RABU</t>
  </si>
  <si>
    <t>KAMIS</t>
  </si>
  <si>
    <t>SABTU</t>
  </si>
  <si>
    <t>AHAD</t>
  </si>
  <si>
    <t>SENIN</t>
  </si>
  <si>
    <t>SELASA</t>
  </si>
  <si>
    <t>P</t>
  </si>
  <si>
    <t>الجزء ٥، الئك الذين لعنهم الله (٢ ص)</t>
  </si>
  <si>
    <t>الجزء ٦، فبما نقضهم ميثاقهم</t>
  </si>
  <si>
    <t>الجزء ٥، وما لكم لا تقاتلون</t>
  </si>
  <si>
    <t>اولئك الذين لعنهم الله</t>
  </si>
  <si>
    <t xml:space="preserve">الجزء ٦، لا يحب الله الحهر </t>
  </si>
  <si>
    <t>juz 6 , annisa 155-162</t>
  </si>
  <si>
    <t>juz 8 قال ما منعك ألا تسجد إذ أمرتك</t>
  </si>
  <si>
    <t>الجزء ٨، قال ما منعك اذ امرتك (٢ ص)</t>
  </si>
  <si>
    <t>الجزء ٨، يبني ادم خذوا زينتكم</t>
  </si>
  <si>
    <t xml:space="preserve">الجزء ٨، قال ادخلوا في امم </t>
  </si>
  <si>
    <t>قال ما منعك ألا تسجد إذ أمرتك</t>
  </si>
  <si>
    <t>الجزء ٨، ولقد جئنهم بكتب فصله</t>
  </si>
  <si>
    <t>juz 9  , al a'raf 105-120</t>
  </si>
  <si>
    <t>juz 6 ¼ قالوا يموسى</t>
  </si>
  <si>
    <t>juz 7 وإذا سمعوا</t>
  </si>
  <si>
    <t>الجزء ٧، يايها الين امنوا انما الخمر</t>
  </si>
  <si>
    <t>الجزء ٧، يايها الذين امنو انما الخمر</t>
  </si>
  <si>
    <t>juz 7 , al maidah 95-103</t>
  </si>
  <si>
    <t>الجزء ٧، يايها الذين امنوا لا تقتلو الصيد وانتم حرم</t>
  </si>
  <si>
    <t>juz 7, al maidah 96-103</t>
  </si>
  <si>
    <t>أحل لكم صيد البحر</t>
  </si>
  <si>
    <t xml:space="preserve">الجزء ٧، احل لكم صيد البحر </t>
  </si>
  <si>
    <t>juz 7 , al maidah 104-108</t>
  </si>
  <si>
    <t xml:space="preserve"> juz 6 قالوا يموسى إنا لن ندخلها</t>
  </si>
  <si>
    <t>juz 6 من أجل ذلك</t>
  </si>
  <si>
    <t>الجزء ٦، يريدون ان يخرجوا من النار</t>
  </si>
  <si>
    <t>juz 6 , Al-Maidah 42-45</t>
  </si>
  <si>
    <t>الجزء ٦، سمعون للكذب اكلون</t>
  </si>
  <si>
    <t>juz 6, al maidah 46-50</t>
  </si>
  <si>
    <t xml:space="preserve">الجزء ٧، قل ياهل الكتب لا تغلوا </t>
  </si>
  <si>
    <t>الجزء ٦، ولو كانوا يؤمنون باالله</t>
  </si>
  <si>
    <t>juz 7, Al-Maidah 83-89</t>
  </si>
  <si>
    <t>الجزء ٧،(٤ اية)</t>
  </si>
  <si>
    <t>juz 7, al maidah 90-93</t>
  </si>
  <si>
    <t>juz 6 قل أي شي أكبر شهادة</t>
  </si>
  <si>
    <t>الجزء ٧، قل اي شيئ اكبر (½ ص)</t>
  </si>
  <si>
    <t>الجزء ٧، ومنهم من يستمع اليك</t>
  </si>
  <si>
    <t>juz 7, al an'am 28-35</t>
  </si>
  <si>
    <t>الجزء ٧ ، انما يستجيب الذين يسمعون</t>
  </si>
  <si>
    <t xml:space="preserve">الجزء ٧، بل بدالهم ما كانو </t>
  </si>
  <si>
    <t>juz 7, al an'am 45-52</t>
  </si>
  <si>
    <t>juz 6 يايها الذين آمنوا إذا قمتم إلى الصلاة</t>
  </si>
  <si>
    <t>الجزء ٦، والذين كفروا وكذبوا</t>
  </si>
  <si>
    <t>juz 6 , al maidah 14-17</t>
  </si>
  <si>
    <t xml:space="preserve">الجزء ٦ ، لقد كفر الذين قالو ان الله هو المسيح ابن مريم </t>
  </si>
  <si>
    <t>وقالت اليهود والنصرى نحن ابنؤ</t>
  </si>
  <si>
    <t>الجزء ٦، يقوم ادخلوا الارض</t>
  </si>
  <si>
    <t xml:space="preserve">الجزء ٦، يقوم ادخلو الارض </t>
  </si>
  <si>
    <t>juz 6, al maidah 18-23</t>
  </si>
  <si>
    <t xml:space="preserve">الجزء ٤، واتو النساء </t>
  </si>
  <si>
    <t>juz 4 , annisa 7-10</t>
  </si>
  <si>
    <t xml:space="preserve">الجرء ٤، للرجال نصيب مما ترك </t>
  </si>
  <si>
    <t>juz 4, annisa 12-14</t>
  </si>
  <si>
    <t>ولكم نصف</t>
  </si>
  <si>
    <t>الجزء ٤ ، تلك حدود الله</t>
  </si>
  <si>
    <t>juz 4 , annisa 18-19</t>
  </si>
  <si>
    <t>ال عمران ¹حال</t>
  </si>
  <si>
    <t>juz 3 ,1H ان الذين كفرو لن تغني</t>
  </si>
  <si>
    <t>juz 3 إن الذين كفرو لن تغني عتهم</t>
  </si>
  <si>
    <t>الجزء ٣، زين للناس حب الشهوات</t>
  </si>
  <si>
    <t>juz 3 , ali imron 16-22</t>
  </si>
  <si>
    <t xml:space="preserve">الجزء ٣، الذين يقولون ربنا اننا (½ ص) </t>
  </si>
  <si>
    <t>الذين يقولون ربنا</t>
  </si>
  <si>
    <t>الجزء ٣، الم تر الى الذين اوتوا نصيبا</t>
  </si>
  <si>
    <t>الجزء ٢٨ ، الحشر ١ - ٩</t>
  </si>
  <si>
    <t>juz 28 والذين جاءو</t>
  </si>
  <si>
    <t>الجزء ٢٨، الحشر ١ - ١٦</t>
  </si>
  <si>
    <t>الجزء ٢٨، الحشر ١٧ - ٢٤</t>
  </si>
  <si>
    <t>الجزء ٢٨، الحشر</t>
  </si>
  <si>
    <t>juz 28 , al mumtahanah 1-7</t>
  </si>
  <si>
    <t>الجزء ٢٨، الممتحنة ١ - ٧</t>
  </si>
  <si>
    <t>juz 28 al mumtahanah 8-13</t>
  </si>
  <si>
    <t xml:space="preserve">الممتحنه </t>
  </si>
  <si>
    <t xml:space="preserve">الجزء ٢٨، الصف </t>
  </si>
  <si>
    <t>الجزء ٢٨، الصف ١ - ٩</t>
  </si>
  <si>
    <t>juz 28 , as saff 10-14</t>
  </si>
  <si>
    <t>الجزء ٢٨ (١ ص)</t>
  </si>
  <si>
    <t>الجزء ٢٨، الطلاق (١ ص)</t>
  </si>
  <si>
    <t>الجزء ٢٨، الطلاق ٦ - ٧</t>
  </si>
  <si>
    <t xml:space="preserve">الجزء ٢٨، اسكنوهن من حيث </t>
  </si>
  <si>
    <t>juz 28 , attahrim 1- 3</t>
  </si>
  <si>
    <t>الجزء ٢٨، التحريم  ١ - ٧</t>
  </si>
  <si>
    <t>ضرب الله مثلا للذين كفروا</t>
  </si>
  <si>
    <t>الجزء ٢٨، المجدله ١ - ٣</t>
  </si>
  <si>
    <t>الجزء ٢٨، المجادلة ١ - ٦</t>
  </si>
  <si>
    <t>juz 2 ولا تقولوا لمن يقتل</t>
  </si>
  <si>
    <t>الجزء ٢، ان في خلق السموت (١ ص)</t>
  </si>
  <si>
    <t>الجزء ٢، واذا قيل لهم اتبعوا</t>
  </si>
  <si>
    <t>juz 2 , al baqoroh 177-181</t>
  </si>
  <si>
    <t>الجزء ٢، ليس البر ان تولوا (١ ص)</t>
  </si>
  <si>
    <t>أحل لكم ليلة الصيام</t>
  </si>
  <si>
    <t>الجزء ٢، واقتلوهم حيث ثقفتموهم</t>
  </si>
  <si>
    <t xml:space="preserve">الجزء ٢، واقتلوهم حيث ثقفتموه </t>
  </si>
  <si>
    <t>الجزء ١ ، ثم انتم هؤلاء تقتلون</t>
  </si>
  <si>
    <t>juz 1 اولئك الذين اشتروا</t>
  </si>
  <si>
    <t>الجزء ١، الئك الذين اشترو</t>
  </si>
  <si>
    <t xml:space="preserve">الجزء ١، ولما جاءهم كتب من عند الله </t>
  </si>
  <si>
    <t xml:space="preserve">الجزء ١، ولما جاء هم كتب من عند الله </t>
  </si>
  <si>
    <t>juz 1, al baqoroh 91-93</t>
  </si>
  <si>
    <t>الجزء ١، واذا قيل لهم امنوا بما انزل الله</t>
  </si>
  <si>
    <t>juz 1 , al baqoroh 94-96</t>
  </si>
  <si>
    <t xml:space="preserve">قل ان كانت لكم الدار الاخرة </t>
  </si>
  <si>
    <t>الجزء ١، ولتجدنهم احرص الناس</t>
  </si>
  <si>
    <t>الجزء ١، قل من كان عدو لجبريل</t>
  </si>
  <si>
    <t>juz 1 , al baqoroh 102</t>
  </si>
  <si>
    <t>الجزء ٢٩ (١ ص)</t>
  </si>
  <si>
    <t>الجزء ٣٠، النبا - النزعت</t>
  </si>
  <si>
    <t>الجزء ٢٩، الملك ٦ - ١٢</t>
  </si>
  <si>
    <t>الجزء ٣٠، الانفطار - المطففين</t>
  </si>
  <si>
    <t>juz 29 , al mulk 5-12</t>
  </si>
  <si>
    <t>الجزء ٣٠، الانشقاق - البروج</t>
  </si>
  <si>
    <t>juz 29 , al mulk 13-21</t>
  </si>
  <si>
    <t>تبارك الذي بيده الملك</t>
  </si>
  <si>
    <t>الجزء ٢٩،الملك ٢٧ - ٣٠</t>
  </si>
  <si>
    <t xml:space="preserve">الجزء ٢٩، الملك ١ - ٧ </t>
  </si>
  <si>
    <t>juz 29 , al mulk 27- 30</t>
  </si>
  <si>
    <t>الجزء ٣٠ ، النبا</t>
  </si>
  <si>
    <t xml:space="preserve">الجزء ٣٠، النزعت </t>
  </si>
  <si>
    <t>الجزء ٢٩، الملك ١ - ٤</t>
  </si>
  <si>
    <t>juz 30 annaba</t>
  </si>
  <si>
    <t>الجزء ٣٠، النزعت</t>
  </si>
  <si>
    <t>juz 29, al mulk 1- 3</t>
  </si>
  <si>
    <t>الجزء ٢٩، الملك ١ - ٦</t>
  </si>
  <si>
    <t xml:space="preserve">juz 30 , attakwir </t>
  </si>
  <si>
    <t>Umar</t>
  </si>
  <si>
    <t>al-ahqof 5 ayat</t>
  </si>
  <si>
    <t xml:space="preserve">Umar </t>
  </si>
  <si>
    <t>الأحقاف : وإذا حشر الناس</t>
  </si>
  <si>
    <t>الجزء ٢٦، الاحقاف ١ - ٩</t>
  </si>
  <si>
    <t>umar</t>
  </si>
  <si>
    <t>juz 26, al ahqof 1-12</t>
  </si>
  <si>
    <t>الجزء ٢٦، الاحقاف ١٣ - ١٥</t>
  </si>
  <si>
    <t>juz 26 , al ahqof 6-14</t>
  </si>
  <si>
    <t>الجزء ٢٨، الحشر ٤ - ٩</t>
  </si>
  <si>
    <t>الجزء ٢٦، الاحقاق ١٦ - ١٩</t>
  </si>
  <si>
    <t>juz 28 , al hasyr 10-16</t>
  </si>
  <si>
    <t>juz 8 ولقد جئنهم بكتاب</t>
  </si>
  <si>
    <t>ولقد جئنهم بكتاب</t>
  </si>
  <si>
    <t>juz 10 ½¹</t>
  </si>
  <si>
    <t>juz 10 ¹½lmbr</t>
  </si>
  <si>
    <t>Zaki. Yazid</t>
  </si>
  <si>
    <t>وما أنزلنا على قومه</t>
  </si>
  <si>
    <t>juz 22 والذي أوحينا</t>
  </si>
  <si>
    <t>yazid</t>
  </si>
  <si>
    <t>juz 5 , ¼ ke 2</t>
  </si>
  <si>
    <t>juz 8, al a'raf 58-62</t>
  </si>
  <si>
    <t>الجزء ٨، الاعرف ٦٨ - ٧٠</t>
  </si>
  <si>
    <t>juz 7 , al maidah 104-106</t>
  </si>
  <si>
    <t>الجزء ٧، المائدة ١٠٧ - ١٠٨</t>
  </si>
  <si>
    <t>juz 7, al maidah 113</t>
  </si>
  <si>
    <t>juz 6, al maidah 42-43</t>
  </si>
  <si>
    <t>juz 6 , al maidah 46-50</t>
  </si>
  <si>
    <t>juz 7, al maidah 83-84</t>
  </si>
  <si>
    <t>juz 7 , al an'am 34-35</t>
  </si>
  <si>
    <t xml:space="preserve">الجزء ٧، انما يستجيب الذين يسمعون </t>
  </si>
  <si>
    <t>juz 6 , al maidah 21-24</t>
  </si>
  <si>
    <t xml:space="preserve">juz 4 , annisa </t>
  </si>
  <si>
    <t>juz 3 , ali imron 23-29</t>
  </si>
  <si>
    <t xml:space="preserve">الجزء ٣، يوم تجد كل نفس </t>
  </si>
  <si>
    <t>juz 28 , as saff</t>
  </si>
  <si>
    <t xml:space="preserve">juz 28 ,al mujadalah </t>
  </si>
  <si>
    <t>الجزء ٢٨، المجادلة - الحشر ١ - ٩</t>
  </si>
  <si>
    <t>juz 28, al hasyr</t>
  </si>
  <si>
    <t>juz 28 , almujadalah 7-11</t>
  </si>
  <si>
    <t>الجزء ٢٨، المجادلة ١٢- ٢٢</t>
  </si>
  <si>
    <t>juz 2 , al-baqarah 197-202</t>
  </si>
  <si>
    <t>الجزء ٢، واذكروا الله في ايام</t>
  </si>
  <si>
    <t>Juz 1 , Al baqoroh 100-101</t>
  </si>
  <si>
    <t>الجزء ١، واتبعوا ما تتلوا الشيطين</t>
  </si>
  <si>
    <t>juz 1, al baqoroh 103-105</t>
  </si>
  <si>
    <t>juz 29 , al mulk 7-12</t>
  </si>
  <si>
    <t>juz 29 , al mulk 1-12</t>
  </si>
  <si>
    <t>الجزء ٢٩، الملك ١ - ١٢</t>
  </si>
  <si>
    <t>juz 30 , annaba</t>
  </si>
  <si>
    <t>juz 30 , al muthoffifin</t>
  </si>
  <si>
    <t>الجزء ٣٠، عبس</t>
  </si>
  <si>
    <t>juz 26 , al ahqof ayat 20</t>
  </si>
  <si>
    <t>juz 26 , al ahqof 15-20</t>
  </si>
  <si>
    <t>الجزء ٢٦، الاحقاف ٢١ - ٢٢</t>
  </si>
  <si>
    <t>juz 28, al hasyr. 10-16</t>
  </si>
  <si>
    <t>juz 9, 1 lembar al a'raf 88-104</t>
  </si>
  <si>
    <t>ABSENSI MUROJA'AH</t>
  </si>
  <si>
    <t>MINGGU Ke  1</t>
  </si>
  <si>
    <t xml:space="preserve">KAMIS </t>
  </si>
  <si>
    <t xml:space="preserve">SABTU </t>
  </si>
  <si>
    <t xml:space="preserve">SENIN </t>
  </si>
  <si>
    <t xml:space="preserve">SELASA </t>
  </si>
  <si>
    <t xml:space="preserve">Jumlah </t>
  </si>
  <si>
    <t xml:space="preserve">Jumlah Setoran </t>
  </si>
  <si>
    <t>Juz</t>
  </si>
  <si>
    <t>¼ pertama</t>
  </si>
  <si>
    <t>juz 12</t>
  </si>
  <si>
    <t>¼ kedua</t>
  </si>
  <si>
    <t>Q.S Al-Ma'arij</t>
  </si>
  <si>
    <t>Q.s nuh ½ hal</t>
  </si>
  <si>
    <t>juz 29</t>
  </si>
  <si>
    <t>1 hal</t>
  </si>
  <si>
    <t>½ awal</t>
  </si>
  <si>
    <t>¼ ke dua</t>
  </si>
  <si>
    <t>juz 2</t>
  </si>
  <si>
    <t>4 H (11-14)</t>
  </si>
  <si>
    <t>Q.s al baqoroh</t>
  </si>
  <si>
    <t>¼ awal</t>
  </si>
  <si>
    <t>juz 3</t>
  </si>
  <si>
    <t>Q.S Al-Gosyiah</t>
  </si>
  <si>
    <t xml:space="preserve">juz 30 </t>
  </si>
  <si>
    <t>Q.s al gosyiah - al fajr</t>
  </si>
  <si>
    <t>juz 30</t>
  </si>
  <si>
    <t>¼ ketiga</t>
  </si>
  <si>
    <t>1 H</t>
  </si>
  <si>
    <t>2H. 16-17</t>
  </si>
  <si>
    <t>3 hal</t>
  </si>
  <si>
    <t>juz 5</t>
  </si>
  <si>
    <t>4 h</t>
  </si>
  <si>
    <t xml:space="preserve">Q.S Al-Insyiqoq&amp; Al-Buruj </t>
  </si>
  <si>
    <t>Q.s attoriq - al fajr</t>
  </si>
  <si>
    <t>Q.s Al Balad &amp; Asy Syams</t>
  </si>
  <si>
    <t>Al lail- Al Insyirah</t>
  </si>
  <si>
    <t>3 hal awal</t>
  </si>
  <si>
    <t>Q.s al maidah 1 hal ½</t>
  </si>
  <si>
    <t>2 hal</t>
  </si>
  <si>
    <t>H 16-18</t>
  </si>
  <si>
    <t>4 hal</t>
  </si>
  <si>
    <t xml:space="preserve">¾ </t>
  </si>
  <si>
    <t>juz 1</t>
  </si>
  <si>
    <t xml:space="preserve">juz 1 </t>
  </si>
  <si>
    <t xml:space="preserve">¼ akhir </t>
  </si>
  <si>
    <t xml:space="preserve">1 juz </t>
  </si>
  <si>
    <t>½ pertama</t>
  </si>
  <si>
    <t>Q.S Al-Hasyr 13 ayat</t>
  </si>
  <si>
    <t xml:space="preserve">al asr - al kautsar </t>
  </si>
  <si>
    <t>Q.s at tagobun 1- 13</t>
  </si>
  <si>
    <t>juz 28</t>
  </si>
  <si>
    <t xml:space="preserve"> al mursalat </t>
  </si>
  <si>
    <t>Al Kafirun- An Nas</t>
  </si>
  <si>
    <t>Q.S Nuh &amp; Al-Jin</t>
  </si>
  <si>
    <t xml:space="preserve">Q.S almuzzamil &amp; </t>
  </si>
  <si>
    <t>al mudasir</t>
  </si>
  <si>
    <t xml:space="preserve">al qiamah </t>
  </si>
  <si>
    <t>al muddastir- al qiyamah</t>
  </si>
  <si>
    <t>al insan</t>
  </si>
  <si>
    <t xml:space="preserve">M Sudais H </t>
  </si>
  <si>
    <t xml:space="preserve">½ juz akhir </t>
  </si>
  <si>
    <t xml:space="preserve">3 hal </t>
  </si>
  <si>
    <t xml:space="preserve">Q.S Al-Insyiqoq </t>
  </si>
  <si>
    <t>al buruz</t>
  </si>
  <si>
    <t xml:space="preserve"> Q.s attoriq - al gosiyah</t>
  </si>
  <si>
    <t>Q.s Alfajr</t>
  </si>
  <si>
    <t xml:space="preserve">al balad - al lail </t>
  </si>
  <si>
    <t>MINGGU Ke  2</t>
  </si>
  <si>
    <t>1 Hal</t>
  </si>
  <si>
    <t>almuddatsir 1 - 17</t>
  </si>
  <si>
    <t>½ hal</t>
  </si>
  <si>
    <t>32- 56 al mudastir</t>
  </si>
  <si>
    <t>al baqoroh, 1 hal</t>
  </si>
  <si>
    <t>1 hal ½</t>
  </si>
  <si>
    <t>5 hal awal</t>
  </si>
  <si>
    <t xml:space="preserve">2 hal </t>
  </si>
  <si>
    <t xml:space="preserve">¼ kedua </t>
  </si>
  <si>
    <t xml:space="preserve">5 hal </t>
  </si>
  <si>
    <t>التين - البينة</t>
  </si>
  <si>
    <t>Q.S Annazi'at</t>
  </si>
  <si>
    <t>Abasa</t>
  </si>
  <si>
    <t>attakwir</t>
  </si>
  <si>
    <t>al maidah 2 hal</t>
  </si>
  <si>
    <t>1 h</t>
  </si>
  <si>
    <t>1 hal واذ يرفع ابرهيم</t>
  </si>
  <si>
    <t xml:space="preserve">1 hal </t>
  </si>
  <si>
    <t xml:space="preserve"> juz 1</t>
  </si>
  <si>
    <t xml:space="preserve">¼ pertama </t>
  </si>
  <si>
    <t>attolaq, 1-7</t>
  </si>
  <si>
    <t>Attalaq, 1 hal</t>
  </si>
  <si>
    <t>Q.S Almujadalah 1-6</t>
  </si>
  <si>
    <t>11 - 15 al mujadalah</t>
  </si>
  <si>
    <t>القيمه - الانسن</t>
  </si>
  <si>
    <t>1hal ½</t>
  </si>
  <si>
    <t xml:space="preserve">Q.S Annazi'at </t>
  </si>
  <si>
    <t xml:space="preserve">1 hal قالوا ادع لنا </t>
  </si>
  <si>
    <t>¼ juz ke-2</t>
  </si>
  <si>
    <t>5 hal</t>
  </si>
  <si>
    <t>juz 8</t>
  </si>
  <si>
    <t>الضحى - العلق</t>
  </si>
  <si>
    <t>annazi'at - 'abasa</t>
  </si>
  <si>
    <t>attakwir - al infithor</t>
  </si>
  <si>
    <t>MINGGU Ke  3</t>
  </si>
  <si>
    <t>Al Muddasir</t>
  </si>
  <si>
    <t>القيمه 1-19</t>
  </si>
  <si>
    <t>patrol</t>
  </si>
  <si>
    <t>القيمة</t>
  </si>
  <si>
    <t>الانسان ١-١٦</t>
  </si>
  <si>
    <t>الملك</t>
  </si>
  <si>
    <t>albaqoroh ليس البر</t>
  </si>
  <si>
    <t>1H</t>
  </si>
  <si>
    <t>الغاشية</t>
  </si>
  <si>
    <t>الفجر</t>
  </si>
  <si>
    <t>al 'ala - alfajr</t>
  </si>
  <si>
    <t>3H لاخير في كثيرمن نجوىهم</t>
  </si>
  <si>
    <t>1H يايها الذين امنوا كونوا</t>
  </si>
  <si>
    <t xml:space="preserve">Q.S Al-Infithor - Al-Muthoffifin </t>
  </si>
  <si>
    <t>الانشقاق</t>
  </si>
  <si>
    <t>البروج</t>
  </si>
  <si>
    <t>الطارق - الاعلى</t>
  </si>
  <si>
    <t>قالو يموسى  1H</t>
  </si>
  <si>
    <t>2H</t>
  </si>
  <si>
    <t>4H قالوا يموسى انا لن ندخلها</t>
  </si>
  <si>
    <t>annisa 38-44</t>
  </si>
  <si>
    <t>2 Hal</t>
  </si>
  <si>
    <t>1H الحج اشهر معلومت</t>
  </si>
  <si>
    <t>Al-Mujadalah ayat 15-18</t>
  </si>
  <si>
    <t>التحريم1-7</t>
  </si>
  <si>
    <t>القلم ١-٤٢</t>
  </si>
  <si>
    <t>8 Ayat الم ترالى الذين تولو قوما</t>
  </si>
  <si>
    <t>2H الم تر ان الله يعلم</t>
  </si>
  <si>
    <t xml:space="preserve">Q.S At-Takwir </t>
  </si>
  <si>
    <t>المطففين</t>
  </si>
  <si>
    <t>Di jenguk</t>
  </si>
  <si>
    <t xml:space="preserve">1H اولا يعلمون ان الله </t>
  </si>
  <si>
    <t xml:space="preserve">2H اولا يعلمون ان الله يعلم ما </t>
  </si>
  <si>
    <t>2H ثمنية ازواج</t>
  </si>
  <si>
    <t xml:space="preserve">النباء </t>
  </si>
  <si>
    <t>MINGGU Ke  4</t>
  </si>
  <si>
    <t>الانسان ١٧-٣١</t>
  </si>
  <si>
    <t>الانسان</t>
  </si>
  <si>
    <t>al mursalat</t>
  </si>
  <si>
    <t>annas- al kafirun</t>
  </si>
  <si>
    <t>1H لن تنالو البر حتى تنفقوا</t>
  </si>
  <si>
    <t>1 hal ali imron</t>
  </si>
  <si>
    <t>¹/² juz</t>
  </si>
  <si>
    <t>ali imron 92-102</t>
  </si>
  <si>
    <t>Q.s al mulk</t>
  </si>
  <si>
    <t xml:space="preserve">Q.s nun </t>
  </si>
  <si>
    <t>al ghosyiah - al fajr</t>
  </si>
  <si>
    <t>al balad</t>
  </si>
  <si>
    <t>¼ juz لا خير في كثير من نجوىهم</t>
  </si>
  <si>
    <t>6H والمحثنت من النساء</t>
  </si>
  <si>
    <t xml:space="preserve"> 5 lembar والمحصنة من النساء</t>
  </si>
  <si>
    <t>annisa 5 hal</t>
  </si>
  <si>
    <t>لا خير في كثير من نجوهم الا (٣ ص)</t>
  </si>
  <si>
    <t>الفجر - البلد</t>
  </si>
  <si>
    <t>asy syams - allail</t>
  </si>
  <si>
    <t>1 lembar adh dhuha - al a'laq</t>
  </si>
  <si>
    <t>al alaq - al bayyinah</t>
  </si>
  <si>
    <t>¼ juz قالوا يمسى انا لن ندخلها</t>
  </si>
  <si>
    <t>1 hal يا ايهاالذين امنوا لا تتخذوا</t>
  </si>
  <si>
    <t xml:space="preserve">1/2 juz </t>
  </si>
  <si>
    <t>al maidah 83-</t>
  </si>
  <si>
    <t>1H الئك الذين لعنهم الله</t>
  </si>
  <si>
    <t>annisa 80-87</t>
  </si>
  <si>
    <t>½ juz سيقول السفهاء من الناس</t>
  </si>
  <si>
    <t>1H واذكر الله في ايام معدودات</t>
  </si>
  <si>
    <t xml:space="preserve"> 1 hal سل بني اسراءل</t>
  </si>
  <si>
    <t>6 lembar</t>
  </si>
  <si>
    <t>al baqoroh 216-219</t>
  </si>
  <si>
    <t>al baqoroh  5 hal awal</t>
  </si>
  <si>
    <t>5 lembar awla al baqoroh</t>
  </si>
  <si>
    <t>المجدله</t>
  </si>
  <si>
    <t>al hasyr 1-16</t>
  </si>
  <si>
    <t>al mujadalah</t>
  </si>
  <si>
    <t xml:space="preserve">al hasyr </t>
  </si>
  <si>
    <t xml:space="preserve">الطارق-الاعلى </t>
  </si>
  <si>
    <t>al fajr</t>
  </si>
  <si>
    <t xml:space="preserve">al balad </t>
  </si>
  <si>
    <t>الشمس - اليل</t>
  </si>
  <si>
    <t xml:space="preserve">1H ولما جاءهم كتب من عند الله </t>
  </si>
  <si>
    <t>3H اولا يعلمون</t>
  </si>
  <si>
    <t>al baqoroh قل ان كانت</t>
  </si>
  <si>
    <t>al baqoroh 1 hal 102-105</t>
  </si>
  <si>
    <t>al baqoroh  94-105</t>
  </si>
  <si>
    <t>اولا يعلمون ان الله يعلم ما (٥ ص)</t>
  </si>
  <si>
    <t>¼ juz ثمنية ازواج</t>
  </si>
  <si>
    <t>قال ما منعك الا تسجد اذ امرتك</t>
  </si>
  <si>
    <t>al 'arof 31-37</t>
  </si>
  <si>
    <t>al a'raf  12-37</t>
  </si>
  <si>
    <t>5 hal al a'raf 12-51</t>
  </si>
  <si>
    <t xml:space="preserve">annaba &amp; annazi'at </t>
  </si>
  <si>
    <t>المجدله ١-٦</t>
  </si>
  <si>
    <t>1 hal الم تر ان الله يعلم</t>
  </si>
  <si>
    <t>syakir</t>
  </si>
  <si>
    <t>al mujadalah 12-22</t>
  </si>
  <si>
    <t>al hasyr 1-3</t>
  </si>
  <si>
    <t>Syakir</t>
  </si>
  <si>
    <t>MINGGU Ke  5</t>
  </si>
  <si>
    <t>نوح</t>
  </si>
  <si>
    <t>لا خير في كثير من نجوىهم الا من (٥ ص)</t>
  </si>
  <si>
    <t>النبا</t>
  </si>
  <si>
    <t>واذا سمعوا ما انزل الى الرسول (٣ ص)</t>
  </si>
  <si>
    <t>ومالكم لا تقاتلون في سبيل الله (٢ ص)</t>
  </si>
  <si>
    <t>لا يؤخذكم الله باللغو في ايمانكم (١ ص)</t>
  </si>
  <si>
    <t xml:space="preserve">اولا يعلمون ان الله يعلم ما يسرون </t>
  </si>
  <si>
    <t>الممتحنة</t>
  </si>
  <si>
    <t>ما ننسخ من اية او ننسها نأت (١ ص)</t>
  </si>
  <si>
    <t>ولقد جئنهم بكتب فصله (١ ص)</t>
  </si>
  <si>
    <t>ذلك بانهم شاقوا الله (١ ص)</t>
  </si>
  <si>
    <t>ABSENSI NGAJI</t>
  </si>
  <si>
    <t>MINGGU Ke 1</t>
  </si>
  <si>
    <t>SABTU 3</t>
  </si>
  <si>
    <t>MALAM</t>
  </si>
  <si>
    <t>Ayi K H</t>
  </si>
  <si>
    <t>A Afandi</t>
  </si>
  <si>
    <t>M Hasby</t>
  </si>
  <si>
    <t>M Zaky</t>
  </si>
  <si>
    <t>MINGGU Ke 2</t>
  </si>
  <si>
    <t>MINGGU Ke 3</t>
  </si>
  <si>
    <t>MINGGU Ke 4</t>
  </si>
  <si>
    <t>No</t>
  </si>
  <si>
    <t>Nama</t>
  </si>
  <si>
    <t>Istighosah</t>
  </si>
  <si>
    <t>Minggu 1</t>
  </si>
  <si>
    <t>Minggu 2</t>
  </si>
  <si>
    <t>Minggu 3</t>
  </si>
  <si>
    <t>Minggu 4</t>
  </si>
  <si>
    <t>N. Aang</t>
  </si>
  <si>
    <t>Tilawah</t>
  </si>
  <si>
    <t>Marhaba</t>
  </si>
  <si>
    <t>Abidzar F A F</t>
  </si>
  <si>
    <t>Akbar R</t>
  </si>
  <si>
    <t>Kafy M A</t>
  </si>
  <si>
    <t>M Alwi A</t>
  </si>
  <si>
    <t>M Abi Alfano</t>
  </si>
  <si>
    <t>M Dizkri H</t>
  </si>
  <si>
    <t>M rival n</t>
  </si>
  <si>
    <t>M Sudais A kh</t>
  </si>
  <si>
    <t>Z n Hikam</t>
  </si>
  <si>
    <t>M Hasby A S</t>
  </si>
  <si>
    <t>M Zaky A</t>
  </si>
  <si>
    <t>Arbi A M</t>
  </si>
  <si>
    <t>C A Latif</t>
  </si>
  <si>
    <t>Doni S</t>
  </si>
  <si>
    <t>Faliq S A</t>
  </si>
  <si>
    <t>M Ade S</t>
  </si>
  <si>
    <t>M Syakir M</t>
  </si>
  <si>
    <t>M A Yusril</t>
  </si>
  <si>
    <t>Rizqi F R</t>
  </si>
  <si>
    <t>Ade Lutfi</t>
  </si>
  <si>
    <t>Ahmad M</t>
  </si>
  <si>
    <t>M Fahrurrozi</t>
  </si>
  <si>
    <t>Yazid T R Z</t>
  </si>
  <si>
    <t>M Ajril Rifa’i</t>
  </si>
  <si>
    <t>Cep Fakhri Z M</t>
  </si>
  <si>
    <t>M Tontowi Jaohari</t>
  </si>
  <si>
    <t>GHAIB</t>
  </si>
  <si>
    <t>HADIR</t>
  </si>
  <si>
    <t>M Abi A</t>
  </si>
  <si>
    <t>M rival N</t>
  </si>
  <si>
    <t>Cecep A Latif</t>
  </si>
  <si>
    <t>M Yusril</t>
  </si>
  <si>
    <t>Ade L</t>
  </si>
  <si>
    <t>M Ajril R</t>
  </si>
  <si>
    <t>M Tontowi J</t>
  </si>
  <si>
    <t>ABSENSI SHOLAT HIFDZI</t>
  </si>
  <si>
    <t>MINGGU 1</t>
  </si>
  <si>
    <t>MINGGU 2</t>
  </si>
  <si>
    <t>MINGGU 3</t>
  </si>
  <si>
    <t>MINGGU 4</t>
  </si>
  <si>
    <t>AYI</t>
  </si>
  <si>
    <t>FANDY</t>
  </si>
  <si>
    <t>HASBY</t>
  </si>
  <si>
    <t>ZAKY</t>
  </si>
  <si>
    <t>AJRIL</t>
  </si>
  <si>
    <t>ADE L</t>
  </si>
  <si>
    <t>ANTON</t>
  </si>
  <si>
    <t>YUSRIL</t>
  </si>
  <si>
    <t>YAZID</t>
  </si>
  <si>
    <t>CECEP</t>
  </si>
  <si>
    <t>DONI</t>
  </si>
  <si>
    <t>FALIQ</t>
  </si>
  <si>
    <t>AHMAD</t>
  </si>
  <si>
    <t>SYAKIR</t>
  </si>
  <si>
    <t>EKI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</si>
</sst>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7.0"/>
      <color theme="1"/>
      <name val="Times New Roman"/>
    </font>
    <font>
      <color theme="1"/>
      <name val="Arial"/>
      <scheme val="minor"/>
    </font>
    <font>
      <b/>
      <color rgb="FFFFFFFF"/>
      <name val="Times New Roman"/>
    </font>
    <font>
      <b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>
      <b/>
      <sz val="11.0"/>
      <color rgb="FFFFFFFF"/>
      <name val="Times New Roman"/>
    </font>
    <font>
      <b/>
      <color theme="1"/>
      <name val="Arial"/>
      <scheme val="minor"/>
    </font>
    <font>
      <b/>
      <color rgb="FF000000"/>
      <name val="Times New Roman"/>
    </font>
    <font>
      <sz val="11.0"/>
      <color theme="1"/>
      <name val="Arial"/>
      <scheme val="minor"/>
    </font>
    <font>
      <color rgb="FFFFFFFF"/>
      <name val="Arial"/>
      <scheme val="minor"/>
    </font>
    <font>
      <sz val="11.0"/>
      <color theme="1"/>
      <name val="Calibri"/>
    </font>
    <font>
      <color rgb="FFFFFFFF"/>
      <name val="Times New Roman"/>
    </font>
    <font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/>
    </xf>
    <xf borderId="0" fillId="4" fontId="4" numFmtId="0" xfId="0" applyAlignment="1" applyFill="1" applyFont="1">
      <alignment horizontal="center" vertical="center"/>
    </xf>
    <xf borderId="0" fillId="4" fontId="5" numFmtId="0" xfId="0" applyAlignment="1" applyFont="1">
      <alignment horizontal="center" readingOrder="0" vertical="center"/>
    </xf>
    <xf borderId="0" fillId="4" fontId="4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6" numFmtId="0" xfId="0" applyAlignment="1" applyFont="1">
      <alignment horizontal="center"/>
    </xf>
    <xf borderId="0" fillId="0" fontId="8" numFmtId="0" xfId="0" applyAlignment="1" applyFont="1">
      <alignment vertical="center"/>
    </xf>
    <xf borderId="0" fillId="0" fontId="2" numFmtId="0" xfId="0" applyFont="1"/>
    <xf borderId="0" fillId="3" fontId="9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 vertical="center"/>
    </xf>
    <xf borderId="0" fillId="0" fontId="2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0" fontId="8" numFmtId="0" xfId="0" applyFont="1"/>
    <xf borderId="0" fillId="0" fontId="10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horizontal="left" readingOrder="0" vertical="center"/>
    </xf>
    <xf borderId="0" fillId="0" fontId="10" numFmtId="0" xfId="0" applyFont="1"/>
    <xf borderId="0" fillId="5" fontId="11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6" numFmtId="0" xfId="0" applyFont="1"/>
    <xf borderId="0" fillId="5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right" readingOrder="0" vertical="center"/>
    </xf>
    <xf borderId="0" fillId="0" fontId="6" numFmtId="0" xfId="0" applyAlignment="1" applyFont="1">
      <alignment horizontal="right" readingOrder="0" vertical="center"/>
    </xf>
    <xf borderId="0" fillId="0" fontId="6" numFmtId="0" xfId="0" applyAlignment="1" applyFont="1">
      <alignment horizontal="right" vertical="center"/>
    </xf>
    <xf borderId="0" fillId="5" fontId="4" numFmtId="0" xfId="0" applyAlignment="1" applyFont="1">
      <alignment horizontal="center" readingOrder="0" vertical="center"/>
    </xf>
    <xf borderId="0" fillId="5" fontId="2" numFmtId="0" xfId="0" applyFont="1"/>
    <xf borderId="0" fillId="2" fontId="3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5" fontId="14" numFmtId="0" xfId="0" applyAlignment="1" applyFont="1">
      <alignment readingOrder="0" vertical="top"/>
    </xf>
    <xf borderId="0" fillId="5" fontId="14" numFmtId="0" xfId="0" applyAlignment="1" applyFont="1">
      <alignment readingOrder="0"/>
    </xf>
    <xf borderId="0" fillId="6" fontId="13" numFmtId="0" xfId="0" applyFill="1" applyFont="1"/>
    <xf borderId="0" fillId="6" fontId="13" numFmtId="0" xfId="0" applyAlignment="1" applyFont="1">
      <alignment readingOrder="0"/>
    </xf>
    <xf borderId="0" fillId="6" fontId="1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7" fontId="14" numFmtId="0" xfId="0" applyAlignment="1" applyFill="1" applyFont="1">
      <alignment readingOrder="0" vertical="top"/>
    </xf>
    <xf borderId="0" fillId="7" fontId="14" numFmtId="0" xfId="0" applyAlignment="1" applyFont="1">
      <alignment readingOrder="0"/>
    </xf>
    <xf borderId="0" fillId="2" fontId="15" numFmtId="0" xfId="0" applyAlignment="1" applyFont="1">
      <alignment horizontal="center" vertical="center"/>
    </xf>
    <xf borderId="0" fillId="8" fontId="15" numFmtId="0" xfId="0" applyAlignment="1" applyFill="1" applyFont="1">
      <alignment horizontal="center"/>
    </xf>
    <xf borderId="0" fillId="8" fontId="15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6.88"/>
    <col customWidth="1" min="3" max="3" width="16.63"/>
    <col customWidth="1" min="4" max="4" width="8.88"/>
    <col customWidth="1" min="5" max="5" width="13.88"/>
    <col customWidth="1" min="6" max="6" width="16.63"/>
    <col customWidth="1" min="7" max="7" width="8.88"/>
    <col customWidth="1" min="8" max="8" width="13.88"/>
    <col customWidth="1" min="9" max="10" width="16.63"/>
    <col customWidth="1" min="11" max="11" width="8.88"/>
    <col customWidth="1" min="12" max="12" width="13.88"/>
    <col customWidth="1" min="13" max="13" width="16.63"/>
    <col customWidth="1" min="14" max="14" width="8.88"/>
    <col customWidth="1" min="15" max="15" width="13.88"/>
    <col customWidth="1" min="16" max="17" width="16.63"/>
    <col customWidth="1" min="18" max="18" width="8.88"/>
    <col customWidth="1" min="19" max="19" width="13.88"/>
    <col customWidth="1" min="20" max="20" width="16.63"/>
    <col customWidth="1" min="21" max="21" width="8.88"/>
    <col customWidth="1" min="22" max="22" width="13.88"/>
    <col customWidth="1" min="23" max="24" width="16.63"/>
    <col customWidth="1" min="25" max="25" width="8.88"/>
    <col customWidth="1" min="26" max="26" width="13.88"/>
    <col customWidth="1" min="27" max="27" width="16.63"/>
    <col customWidth="1" min="28" max="28" width="8.88"/>
    <col customWidth="1" min="29" max="29" width="13.88"/>
    <col customWidth="1" min="30" max="31" width="16.63"/>
    <col customWidth="1" min="32" max="32" width="8.88"/>
    <col customWidth="1" min="33" max="33" width="13.88"/>
    <col customWidth="1" min="34" max="34" width="16.63"/>
    <col customWidth="1" min="35" max="35" width="8.88"/>
    <col customWidth="1" min="36" max="36" width="13.88"/>
    <col customWidth="1" min="37" max="38" width="16.63"/>
    <col customWidth="1" min="39" max="39" width="8.88"/>
    <col customWidth="1" min="40" max="40" width="13.88"/>
    <col customWidth="1" min="41" max="41" width="16.63"/>
    <col customWidth="1" min="42" max="42" width="8.88"/>
    <col customWidth="1" min="43" max="43" width="13.88"/>
    <col customWidth="1" min="44" max="48" width="7.38"/>
    <col customWidth="1" min="49" max="49" width="18.88"/>
  </cols>
  <sheetData>
    <row r="1">
      <c r="A1" s="1" t="s">
        <v>0</v>
      </c>
      <c r="AQ1" s="1"/>
      <c r="AR1" s="1"/>
      <c r="AS1" s="1"/>
      <c r="AT1" s="1"/>
      <c r="AU1" s="1"/>
      <c r="AV1" s="1"/>
      <c r="AW1" s="1"/>
    </row>
    <row r="2">
      <c r="AQ2" s="1"/>
      <c r="AR2" s="1"/>
      <c r="AS2" s="1"/>
      <c r="AT2" s="1"/>
      <c r="AU2" s="1"/>
      <c r="AV2" s="1"/>
      <c r="AW2" s="1"/>
    </row>
    <row r="3">
      <c r="AQ3" s="1"/>
      <c r="AR3" s="1"/>
      <c r="AS3" s="1"/>
      <c r="AT3" s="1"/>
      <c r="AU3" s="1"/>
      <c r="AV3" s="1"/>
      <c r="AW3" s="1"/>
    </row>
    <row r="4">
      <c r="A4" s="2" t="s">
        <v>1</v>
      </c>
    </row>
    <row r="5">
      <c r="A5" s="3" t="s">
        <v>2</v>
      </c>
      <c r="B5" s="3" t="s">
        <v>3</v>
      </c>
      <c r="C5" s="4" t="s">
        <v>4</v>
      </c>
      <c r="I5" s="4"/>
      <c r="J5" s="4" t="s">
        <v>5</v>
      </c>
      <c r="P5" s="4"/>
      <c r="Q5" s="4" t="s">
        <v>6</v>
      </c>
      <c r="W5" s="4"/>
      <c r="X5" s="4" t="s">
        <v>7</v>
      </c>
      <c r="AD5" s="4"/>
      <c r="AE5" s="4" t="s">
        <v>8</v>
      </c>
      <c r="AK5" s="4"/>
      <c r="AL5" s="4" t="s">
        <v>9</v>
      </c>
      <c r="AR5" s="5" t="s">
        <v>10</v>
      </c>
      <c r="AW5" s="5"/>
    </row>
    <row r="6">
      <c r="C6" s="6" t="s">
        <v>11</v>
      </c>
      <c r="E6" s="7" t="s">
        <v>12</v>
      </c>
      <c r="F6" s="6" t="s">
        <v>13</v>
      </c>
      <c r="H6" s="7" t="s">
        <v>12</v>
      </c>
      <c r="I6" s="6"/>
      <c r="J6" s="6" t="s">
        <v>11</v>
      </c>
      <c r="L6" s="7" t="s">
        <v>12</v>
      </c>
      <c r="M6" s="6" t="s">
        <v>13</v>
      </c>
      <c r="O6" s="7" t="s">
        <v>12</v>
      </c>
      <c r="P6" s="6"/>
      <c r="Q6" s="6" t="s">
        <v>11</v>
      </c>
      <c r="S6" s="7" t="s">
        <v>12</v>
      </c>
      <c r="T6" s="6" t="s">
        <v>13</v>
      </c>
      <c r="V6" s="7" t="s">
        <v>12</v>
      </c>
      <c r="W6" s="6"/>
      <c r="X6" s="6" t="s">
        <v>11</v>
      </c>
      <c r="Z6" s="7" t="s">
        <v>12</v>
      </c>
      <c r="AA6" s="6" t="s">
        <v>13</v>
      </c>
      <c r="AC6" s="7" t="s">
        <v>12</v>
      </c>
      <c r="AD6" s="6"/>
      <c r="AE6" s="6" t="s">
        <v>11</v>
      </c>
      <c r="AG6" s="7" t="s">
        <v>12</v>
      </c>
      <c r="AH6" s="6" t="s">
        <v>13</v>
      </c>
      <c r="AJ6" s="7" t="s">
        <v>12</v>
      </c>
      <c r="AK6" s="6"/>
      <c r="AL6" s="6" t="s">
        <v>11</v>
      </c>
      <c r="AN6" s="7" t="s">
        <v>12</v>
      </c>
      <c r="AO6" s="6" t="s">
        <v>13</v>
      </c>
      <c r="AQ6" s="7" t="s">
        <v>12</v>
      </c>
      <c r="AR6" s="8" t="s">
        <v>14</v>
      </c>
      <c r="AS6" s="8" t="s">
        <v>15</v>
      </c>
      <c r="AT6" s="8" t="s">
        <v>16</v>
      </c>
      <c r="AU6" s="8" t="s">
        <v>17</v>
      </c>
      <c r="AV6" s="8" t="s">
        <v>18</v>
      </c>
      <c r="AW6" s="8"/>
    </row>
    <row r="7">
      <c r="A7" s="9">
        <v>1.0</v>
      </c>
      <c r="B7" s="10" t="s">
        <v>19</v>
      </c>
      <c r="C7" s="11" t="s">
        <v>20</v>
      </c>
      <c r="D7" s="11" t="s">
        <v>14</v>
      </c>
      <c r="E7" s="12" t="s">
        <v>21</v>
      </c>
      <c r="F7" s="10"/>
      <c r="G7" s="10"/>
      <c r="H7" s="11"/>
      <c r="I7" s="11"/>
      <c r="J7" s="11" t="s">
        <v>22</v>
      </c>
      <c r="K7" s="11" t="s">
        <v>14</v>
      </c>
      <c r="L7" s="11" t="s">
        <v>23</v>
      </c>
      <c r="M7" s="11" t="s">
        <v>22</v>
      </c>
      <c r="N7" s="11" t="s">
        <v>14</v>
      </c>
      <c r="O7" s="11" t="s">
        <v>23</v>
      </c>
      <c r="P7" s="10"/>
      <c r="Q7" s="10"/>
      <c r="R7" s="11" t="s">
        <v>15</v>
      </c>
      <c r="S7" s="11"/>
      <c r="T7" s="10"/>
      <c r="U7" s="11" t="s">
        <v>15</v>
      </c>
      <c r="V7" s="11"/>
      <c r="W7" s="10"/>
      <c r="X7" s="10"/>
      <c r="Y7" s="11" t="s">
        <v>15</v>
      </c>
      <c r="Z7" s="11"/>
      <c r="AA7" s="10"/>
      <c r="AB7" s="11" t="s">
        <v>15</v>
      </c>
      <c r="AC7" s="11"/>
      <c r="AD7" s="10"/>
      <c r="AE7" s="10"/>
      <c r="AF7" s="11" t="s">
        <v>15</v>
      </c>
      <c r="AG7" s="11"/>
      <c r="AH7" s="10"/>
      <c r="AI7" s="11" t="s">
        <v>15</v>
      </c>
      <c r="AJ7" s="11"/>
      <c r="AK7" s="10"/>
      <c r="AL7" s="10"/>
      <c r="AM7" s="11" t="s">
        <v>15</v>
      </c>
      <c r="AN7" s="11"/>
      <c r="AO7" s="10"/>
      <c r="AP7" s="10"/>
      <c r="AQ7" s="11"/>
      <c r="AW7" s="10" t="s">
        <v>19</v>
      </c>
    </row>
    <row r="8">
      <c r="A8" s="9">
        <v>2.0</v>
      </c>
      <c r="B8" s="10" t="s">
        <v>24</v>
      </c>
      <c r="C8" s="10"/>
      <c r="D8" s="11" t="s">
        <v>18</v>
      </c>
      <c r="E8" s="11"/>
      <c r="F8" s="10"/>
      <c r="G8" s="10"/>
      <c r="H8" s="11"/>
      <c r="I8" s="11"/>
      <c r="J8" s="11" t="s">
        <v>25</v>
      </c>
      <c r="K8" s="11" t="s">
        <v>14</v>
      </c>
      <c r="L8" s="11" t="s">
        <v>23</v>
      </c>
      <c r="M8" s="11"/>
      <c r="N8" s="11" t="s">
        <v>18</v>
      </c>
      <c r="O8" s="11"/>
      <c r="P8" s="11"/>
      <c r="Q8" s="11" t="s">
        <v>26</v>
      </c>
      <c r="R8" s="11" t="s">
        <v>14</v>
      </c>
      <c r="S8" s="11" t="s">
        <v>27</v>
      </c>
      <c r="T8" s="11" t="s">
        <v>28</v>
      </c>
      <c r="U8" s="11" t="s">
        <v>14</v>
      </c>
      <c r="V8" s="11" t="s">
        <v>29</v>
      </c>
      <c r="W8" s="11"/>
      <c r="X8" s="11" t="s">
        <v>30</v>
      </c>
      <c r="Y8" s="11" t="s">
        <v>14</v>
      </c>
      <c r="Z8" s="11" t="s">
        <v>23</v>
      </c>
      <c r="AA8" s="10"/>
      <c r="AB8" s="11" t="s">
        <v>15</v>
      </c>
      <c r="AC8" s="11"/>
      <c r="AD8" s="11"/>
      <c r="AE8" s="11" t="s">
        <v>31</v>
      </c>
      <c r="AF8" s="11" t="s">
        <v>14</v>
      </c>
      <c r="AG8" s="11" t="s">
        <v>29</v>
      </c>
      <c r="AH8" s="11" t="s">
        <v>32</v>
      </c>
      <c r="AI8" s="11" t="s">
        <v>14</v>
      </c>
      <c r="AJ8" s="11" t="s">
        <v>29</v>
      </c>
      <c r="AK8" s="11"/>
      <c r="AL8" s="11" t="s">
        <v>33</v>
      </c>
      <c r="AM8" s="11" t="s">
        <v>14</v>
      </c>
      <c r="AN8" s="11" t="s">
        <v>23</v>
      </c>
      <c r="AO8" s="10"/>
      <c r="AP8" s="10"/>
      <c r="AQ8" s="11"/>
      <c r="AW8" s="10" t="s">
        <v>24</v>
      </c>
    </row>
    <row r="9">
      <c r="A9" s="9">
        <v>3.0</v>
      </c>
      <c r="B9" s="10" t="s">
        <v>34</v>
      </c>
      <c r="C9" s="11" t="s">
        <v>35</v>
      </c>
      <c r="D9" s="11" t="s">
        <v>14</v>
      </c>
      <c r="E9" s="11"/>
      <c r="F9" s="10"/>
      <c r="G9" s="10"/>
      <c r="H9" s="11"/>
      <c r="I9" s="10"/>
      <c r="J9" s="10"/>
      <c r="K9" s="11" t="s">
        <v>18</v>
      </c>
      <c r="L9" s="11"/>
      <c r="M9" s="10"/>
      <c r="N9" s="11" t="s">
        <v>18</v>
      </c>
      <c r="O9" s="11"/>
      <c r="P9" s="10"/>
      <c r="Q9" s="10"/>
      <c r="R9" s="11" t="s">
        <v>18</v>
      </c>
      <c r="S9" s="11"/>
      <c r="T9" s="10"/>
      <c r="U9" s="11" t="s">
        <v>18</v>
      </c>
      <c r="V9" s="11"/>
      <c r="W9" s="11"/>
      <c r="X9" s="11" t="s">
        <v>36</v>
      </c>
      <c r="Y9" s="11" t="s">
        <v>14</v>
      </c>
      <c r="Z9" s="11" t="s">
        <v>23</v>
      </c>
      <c r="AA9" s="11"/>
      <c r="AB9" s="11" t="s">
        <v>18</v>
      </c>
      <c r="AC9" s="11"/>
      <c r="AD9" s="11"/>
      <c r="AE9" s="11" t="s">
        <v>37</v>
      </c>
      <c r="AF9" s="11" t="s">
        <v>14</v>
      </c>
      <c r="AG9" s="11" t="s">
        <v>23</v>
      </c>
      <c r="AH9" s="10"/>
      <c r="AI9" s="11" t="s">
        <v>18</v>
      </c>
      <c r="AJ9" s="11"/>
      <c r="AK9" s="11"/>
      <c r="AL9" s="11" t="s">
        <v>38</v>
      </c>
      <c r="AM9" s="11" t="s">
        <v>14</v>
      </c>
      <c r="AN9" s="11" t="s">
        <v>23</v>
      </c>
      <c r="AO9" s="10"/>
      <c r="AP9" s="10"/>
      <c r="AQ9" s="11"/>
      <c r="AW9" s="10" t="s">
        <v>34</v>
      </c>
    </row>
    <row r="10">
      <c r="A10" s="9">
        <v>4.0</v>
      </c>
      <c r="B10" s="10" t="s">
        <v>39</v>
      </c>
      <c r="C10" s="11" t="s">
        <v>40</v>
      </c>
      <c r="D10" s="11" t="s">
        <v>14</v>
      </c>
      <c r="E10" s="11" t="s">
        <v>21</v>
      </c>
      <c r="F10" s="10"/>
      <c r="G10" s="10"/>
      <c r="H10" s="11"/>
      <c r="I10" s="10"/>
      <c r="J10" s="10"/>
      <c r="K10" s="11" t="s">
        <v>18</v>
      </c>
      <c r="L10" s="11"/>
      <c r="M10" s="10"/>
      <c r="N10" s="11" t="s">
        <v>18</v>
      </c>
      <c r="O10" s="11"/>
      <c r="P10" s="10"/>
      <c r="Q10" s="10"/>
      <c r="R10" s="11" t="s">
        <v>18</v>
      </c>
      <c r="S10" s="11"/>
      <c r="T10" s="10"/>
      <c r="U10" s="11" t="s">
        <v>18</v>
      </c>
      <c r="V10" s="11"/>
      <c r="W10" s="11"/>
      <c r="X10" s="11" t="s">
        <v>41</v>
      </c>
      <c r="Y10" s="11" t="s">
        <v>14</v>
      </c>
      <c r="Z10" s="11" t="s">
        <v>23</v>
      </c>
      <c r="AA10" s="10"/>
      <c r="AB10" s="11" t="s">
        <v>18</v>
      </c>
      <c r="AC10" s="11"/>
      <c r="AD10" s="10"/>
      <c r="AE10" s="10"/>
      <c r="AF10" s="11" t="s">
        <v>18</v>
      </c>
      <c r="AG10" s="11"/>
      <c r="AH10" s="10"/>
      <c r="AI10" s="11" t="s">
        <v>18</v>
      </c>
      <c r="AJ10" s="11"/>
      <c r="AK10" s="11"/>
      <c r="AL10" s="11" t="s">
        <v>42</v>
      </c>
      <c r="AM10" s="11" t="s">
        <v>14</v>
      </c>
      <c r="AN10" s="11" t="s">
        <v>29</v>
      </c>
      <c r="AO10" s="10"/>
      <c r="AP10" s="10"/>
      <c r="AQ10" s="11"/>
      <c r="AW10" s="10" t="s">
        <v>39</v>
      </c>
    </row>
    <row r="11">
      <c r="A11" s="9">
        <v>5.0</v>
      </c>
      <c r="B11" s="10" t="s">
        <v>43</v>
      </c>
      <c r="C11" s="11" t="s">
        <v>44</v>
      </c>
      <c r="D11" s="11" t="s">
        <v>14</v>
      </c>
      <c r="E11" s="11"/>
      <c r="F11" s="10"/>
      <c r="G11" s="10"/>
      <c r="H11" s="11"/>
      <c r="I11" s="13"/>
      <c r="J11" s="13" t="s">
        <v>45</v>
      </c>
      <c r="K11" s="11" t="s">
        <v>14</v>
      </c>
      <c r="L11" s="11" t="s">
        <v>23</v>
      </c>
      <c r="M11" s="10"/>
      <c r="N11" s="11" t="s">
        <v>18</v>
      </c>
      <c r="O11" s="11"/>
      <c r="P11" s="10"/>
      <c r="Q11" s="10"/>
      <c r="R11" s="11" t="s">
        <v>18</v>
      </c>
      <c r="S11" s="11"/>
      <c r="T11" s="11" t="s">
        <v>46</v>
      </c>
      <c r="U11" s="11" t="s">
        <v>14</v>
      </c>
      <c r="V11" s="11" t="s">
        <v>23</v>
      </c>
      <c r="W11" s="11"/>
      <c r="X11" s="11" t="s">
        <v>47</v>
      </c>
      <c r="Y11" s="11" t="s">
        <v>14</v>
      </c>
      <c r="Z11" s="11" t="s">
        <v>29</v>
      </c>
      <c r="AA11" s="11" t="s">
        <v>48</v>
      </c>
      <c r="AB11" s="11" t="s">
        <v>14</v>
      </c>
      <c r="AC11" s="11"/>
      <c r="AD11" s="10"/>
      <c r="AE11" s="10"/>
      <c r="AF11" s="11" t="s">
        <v>18</v>
      </c>
      <c r="AG11" s="11"/>
      <c r="AH11" s="10"/>
      <c r="AI11" s="11" t="s">
        <v>15</v>
      </c>
      <c r="AJ11" s="11"/>
      <c r="AK11" s="10"/>
      <c r="AL11" s="10"/>
      <c r="AM11" s="11" t="s">
        <v>17</v>
      </c>
      <c r="AN11" s="11"/>
      <c r="AO11" s="10"/>
      <c r="AP11" s="10"/>
      <c r="AQ11" s="11"/>
      <c r="AW11" s="10" t="s">
        <v>43</v>
      </c>
    </row>
    <row r="12">
      <c r="A12" s="9">
        <v>6.0</v>
      </c>
      <c r="B12" s="10" t="s">
        <v>49</v>
      </c>
      <c r="C12" s="10"/>
      <c r="D12" s="11" t="s">
        <v>15</v>
      </c>
      <c r="E12" s="11"/>
      <c r="F12" s="10"/>
      <c r="G12" s="11"/>
      <c r="H12" s="11"/>
      <c r="I12" s="10"/>
      <c r="J12" s="10"/>
      <c r="K12" s="11" t="s">
        <v>15</v>
      </c>
      <c r="L12" s="11"/>
      <c r="M12" s="10"/>
      <c r="N12" s="11" t="s">
        <v>15</v>
      </c>
      <c r="O12" s="11"/>
      <c r="P12" s="10"/>
      <c r="Q12" s="10"/>
      <c r="R12" s="11" t="s">
        <v>15</v>
      </c>
      <c r="S12" s="11"/>
      <c r="T12" s="10"/>
      <c r="U12" s="11" t="s">
        <v>15</v>
      </c>
      <c r="V12" s="11"/>
      <c r="W12" s="10"/>
      <c r="X12" s="10"/>
      <c r="Y12" s="11" t="s">
        <v>15</v>
      </c>
      <c r="Z12" s="11"/>
      <c r="AA12" s="10"/>
      <c r="AB12" s="11" t="s">
        <v>15</v>
      </c>
      <c r="AC12" s="11"/>
      <c r="AD12" s="10"/>
      <c r="AE12" s="10"/>
      <c r="AF12" s="11" t="s">
        <v>15</v>
      </c>
      <c r="AG12" s="11"/>
      <c r="AH12" s="10"/>
      <c r="AI12" s="11" t="s">
        <v>15</v>
      </c>
      <c r="AJ12" s="11"/>
      <c r="AK12" s="10"/>
      <c r="AL12" s="10"/>
      <c r="AM12" s="11" t="s">
        <v>15</v>
      </c>
      <c r="AN12" s="11"/>
      <c r="AO12" s="10"/>
      <c r="AP12" s="10"/>
      <c r="AQ12" s="11"/>
      <c r="AW12" s="10" t="s">
        <v>49</v>
      </c>
    </row>
    <row r="13">
      <c r="A13" s="9">
        <v>7.0</v>
      </c>
      <c r="B13" s="10" t="s">
        <v>50</v>
      </c>
      <c r="C13" s="11" t="s">
        <v>51</v>
      </c>
      <c r="D13" s="11" t="s">
        <v>14</v>
      </c>
      <c r="E13" s="11" t="s">
        <v>21</v>
      </c>
      <c r="F13" s="10"/>
      <c r="G13" s="10"/>
      <c r="H13" s="11"/>
      <c r="I13" s="11"/>
      <c r="J13" s="11" t="s">
        <v>52</v>
      </c>
      <c r="K13" s="11" t="s">
        <v>18</v>
      </c>
      <c r="L13" s="11"/>
      <c r="M13" s="11" t="s">
        <v>53</v>
      </c>
      <c r="N13" s="11" t="s">
        <v>14</v>
      </c>
      <c r="O13" s="11" t="s">
        <v>23</v>
      </c>
      <c r="P13" s="11"/>
      <c r="Q13" s="11" t="s">
        <v>54</v>
      </c>
      <c r="R13" s="11" t="s">
        <v>14</v>
      </c>
      <c r="S13" s="11" t="s">
        <v>23</v>
      </c>
      <c r="T13" s="11" t="s">
        <v>55</v>
      </c>
      <c r="U13" s="11" t="s">
        <v>14</v>
      </c>
      <c r="V13" s="11" t="s">
        <v>23</v>
      </c>
      <c r="W13" s="11"/>
      <c r="X13" s="11" t="s">
        <v>56</v>
      </c>
      <c r="Y13" s="11" t="s">
        <v>14</v>
      </c>
      <c r="Z13" s="11" t="s">
        <v>29</v>
      </c>
      <c r="AA13" s="11" t="s">
        <v>57</v>
      </c>
      <c r="AB13" s="11" t="s">
        <v>14</v>
      </c>
      <c r="AC13" s="11" t="s">
        <v>29</v>
      </c>
      <c r="AD13" s="11"/>
      <c r="AE13" s="11" t="s">
        <v>58</v>
      </c>
      <c r="AF13" s="11" t="s">
        <v>14</v>
      </c>
      <c r="AG13" s="11" t="s">
        <v>23</v>
      </c>
      <c r="AH13" s="11" t="s">
        <v>59</v>
      </c>
      <c r="AI13" s="11" t="s">
        <v>14</v>
      </c>
      <c r="AJ13" s="11" t="s">
        <v>29</v>
      </c>
      <c r="AK13" s="11"/>
      <c r="AL13" s="11" t="s">
        <v>60</v>
      </c>
      <c r="AM13" s="11" t="s">
        <v>14</v>
      </c>
      <c r="AN13" s="11" t="s">
        <v>29</v>
      </c>
      <c r="AO13" s="10"/>
      <c r="AP13" s="10"/>
      <c r="AQ13" s="11"/>
      <c r="AW13" s="10" t="s">
        <v>50</v>
      </c>
    </row>
    <row r="14">
      <c r="A14" s="9">
        <v>8.0</v>
      </c>
      <c r="B14" s="10" t="s">
        <v>61</v>
      </c>
      <c r="C14" s="11" t="s">
        <v>62</v>
      </c>
      <c r="D14" s="11" t="s">
        <v>14</v>
      </c>
      <c r="E14" s="11"/>
      <c r="F14" s="10"/>
      <c r="G14" s="10"/>
      <c r="H14" s="11"/>
      <c r="I14" s="11"/>
      <c r="J14" s="11" t="s">
        <v>63</v>
      </c>
      <c r="K14" s="11" t="s">
        <v>14</v>
      </c>
      <c r="L14" s="11" t="s">
        <v>23</v>
      </c>
      <c r="M14" s="10"/>
      <c r="N14" s="11" t="s">
        <v>18</v>
      </c>
      <c r="O14" s="11"/>
      <c r="P14" s="11"/>
      <c r="Q14" s="11" t="s">
        <v>64</v>
      </c>
      <c r="R14" s="11" t="s">
        <v>14</v>
      </c>
      <c r="S14" s="11" t="s">
        <v>27</v>
      </c>
      <c r="T14" s="11" t="s">
        <v>65</v>
      </c>
      <c r="U14" s="11" t="s">
        <v>14</v>
      </c>
      <c r="V14" s="11" t="s">
        <v>29</v>
      </c>
      <c r="W14" s="11"/>
      <c r="X14" s="11" t="s">
        <v>66</v>
      </c>
      <c r="Y14" s="11" t="s">
        <v>14</v>
      </c>
      <c r="Z14" s="11" t="s">
        <v>23</v>
      </c>
      <c r="AA14" s="11" t="s">
        <v>67</v>
      </c>
      <c r="AB14" s="11" t="s">
        <v>14</v>
      </c>
      <c r="AC14" s="11" t="s">
        <v>29</v>
      </c>
      <c r="AD14" s="11"/>
      <c r="AE14" s="11" t="s">
        <v>68</v>
      </c>
      <c r="AF14" s="11" t="s">
        <v>14</v>
      </c>
      <c r="AG14" s="11" t="s">
        <v>23</v>
      </c>
      <c r="AH14" s="11" t="s">
        <v>69</v>
      </c>
      <c r="AI14" s="11" t="s">
        <v>14</v>
      </c>
      <c r="AJ14" s="11" t="s">
        <v>29</v>
      </c>
      <c r="AK14" s="11"/>
      <c r="AL14" s="11" t="s">
        <v>66</v>
      </c>
      <c r="AM14" s="11" t="s">
        <v>14</v>
      </c>
      <c r="AN14" s="11" t="s">
        <v>29</v>
      </c>
      <c r="AO14" s="10"/>
      <c r="AP14" s="10"/>
      <c r="AQ14" s="11"/>
      <c r="AW14" s="10" t="s">
        <v>61</v>
      </c>
    </row>
    <row r="15">
      <c r="A15" s="9">
        <v>9.0</v>
      </c>
      <c r="B15" s="10" t="s">
        <v>70</v>
      </c>
      <c r="C15" s="11" t="s">
        <v>71</v>
      </c>
      <c r="D15" s="11" t="s">
        <v>14</v>
      </c>
      <c r="E15" s="11" t="s">
        <v>21</v>
      </c>
      <c r="F15" s="10"/>
      <c r="G15" s="10"/>
      <c r="H15" s="11"/>
      <c r="I15" s="10"/>
      <c r="J15" s="10"/>
      <c r="K15" s="11" t="s">
        <v>16</v>
      </c>
      <c r="L15" s="11"/>
      <c r="M15" s="10"/>
      <c r="N15" s="11" t="s">
        <v>18</v>
      </c>
      <c r="O15" s="11"/>
      <c r="P15" s="11"/>
      <c r="Q15" s="11" t="s">
        <v>72</v>
      </c>
      <c r="R15" s="11" t="s">
        <v>14</v>
      </c>
      <c r="S15" s="11" t="s">
        <v>27</v>
      </c>
      <c r="T15" s="10"/>
      <c r="U15" s="11" t="s">
        <v>18</v>
      </c>
      <c r="V15" s="11"/>
      <c r="W15" s="11"/>
      <c r="X15" s="11" t="s">
        <v>73</v>
      </c>
      <c r="Y15" s="11" t="s">
        <v>14</v>
      </c>
      <c r="Z15" s="11" t="s">
        <v>29</v>
      </c>
      <c r="AA15" s="10"/>
      <c r="AB15" s="11" t="s">
        <v>18</v>
      </c>
      <c r="AC15" s="11"/>
      <c r="AD15" s="10"/>
      <c r="AE15" s="10"/>
      <c r="AF15" s="11" t="s">
        <v>18</v>
      </c>
      <c r="AG15" s="11"/>
      <c r="AH15" s="10"/>
      <c r="AI15" s="11" t="s">
        <v>18</v>
      </c>
      <c r="AJ15" s="11"/>
      <c r="AK15" s="11"/>
      <c r="AL15" s="11" t="s">
        <v>74</v>
      </c>
      <c r="AM15" s="11" t="s">
        <v>14</v>
      </c>
      <c r="AN15" s="11" t="s">
        <v>23</v>
      </c>
      <c r="AO15" s="10"/>
      <c r="AP15" s="10"/>
      <c r="AQ15" s="11"/>
      <c r="AW15" s="10" t="s">
        <v>70</v>
      </c>
    </row>
    <row r="16">
      <c r="A16" s="9">
        <v>10.0</v>
      </c>
      <c r="B16" s="10" t="s">
        <v>75</v>
      </c>
      <c r="C16" s="10"/>
      <c r="D16" s="11" t="s">
        <v>18</v>
      </c>
      <c r="E16" s="11"/>
      <c r="F16" s="10"/>
      <c r="G16" s="10"/>
      <c r="H16" s="11"/>
      <c r="I16" s="11"/>
      <c r="J16" s="11" t="s">
        <v>76</v>
      </c>
      <c r="K16" s="11" t="s">
        <v>16</v>
      </c>
      <c r="L16" s="11"/>
      <c r="M16" s="11" t="s">
        <v>77</v>
      </c>
      <c r="N16" s="11" t="s">
        <v>14</v>
      </c>
      <c r="O16" s="11" t="s">
        <v>29</v>
      </c>
      <c r="P16" s="11"/>
      <c r="Q16" s="11" t="s">
        <v>78</v>
      </c>
      <c r="R16" s="11" t="s">
        <v>14</v>
      </c>
      <c r="S16" s="11" t="s">
        <v>23</v>
      </c>
      <c r="T16" s="11" t="s">
        <v>76</v>
      </c>
      <c r="U16" s="11" t="s">
        <v>14</v>
      </c>
      <c r="V16" s="11" t="s">
        <v>23</v>
      </c>
      <c r="W16" s="11"/>
      <c r="X16" s="11" t="s">
        <v>79</v>
      </c>
      <c r="Y16" s="11" t="s">
        <v>14</v>
      </c>
      <c r="Z16" s="11" t="s">
        <v>29</v>
      </c>
      <c r="AA16" s="11" t="s">
        <v>80</v>
      </c>
      <c r="AB16" s="11" t="s">
        <v>14</v>
      </c>
      <c r="AC16" s="11" t="s">
        <v>29</v>
      </c>
      <c r="AD16" s="11"/>
      <c r="AE16" s="11" t="s">
        <v>81</v>
      </c>
      <c r="AF16" s="11" t="s">
        <v>14</v>
      </c>
      <c r="AG16" s="11" t="s">
        <v>23</v>
      </c>
      <c r="AH16" s="10"/>
      <c r="AI16" s="11" t="s">
        <v>15</v>
      </c>
      <c r="AJ16" s="11"/>
      <c r="AK16" s="11"/>
      <c r="AL16" s="11" t="s">
        <v>82</v>
      </c>
      <c r="AM16" s="11" t="s">
        <v>14</v>
      </c>
      <c r="AN16" s="11"/>
      <c r="AO16" s="10"/>
      <c r="AP16" s="10"/>
      <c r="AQ16" s="11"/>
      <c r="AW16" s="10" t="s">
        <v>75</v>
      </c>
    </row>
    <row r="17">
      <c r="A17" s="9">
        <v>11.0</v>
      </c>
      <c r="B17" s="10" t="s">
        <v>83</v>
      </c>
      <c r="C17" s="11" t="s">
        <v>84</v>
      </c>
      <c r="D17" s="11" t="s">
        <v>14</v>
      </c>
      <c r="E17" s="11" t="s">
        <v>21</v>
      </c>
      <c r="F17" s="10"/>
      <c r="G17" s="10"/>
      <c r="H17" s="11"/>
      <c r="I17" s="10"/>
      <c r="J17" s="10"/>
      <c r="K17" s="11" t="s">
        <v>16</v>
      </c>
      <c r="L17" s="11"/>
      <c r="M17" s="10"/>
      <c r="N17" s="11" t="s">
        <v>18</v>
      </c>
      <c r="O17" s="11"/>
      <c r="P17" s="11"/>
      <c r="Q17" s="11" t="s">
        <v>85</v>
      </c>
      <c r="R17" s="11" t="s">
        <v>14</v>
      </c>
      <c r="S17" s="11" t="s">
        <v>27</v>
      </c>
      <c r="T17" s="10"/>
      <c r="U17" s="11" t="s">
        <v>18</v>
      </c>
      <c r="V17" s="11"/>
      <c r="W17" s="10"/>
      <c r="X17" s="10"/>
      <c r="Y17" s="11" t="s">
        <v>18</v>
      </c>
      <c r="Z17" s="11"/>
      <c r="AA17" s="10"/>
      <c r="AB17" s="11" t="s">
        <v>18</v>
      </c>
      <c r="AC17" s="11"/>
      <c r="AD17" s="10"/>
      <c r="AE17" s="10"/>
      <c r="AF17" s="11" t="s">
        <v>18</v>
      </c>
      <c r="AG17" s="11"/>
      <c r="AH17" s="10"/>
      <c r="AI17" s="11" t="s">
        <v>15</v>
      </c>
      <c r="AJ17" s="11"/>
      <c r="AK17" s="11"/>
      <c r="AL17" s="11" t="s">
        <v>86</v>
      </c>
      <c r="AM17" s="11" t="s">
        <v>14</v>
      </c>
      <c r="AN17" s="11" t="s">
        <v>29</v>
      </c>
      <c r="AO17" s="10"/>
      <c r="AP17" s="10"/>
      <c r="AQ17" s="11"/>
      <c r="AW17" s="10" t="s">
        <v>83</v>
      </c>
    </row>
    <row r="18">
      <c r="A18" s="9">
        <v>12.0</v>
      </c>
      <c r="B18" s="10" t="s">
        <v>87</v>
      </c>
      <c r="C18" s="11" t="s">
        <v>88</v>
      </c>
      <c r="D18" s="11" t="s">
        <v>14</v>
      </c>
      <c r="E18" s="11" t="s">
        <v>21</v>
      </c>
      <c r="F18" s="10"/>
      <c r="G18" s="10"/>
      <c r="H18" s="11"/>
      <c r="I18" s="11"/>
      <c r="J18" s="11" t="s">
        <v>89</v>
      </c>
      <c r="K18" s="11" t="s">
        <v>16</v>
      </c>
      <c r="L18" s="11" t="s">
        <v>29</v>
      </c>
      <c r="M18" s="10"/>
      <c r="N18" s="11" t="s">
        <v>14</v>
      </c>
      <c r="O18" s="11"/>
      <c r="P18" s="10"/>
      <c r="Q18" s="10"/>
      <c r="R18" s="11" t="s">
        <v>14</v>
      </c>
      <c r="S18" s="11"/>
      <c r="T18" s="10"/>
      <c r="U18" s="11" t="s">
        <v>14</v>
      </c>
      <c r="V18" s="11"/>
      <c r="W18" s="10"/>
      <c r="X18" s="10"/>
      <c r="Y18" s="11" t="s">
        <v>14</v>
      </c>
      <c r="Z18" s="11"/>
      <c r="AA18" s="10"/>
      <c r="AB18" s="11" t="s">
        <v>14</v>
      </c>
      <c r="AC18" s="11"/>
      <c r="AD18" s="10"/>
      <c r="AE18" s="10"/>
      <c r="AF18" s="11" t="s">
        <v>14</v>
      </c>
      <c r="AG18" s="11"/>
      <c r="AH18" s="10"/>
      <c r="AI18" s="11" t="s">
        <v>14</v>
      </c>
      <c r="AJ18" s="11"/>
      <c r="AK18" s="10"/>
      <c r="AL18" s="10"/>
      <c r="AM18" s="11" t="s">
        <v>14</v>
      </c>
      <c r="AN18" s="11"/>
      <c r="AO18" s="10"/>
      <c r="AP18" s="10"/>
      <c r="AQ18" s="11"/>
      <c r="AW18" s="10" t="s">
        <v>87</v>
      </c>
    </row>
    <row r="19">
      <c r="A19" s="9">
        <v>13.0</v>
      </c>
      <c r="B19" s="10" t="s">
        <v>90</v>
      </c>
      <c r="C19" s="11" t="s">
        <v>91</v>
      </c>
      <c r="D19" s="11" t="s">
        <v>14</v>
      </c>
      <c r="E19" s="11" t="s">
        <v>21</v>
      </c>
      <c r="F19" s="10"/>
      <c r="G19" s="10"/>
      <c r="H19" s="11"/>
      <c r="I19" s="10"/>
      <c r="J19" s="10"/>
      <c r="K19" s="11" t="s">
        <v>16</v>
      </c>
      <c r="L19" s="11"/>
      <c r="M19" s="10"/>
      <c r="N19" s="11" t="s">
        <v>18</v>
      </c>
      <c r="O19" s="11"/>
      <c r="P19" s="10"/>
      <c r="Q19" s="10"/>
      <c r="R19" s="11" t="s">
        <v>18</v>
      </c>
      <c r="S19" s="11"/>
      <c r="T19" s="10"/>
      <c r="U19" s="11" t="s">
        <v>18</v>
      </c>
      <c r="V19" s="11"/>
      <c r="W19" s="11"/>
      <c r="X19" s="11" t="s">
        <v>92</v>
      </c>
      <c r="Y19" s="11" t="s">
        <v>14</v>
      </c>
      <c r="Z19" s="11" t="s">
        <v>23</v>
      </c>
      <c r="AA19" s="10"/>
      <c r="AB19" s="11" t="s">
        <v>18</v>
      </c>
      <c r="AC19" s="11"/>
      <c r="AD19" s="10"/>
      <c r="AE19" s="10"/>
      <c r="AF19" s="11" t="s">
        <v>18</v>
      </c>
      <c r="AG19" s="11"/>
      <c r="AH19" s="10"/>
      <c r="AI19" s="11" t="s">
        <v>18</v>
      </c>
      <c r="AJ19" s="11"/>
      <c r="AK19" s="11"/>
      <c r="AL19" s="11" t="s">
        <v>93</v>
      </c>
      <c r="AM19" s="11" t="s">
        <v>14</v>
      </c>
      <c r="AN19" s="11" t="s">
        <v>23</v>
      </c>
      <c r="AO19" s="10"/>
      <c r="AP19" s="10"/>
      <c r="AQ19" s="11"/>
      <c r="AW19" s="10" t="s">
        <v>90</v>
      </c>
    </row>
    <row r="20">
      <c r="A20" s="9">
        <v>14.0</v>
      </c>
      <c r="B20" s="10" t="s">
        <v>94</v>
      </c>
      <c r="C20" s="11" t="s">
        <v>95</v>
      </c>
      <c r="D20" s="11" t="s">
        <v>14</v>
      </c>
      <c r="E20" s="11"/>
      <c r="F20" s="10"/>
      <c r="G20" s="10"/>
      <c r="H20" s="11"/>
      <c r="I20" s="11"/>
      <c r="J20" s="11" t="s">
        <v>96</v>
      </c>
      <c r="K20" s="11" t="s">
        <v>14</v>
      </c>
      <c r="L20" s="11" t="s">
        <v>23</v>
      </c>
      <c r="M20" s="11" t="s">
        <v>97</v>
      </c>
      <c r="N20" s="11" t="s">
        <v>14</v>
      </c>
      <c r="O20" s="11" t="s">
        <v>23</v>
      </c>
      <c r="P20" s="11"/>
      <c r="Q20" s="11" t="s">
        <v>98</v>
      </c>
      <c r="R20" s="11" t="s">
        <v>14</v>
      </c>
      <c r="S20" s="11" t="s">
        <v>23</v>
      </c>
      <c r="T20" s="11" t="s">
        <v>99</v>
      </c>
      <c r="U20" s="11" t="s">
        <v>14</v>
      </c>
      <c r="V20" s="11" t="s">
        <v>23</v>
      </c>
      <c r="W20" s="11"/>
      <c r="X20" s="11" t="s">
        <v>100</v>
      </c>
      <c r="Y20" s="11" t="s">
        <v>14</v>
      </c>
      <c r="Z20" s="11" t="s">
        <v>29</v>
      </c>
      <c r="AA20" s="11" t="s">
        <v>101</v>
      </c>
      <c r="AB20" s="11" t="s">
        <v>14</v>
      </c>
      <c r="AC20" s="11" t="s">
        <v>29</v>
      </c>
      <c r="AD20" s="11"/>
      <c r="AE20" s="11" t="s">
        <v>102</v>
      </c>
      <c r="AF20" s="11" t="s">
        <v>14</v>
      </c>
      <c r="AG20" s="11" t="s">
        <v>23</v>
      </c>
      <c r="AH20" s="11" t="s">
        <v>103</v>
      </c>
      <c r="AI20" s="11" t="s">
        <v>14</v>
      </c>
      <c r="AJ20" s="11" t="s">
        <v>23</v>
      </c>
      <c r="AK20" s="11"/>
      <c r="AL20" s="11" t="s">
        <v>104</v>
      </c>
      <c r="AM20" s="11" t="s">
        <v>14</v>
      </c>
      <c r="AN20" s="11" t="s">
        <v>23</v>
      </c>
      <c r="AO20" s="10"/>
      <c r="AP20" s="10"/>
      <c r="AQ20" s="11"/>
      <c r="AW20" s="10" t="s">
        <v>94</v>
      </c>
    </row>
    <row r="21">
      <c r="A21" s="9">
        <v>15.0</v>
      </c>
      <c r="B21" s="10" t="s">
        <v>105</v>
      </c>
      <c r="C21" s="11" t="s">
        <v>106</v>
      </c>
      <c r="D21" s="11" t="s">
        <v>14</v>
      </c>
      <c r="E21" s="11"/>
      <c r="F21" s="10"/>
      <c r="G21" s="10"/>
      <c r="H21" s="11"/>
      <c r="I21" s="11"/>
      <c r="J21" s="11" t="s">
        <v>107</v>
      </c>
      <c r="K21" s="11" t="s">
        <v>14</v>
      </c>
      <c r="L21" s="11" t="s">
        <v>23</v>
      </c>
      <c r="M21" s="10"/>
      <c r="N21" s="11" t="s">
        <v>18</v>
      </c>
      <c r="O21" s="11"/>
      <c r="P21" s="10"/>
      <c r="Q21" s="10"/>
      <c r="R21" s="11" t="s">
        <v>18</v>
      </c>
      <c r="S21" s="11"/>
      <c r="T21" s="11" t="s">
        <v>108</v>
      </c>
      <c r="U21" s="11" t="s">
        <v>14</v>
      </c>
      <c r="V21" s="11" t="s">
        <v>23</v>
      </c>
      <c r="W21" s="11"/>
      <c r="X21" s="11" t="s">
        <v>109</v>
      </c>
      <c r="Y21" s="11" t="s">
        <v>14</v>
      </c>
      <c r="Z21" s="11" t="s">
        <v>29</v>
      </c>
      <c r="AA21" s="10"/>
      <c r="AB21" s="11" t="s">
        <v>18</v>
      </c>
      <c r="AC21" s="11"/>
      <c r="AD21" s="11"/>
      <c r="AE21" s="11" t="s">
        <v>110</v>
      </c>
      <c r="AF21" s="11" t="s">
        <v>14</v>
      </c>
      <c r="AG21" s="11" t="s">
        <v>23</v>
      </c>
      <c r="AH21" s="11" t="s">
        <v>111</v>
      </c>
      <c r="AI21" s="11" t="s">
        <v>14</v>
      </c>
      <c r="AJ21" s="11" t="s">
        <v>29</v>
      </c>
      <c r="AK21" s="11"/>
      <c r="AL21" s="11" t="s">
        <v>112</v>
      </c>
      <c r="AM21" s="11" t="s">
        <v>14</v>
      </c>
      <c r="AN21" s="11" t="s">
        <v>29</v>
      </c>
      <c r="AO21" s="10"/>
      <c r="AP21" s="10"/>
      <c r="AQ21" s="11"/>
      <c r="AW21" s="10" t="s">
        <v>105</v>
      </c>
    </row>
    <row r="22">
      <c r="A22" s="9">
        <v>16.0</v>
      </c>
      <c r="B22" s="10" t="s">
        <v>113</v>
      </c>
      <c r="C22" s="11" t="s">
        <v>114</v>
      </c>
      <c r="D22" s="11" t="s">
        <v>14</v>
      </c>
      <c r="E22" s="11" t="s">
        <v>21</v>
      </c>
      <c r="F22" s="10"/>
      <c r="G22" s="10"/>
      <c r="H22" s="11"/>
      <c r="I22" s="11"/>
      <c r="J22" s="11" t="s">
        <v>115</v>
      </c>
      <c r="K22" s="11" t="s">
        <v>16</v>
      </c>
      <c r="L22" s="11" t="s">
        <v>29</v>
      </c>
      <c r="M22" s="11" t="s">
        <v>116</v>
      </c>
      <c r="N22" s="11" t="s">
        <v>14</v>
      </c>
      <c r="O22" s="11" t="s">
        <v>23</v>
      </c>
      <c r="P22" s="10"/>
      <c r="Q22" s="10"/>
      <c r="R22" s="11" t="s">
        <v>18</v>
      </c>
      <c r="S22" s="11"/>
      <c r="T22" s="11" t="s">
        <v>117</v>
      </c>
      <c r="U22" s="11" t="s">
        <v>14</v>
      </c>
      <c r="V22" s="11" t="s">
        <v>23</v>
      </c>
      <c r="W22" s="11"/>
      <c r="X22" s="11" t="s">
        <v>118</v>
      </c>
      <c r="Y22" s="11" t="s">
        <v>14</v>
      </c>
      <c r="Z22" s="11" t="s">
        <v>23</v>
      </c>
      <c r="AA22" s="11" t="s">
        <v>119</v>
      </c>
      <c r="AB22" s="11" t="s">
        <v>14</v>
      </c>
      <c r="AC22" s="11" t="s">
        <v>29</v>
      </c>
      <c r="AD22" s="11"/>
      <c r="AE22" s="11" t="s">
        <v>120</v>
      </c>
      <c r="AF22" s="11" t="s">
        <v>14</v>
      </c>
      <c r="AG22" s="11" t="s">
        <v>23</v>
      </c>
      <c r="AH22" s="10"/>
      <c r="AI22" s="11" t="s">
        <v>18</v>
      </c>
      <c r="AJ22" s="11"/>
      <c r="AK22" s="11"/>
      <c r="AL22" s="11" t="s">
        <v>121</v>
      </c>
      <c r="AM22" s="11" t="s">
        <v>14</v>
      </c>
      <c r="AN22" s="11" t="s">
        <v>29</v>
      </c>
      <c r="AO22" s="10"/>
      <c r="AP22" s="10"/>
      <c r="AQ22" s="11"/>
      <c r="AW22" s="10" t="s">
        <v>113</v>
      </c>
    </row>
    <row r="23">
      <c r="A23" s="9">
        <v>17.0</v>
      </c>
      <c r="B23" s="10" t="s">
        <v>122</v>
      </c>
      <c r="C23" s="11" t="s">
        <v>123</v>
      </c>
      <c r="D23" s="11" t="s">
        <v>14</v>
      </c>
      <c r="E23" s="11" t="s">
        <v>21</v>
      </c>
      <c r="F23" s="10"/>
      <c r="G23" s="10"/>
      <c r="H23" s="11"/>
      <c r="I23" s="11"/>
      <c r="J23" s="11" t="s">
        <v>124</v>
      </c>
      <c r="K23" s="11" t="s">
        <v>16</v>
      </c>
      <c r="L23" s="11" t="s">
        <v>23</v>
      </c>
      <c r="M23" s="11" t="s">
        <v>125</v>
      </c>
      <c r="N23" s="11" t="s">
        <v>14</v>
      </c>
      <c r="O23" s="11" t="s">
        <v>23</v>
      </c>
      <c r="P23" s="10"/>
      <c r="Q23" s="10"/>
      <c r="R23" s="11" t="s">
        <v>18</v>
      </c>
      <c r="S23" s="11"/>
      <c r="T23" s="10"/>
      <c r="U23" s="11" t="s">
        <v>18</v>
      </c>
      <c r="V23" s="11"/>
      <c r="W23" s="10"/>
      <c r="X23" s="10"/>
      <c r="Y23" s="11" t="s">
        <v>18</v>
      </c>
      <c r="Z23" s="11"/>
      <c r="AA23" s="10"/>
      <c r="AB23" s="11" t="s">
        <v>18</v>
      </c>
      <c r="AC23" s="11" t="s">
        <v>27</v>
      </c>
      <c r="AD23" s="11"/>
      <c r="AE23" s="11" t="s">
        <v>126</v>
      </c>
      <c r="AF23" s="11" t="s">
        <v>14</v>
      </c>
      <c r="AG23" s="11" t="s">
        <v>23</v>
      </c>
      <c r="AH23" s="10"/>
      <c r="AI23" s="11" t="s">
        <v>18</v>
      </c>
      <c r="AJ23" s="11"/>
      <c r="AK23" s="11"/>
      <c r="AL23" s="11" t="s">
        <v>127</v>
      </c>
      <c r="AM23" s="11" t="s">
        <v>14</v>
      </c>
      <c r="AN23" s="11" t="s">
        <v>29</v>
      </c>
      <c r="AO23" s="10"/>
      <c r="AP23" s="10"/>
      <c r="AQ23" s="11"/>
      <c r="AW23" s="10" t="s">
        <v>122</v>
      </c>
    </row>
    <row r="24">
      <c r="A24" s="9">
        <v>18.0</v>
      </c>
      <c r="B24" s="10" t="s">
        <v>128</v>
      </c>
      <c r="C24" s="10"/>
      <c r="D24" s="11" t="s">
        <v>18</v>
      </c>
      <c r="E24" s="11"/>
      <c r="F24" s="10"/>
      <c r="G24" s="10"/>
      <c r="H24" s="11"/>
      <c r="I24" s="11"/>
      <c r="J24" s="11" t="s">
        <v>129</v>
      </c>
      <c r="K24" s="11" t="s">
        <v>14</v>
      </c>
      <c r="L24" s="11" t="s">
        <v>23</v>
      </c>
      <c r="M24" s="10"/>
      <c r="N24" s="11" t="s">
        <v>18</v>
      </c>
      <c r="O24" s="11"/>
      <c r="P24" s="11"/>
      <c r="Q24" s="11" t="s">
        <v>130</v>
      </c>
      <c r="R24" s="11" t="s">
        <v>14</v>
      </c>
      <c r="S24" s="11" t="s">
        <v>23</v>
      </c>
      <c r="T24" s="11" t="s">
        <v>131</v>
      </c>
      <c r="U24" s="11" t="s">
        <v>14</v>
      </c>
      <c r="V24" s="11" t="s">
        <v>23</v>
      </c>
      <c r="W24" s="11"/>
      <c r="X24" s="11" t="s">
        <v>132</v>
      </c>
      <c r="Y24" s="11" t="s">
        <v>14</v>
      </c>
      <c r="Z24" s="11" t="s">
        <v>23</v>
      </c>
      <c r="AA24" s="11" t="s">
        <v>132</v>
      </c>
      <c r="AB24" s="11" t="s">
        <v>14</v>
      </c>
      <c r="AC24" s="11" t="s">
        <v>29</v>
      </c>
      <c r="AD24" s="11"/>
      <c r="AE24" s="11" t="s">
        <v>133</v>
      </c>
      <c r="AF24" s="11" t="s">
        <v>14</v>
      </c>
      <c r="AG24" s="11" t="s">
        <v>23</v>
      </c>
      <c r="AH24" s="10"/>
      <c r="AI24" s="11" t="s">
        <v>18</v>
      </c>
      <c r="AJ24" s="11"/>
      <c r="AK24" s="11"/>
      <c r="AL24" s="11" t="s">
        <v>134</v>
      </c>
      <c r="AM24" s="11" t="s">
        <v>14</v>
      </c>
      <c r="AN24" s="11" t="s">
        <v>29</v>
      </c>
      <c r="AO24" s="10"/>
      <c r="AP24" s="10"/>
      <c r="AQ24" s="11"/>
      <c r="AW24" s="10" t="s">
        <v>128</v>
      </c>
    </row>
    <row r="25">
      <c r="A25" s="9">
        <v>19.0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1"/>
      <c r="AN25" s="10"/>
      <c r="AO25" s="10"/>
      <c r="AP25" s="10"/>
      <c r="AQ25" s="10"/>
      <c r="AR25" s="14">
        <f t="shared" ref="AR25:AR34" si="1">COUNTIF(D25:AP25,"H")</f>
        <v>0</v>
      </c>
      <c r="AS25" s="14">
        <f t="shared" ref="AS25:AS34" si="2">COUNTIF(D25:AP25,"I")</f>
        <v>0</v>
      </c>
      <c r="AT25" s="14">
        <f t="shared" ref="AT25:AT34" si="3">COUNTIF(D25:AP25,"TD")</f>
        <v>0</v>
      </c>
      <c r="AU25" s="14">
        <f t="shared" ref="AU25:AU34" si="4">COUNTIF(D25:AP25,"S")</f>
        <v>0</v>
      </c>
      <c r="AV25" s="14">
        <f t="shared" ref="AV25:AV34" si="5">COUNTIF(D25:AP25,"A")</f>
        <v>0</v>
      </c>
      <c r="AW25" s="10"/>
    </row>
    <row r="26">
      <c r="A26" s="9">
        <v>20.0</v>
      </c>
      <c r="B26" s="15" t="s">
        <v>135</v>
      </c>
      <c r="C26" s="13" t="s">
        <v>136</v>
      </c>
      <c r="D26" s="11" t="s">
        <v>16</v>
      </c>
      <c r="E26" s="11"/>
      <c r="F26" s="10"/>
      <c r="G26" s="10"/>
      <c r="H26" s="11"/>
      <c r="I26" s="10"/>
      <c r="J26" s="10"/>
      <c r="K26" s="10"/>
      <c r="L26" s="11"/>
      <c r="M26" s="10"/>
      <c r="N26" s="10"/>
      <c r="O26" s="11"/>
      <c r="P26" s="10"/>
      <c r="Q26" s="10"/>
      <c r="R26" s="10"/>
      <c r="S26" s="11"/>
      <c r="T26" s="10"/>
      <c r="U26" s="10"/>
      <c r="V26" s="11"/>
      <c r="W26" s="11"/>
      <c r="X26" s="11" t="s">
        <v>137</v>
      </c>
      <c r="Y26" s="10"/>
      <c r="Z26" s="11"/>
      <c r="AA26" s="10"/>
      <c r="AB26" s="10"/>
      <c r="AC26" s="11"/>
      <c r="AD26" s="10"/>
      <c r="AE26" s="10"/>
      <c r="AF26" s="10"/>
      <c r="AG26" s="11"/>
      <c r="AH26" s="10"/>
      <c r="AI26" s="10"/>
      <c r="AJ26" s="11"/>
      <c r="AK26" s="10"/>
      <c r="AL26" s="10"/>
      <c r="AM26" s="10"/>
      <c r="AN26" s="11"/>
      <c r="AO26" s="10"/>
      <c r="AP26" s="10"/>
      <c r="AQ26" s="11"/>
      <c r="AR26" s="14">
        <f t="shared" si="1"/>
        <v>0</v>
      </c>
      <c r="AS26" s="14">
        <f t="shared" si="2"/>
        <v>0</v>
      </c>
      <c r="AT26" s="14">
        <f t="shared" si="3"/>
        <v>1</v>
      </c>
      <c r="AU26" s="14">
        <f t="shared" si="4"/>
        <v>0</v>
      </c>
      <c r="AV26" s="14">
        <f t="shared" si="5"/>
        <v>0</v>
      </c>
      <c r="AW26" s="15" t="s">
        <v>135</v>
      </c>
    </row>
    <row r="27">
      <c r="A27" s="9">
        <v>21.0</v>
      </c>
      <c r="B27" s="13" t="s">
        <v>138</v>
      </c>
      <c r="C27" s="10"/>
      <c r="D27" s="11" t="s">
        <v>16</v>
      </c>
      <c r="E27" s="11"/>
      <c r="F27" s="10"/>
      <c r="G27" s="10"/>
      <c r="H27" s="11"/>
      <c r="I27" s="10"/>
      <c r="J27" s="10"/>
      <c r="K27" s="10"/>
      <c r="L27" s="11"/>
      <c r="M27" s="10"/>
      <c r="N27" s="10"/>
      <c r="O27" s="11"/>
      <c r="P27" s="10"/>
      <c r="Q27" s="10"/>
      <c r="R27" s="10"/>
      <c r="S27" s="11"/>
      <c r="T27" s="10"/>
      <c r="U27" s="10"/>
      <c r="V27" s="11"/>
      <c r="W27" s="10"/>
      <c r="X27" s="10"/>
      <c r="Y27" s="10"/>
      <c r="Z27" s="11"/>
      <c r="AA27" s="10"/>
      <c r="AB27" s="10"/>
      <c r="AC27" s="11"/>
      <c r="AD27" s="10"/>
      <c r="AE27" s="10"/>
      <c r="AF27" s="10"/>
      <c r="AG27" s="11"/>
      <c r="AH27" s="10"/>
      <c r="AI27" s="10"/>
      <c r="AJ27" s="11"/>
      <c r="AK27" s="10"/>
      <c r="AL27" s="10"/>
      <c r="AM27" s="10"/>
      <c r="AN27" s="11"/>
      <c r="AO27" s="10"/>
      <c r="AP27" s="10"/>
      <c r="AQ27" s="11"/>
      <c r="AR27" s="14">
        <f t="shared" si="1"/>
        <v>0</v>
      </c>
      <c r="AS27" s="14">
        <f t="shared" si="2"/>
        <v>0</v>
      </c>
      <c r="AT27" s="14">
        <f t="shared" si="3"/>
        <v>1</v>
      </c>
      <c r="AU27" s="14">
        <f t="shared" si="4"/>
        <v>0</v>
      </c>
      <c r="AV27" s="14">
        <f t="shared" si="5"/>
        <v>0</v>
      </c>
      <c r="AW27" s="13" t="s">
        <v>138</v>
      </c>
    </row>
    <row r="28">
      <c r="A28" s="9">
        <v>22.0</v>
      </c>
      <c r="B28" s="13" t="s">
        <v>139</v>
      </c>
      <c r="C28" s="10"/>
      <c r="D28" s="11" t="s">
        <v>14</v>
      </c>
      <c r="E28" s="11"/>
      <c r="F28" s="10"/>
      <c r="G28" s="10"/>
      <c r="H28" s="11"/>
      <c r="I28" s="11"/>
      <c r="J28" s="11" t="s">
        <v>140</v>
      </c>
      <c r="K28" s="10"/>
      <c r="L28" s="11"/>
      <c r="M28" s="10"/>
      <c r="N28" s="10"/>
      <c r="O28" s="11"/>
      <c r="P28" s="10"/>
      <c r="Q28" s="10"/>
      <c r="R28" s="10"/>
      <c r="S28" s="11"/>
      <c r="T28" s="10"/>
      <c r="U28" s="10"/>
      <c r="V28" s="11"/>
      <c r="W28" s="10"/>
      <c r="X28" s="10"/>
      <c r="Y28" s="10"/>
      <c r="Z28" s="11"/>
      <c r="AA28" s="10"/>
      <c r="AB28" s="10"/>
      <c r="AC28" s="11"/>
      <c r="AD28" s="10"/>
      <c r="AE28" s="10"/>
      <c r="AF28" s="10"/>
      <c r="AG28" s="11"/>
      <c r="AH28" s="10"/>
      <c r="AI28" s="10"/>
      <c r="AJ28" s="11"/>
      <c r="AK28" s="10"/>
      <c r="AL28" s="10"/>
      <c r="AM28" s="10"/>
      <c r="AN28" s="11"/>
      <c r="AO28" s="10"/>
      <c r="AP28" s="10"/>
      <c r="AQ28" s="11"/>
      <c r="AR28" s="14">
        <f t="shared" si="1"/>
        <v>1</v>
      </c>
      <c r="AS28" s="14">
        <f t="shared" si="2"/>
        <v>0</v>
      </c>
      <c r="AT28" s="14">
        <f t="shared" si="3"/>
        <v>0</v>
      </c>
      <c r="AU28" s="14">
        <f t="shared" si="4"/>
        <v>0</v>
      </c>
      <c r="AV28" s="14">
        <f t="shared" si="5"/>
        <v>0</v>
      </c>
      <c r="AW28" s="13" t="s">
        <v>139</v>
      </c>
    </row>
    <row r="29">
      <c r="A29" s="9">
        <v>23.0</v>
      </c>
      <c r="B29" s="13" t="s">
        <v>141</v>
      </c>
      <c r="C29" s="10"/>
      <c r="D29" s="11" t="s">
        <v>14</v>
      </c>
      <c r="E29" s="11"/>
      <c r="F29" s="10"/>
      <c r="G29" s="10"/>
      <c r="H29" s="11"/>
      <c r="I29" s="10"/>
      <c r="J29" s="10"/>
      <c r="K29" s="10"/>
      <c r="L29" s="11"/>
      <c r="M29" s="10"/>
      <c r="N29" s="10"/>
      <c r="O29" s="11"/>
      <c r="P29" s="10"/>
      <c r="Q29" s="10"/>
      <c r="R29" s="11" t="s">
        <v>18</v>
      </c>
      <c r="S29" s="11"/>
      <c r="T29" s="10"/>
      <c r="U29" s="11" t="s">
        <v>18</v>
      </c>
      <c r="V29" s="11"/>
      <c r="W29" s="10"/>
      <c r="X29" s="10"/>
      <c r="Y29" s="10"/>
      <c r="Z29" s="11"/>
      <c r="AA29" s="10"/>
      <c r="AB29" s="10"/>
      <c r="AC29" s="11"/>
      <c r="AD29" s="10"/>
      <c r="AE29" s="10"/>
      <c r="AF29" s="10"/>
      <c r="AG29" s="11"/>
      <c r="AH29" s="10"/>
      <c r="AI29" s="10"/>
      <c r="AJ29" s="11"/>
      <c r="AK29" s="10"/>
      <c r="AL29" s="10"/>
      <c r="AM29" s="10"/>
      <c r="AN29" s="11"/>
      <c r="AO29" s="10"/>
      <c r="AP29" s="10"/>
      <c r="AQ29" s="11"/>
      <c r="AR29" s="14">
        <f t="shared" si="1"/>
        <v>1</v>
      </c>
      <c r="AS29" s="14">
        <f t="shared" si="2"/>
        <v>0</v>
      </c>
      <c r="AT29" s="14">
        <f t="shared" si="3"/>
        <v>0</v>
      </c>
      <c r="AU29" s="14">
        <f t="shared" si="4"/>
        <v>0</v>
      </c>
      <c r="AV29" s="14">
        <f t="shared" si="5"/>
        <v>2</v>
      </c>
      <c r="AW29" s="13" t="s">
        <v>141</v>
      </c>
    </row>
    <row r="30">
      <c r="A30" s="9">
        <v>24.0</v>
      </c>
      <c r="B30" s="13" t="s">
        <v>142</v>
      </c>
      <c r="C30" s="10"/>
      <c r="D30" s="11" t="s">
        <v>14</v>
      </c>
      <c r="E30" s="11"/>
      <c r="F30" s="10"/>
      <c r="G30" s="10"/>
      <c r="H30" s="11"/>
      <c r="I30" s="10"/>
      <c r="J30" s="10"/>
      <c r="K30" s="10"/>
      <c r="L30" s="11"/>
      <c r="M30" s="10"/>
      <c r="N30" s="10"/>
      <c r="O30" s="11"/>
      <c r="P30" s="10"/>
      <c r="Q30" s="10"/>
      <c r="R30" s="10"/>
      <c r="S30" s="11"/>
      <c r="T30" s="10"/>
      <c r="U30" s="10"/>
      <c r="V30" s="11"/>
      <c r="W30" s="10"/>
      <c r="X30" s="10"/>
      <c r="Y30" s="10"/>
      <c r="Z30" s="11"/>
      <c r="AA30" s="10"/>
      <c r="AB30" s="10"/>
      <c r="AC30" s="11"/>
      <c r="AD30" s="10"/>
      <c r="AE30" s="10"/>
      <c r="AF30" s="10"/>
      <c r="AG30" s="11"/>
      <c r="AH30" s="10"/>
      <c r="AI30" s="10"/>
      <c r="AJ30" s="11"/>
      <c r="AK30" s="10"/>
      <c r="AL30" s="10"/>
      <c r="AM30" s="10"/>
      <c r="AN30" s="11"/>
      <c r="AO30" s="10"/>
      <c r="AP30" s="10"/>
      <c r="AQ30" s="11"/>
      <c r="AR30" s="14">
        <f t="shared" si="1"/>
        <v>1</v>
      </c>
      <c r="AS30" s="14">
        <f t="shared" si="2"/>
        <v>0</v>
      </c>
      <c r="AT30" s="14">
        <f t="shared" si="3"/>
        <v>0</v>
      </c>
      <c r="AU30" s="14">
        <f t="shared" si="4"/>
        <v>0</v>
      </c>
      <c r="AV30" s="14">
        <f t="shared" si="5"/>
        <v>0</v>
      </c>
      <c r="AW30" s="13" t="s">
        <v>142</v>
      </c>
    </row>
    <row r="31">
      <c r="A31" s="9">
        <v>25.0</v>
      </c>
      <c r="B31" s="13" t="s">
        <v>143</v>
      </c>
      <c r="C31" s="10"/>
      <c r="D31" s="11" t="s">
        <v>17</v>
      </c>
      <c r="E31" s="11"/>
      <c r="F31" s="10"/>
      <c r="G31" s="10"/>
      <c r="H31" s="11"/>
      <c r="I31" s="10"/>
      <c r="J31" s="10"/>
      <c r="K31" s="10"/>
      <c r="L31" s="11"/>
      <c r="M31" s="10"/>
      <c r="N31" s="10"/>
      <c r="O31" s="11"/>
      <c r="P31" s="10"/>
      <c r="Q31" s="10"/>
      <c r="R31" s="10"/>
      <c r="S31" s="11"/>
      <c r="T31" s="10"/>
      <c r="U31" s="10"/>
      <c r="V31" s="11"/>
      <c r="W31" s="10"/>
      <c r="X31" s="10"/>
      <c r="Y31" s="10"/>
      <c r="Z31" s="11"/>
      <c r="AA31" s="10"/>
      <c r="AB31" s="10"/>
      <c r="AC31" s="11"/>
      <c r="AD31" s="10"/>
      <c r="AE31" s="10"/>
      <c r="AF31" s="10"/>
      <c r="AG31" s="11"/>
      <c r="AH31" s="10"/>
      <c r="AI31" s="10"/>
      <c r="AJ31" s="11"/>
      <c r="AK31" s="10"/>
      <c r="AL31" s="10"/>
      <c r="AM31" s="10"/>
      <c r="AN31" s="11"/>
      <c r="AO31" s="10"/>
      <c r="AP31" s="10"/>
      <c r="AQ31" s="11"/>
      <c r="AR31" s="14">
        <f t="shared" si="1"/>
        <v>0</v>
      </c>
      <c r="AS31" s="14">
        <f t="shared" si="2"/>
        <v>0</v>
      </c>
      <c r="AT31" s="14">
        <f t="shared" si="3"/>
        <v>0</v>
      </c>
      <c r="AU31" s="14">
        <f t="shared" si="4"/>
        <v>1</v>
      </c>
      <c r="AV31" s="14">
        <f t="shared" si="5"/>
        <v>0</v>
      </c>
      <c r="AW31" s="13" t="s">
        <v>143</v>
      </c>
    </row>
    <row r="32">
      <c r="R32" s="16"/>
      <c r="AR32" s="14">
        <f t="shared" si="1"/>
        <v>0</v>
      </c>
      <c r="AS32" s="14">
        <f t="shared" si="2"/>
        <v>0</v>
      </c>
      <c r="AT32" s="14">
        <f t="shared" si="3"/>
        <v>0</v>
      </c>
      <c r="AU32" s="14">
        <f t="shared" si="4"/>
        <v>0</v>
      </c>
      <c r="AV32" s="14">
        <f t="shared" si="5"/>
        <v>0</v>
      </c>
      <c r="AW32" s="14"/>
    </row>
    <row r="33">
      <c r="R33" s="16"/>
      <c r="AR33" s="14">
        <f t="shared" si="1"/>
        <v>0</v>
      </c>
      <c r="AS33" s="14">
        <f t="shared" si="2"/>
        <v>0</v>
      </c>
      <c r="AT33" s="14">
        <f t="shared" si="3"/>
        <v>0</v>
      </c>
      <c r="AU33" s="14">
        <f t="shared" si="4"/>
        <v>0</v>
      </c>
      <c r="AV33" s="14">
        <f t="shared" si="5"/>
        <v>0</v>
      </c>
      <c r="AW33" s="14"/>
    </row>
    <row r="34">
      <c r="A34" s="1" t="s">
        <v>0</v>
      </c>
      <c r="AQ34" s="1"/>
      <c r="AR34" s="14">
        <f t="shared" si="1"/>
        <v>0</v>
      </c>
      <c r="AS34" s="14">
        <f t="shared" si="2"/>
        <v>0</v>
      </c>
      <c r="AT34" s="14">
        <f t="shared" si="3"/>
        <v>0</v>
      </c>
      <c r="AU34" s="14">
        <f t="shared" si="4"/>
        <v>0</v>
      </c>
      <c r="AV34" s="14">
        <f t="shared" si="5"/>
        <v>0</v>
      </c>
      <c r="AW34" s="14"/>
    </row>
    <row r="35">
      <c r="AQ35" s="1"/>
      <c r="AR35" s="1"/>
      <c r="AS35" s="1"/>
      <c r="AT35" s="1"/>
      <c r="AU35" s="1"/>
      <c r="AV35" s="1"/>
      <c r="AW35" s="1"/>
    </row>
    <row r="36">
      <c r="AQ36" s="1"/>
      <c r="AR36" s="1"/>
      <c r="AS36" s="1"/>
      <c r="AT36" s="1"/>
      <c r="AU36" s="1"/>
      <c r="AV36" s="1"/>
      <c r="AW36" s="1"/>
    </row>
    <row r="37">
      <c r="A37" s="2" t="s">
        <v>144</v>
      </c>
    </row>
    <row r="38">
      <c r="A38" s="3" t="s">
        <v>2</v>
      </c>
      <c r="B38" s="3" t="s">
        <v>3</v>
      </c>
      <c r="C38" s="17" t="s">
        <v>145</v>
      </c>
      <c r="I38" s="17"/>
      <c r="J38" s="17" t="s">
        <v>146</v>
      </c>
      <c r="P38" s="17"/>
      <c r="Q38" s="17" t="s">
        <v>147</v>
      </c>
      <c r="W38" s="17" t="s">
        <v>148</v>
      </c>
      <c r="AD38" s="17" t="s">
        <v>149</v>
      </c>
      <c r="AK38" s="17" t="s">
        <v>150</v>
      </c>
      <c r="AR38" s="5" t="s">
        <v>10</v>
      </c>
      <c r="AW38" s="5"/>
    </row>
    <row r="39">
      <c r="C39" s="6" t="s">
        <v>11</v>
      </c>
      <c r="E39" s="7" t="s">
        <v>12</v>
      </c>
      <c r="F39" s="6" t="s">
        <v>13</v>
      </c>
      <c r="H39" s="7" t="s">
        <v>12</v>
      </c>
      <c r="I39" s="6"/>
      <c r="J39" s="6" t="s">
        <v>11</v>
      </c>
      <c r="L39" s="7" t="s">
        <v>12</v>
      </c>
      <c r="M39" s="6" t="s">
        <v>13</v>
      </c>
      <c r="O39" s="7" t="s">
        <v>12</v>
      </c>
      <c r="P39" s="6"/>
      <c r="Q39" s="6" t="s">
        <v>11</v>
      </c>
      <c r="S39" s="7" t="s">
        <v>12</v>
      </c>
      <c r="T39" s="6" t="s">
        <v>13</v>
      </c>
      <c r="V39" s="7" t="s">
        <v>12</v>
      </c>
      <c r="W39" s="6"/>
      <c r="X39" s="6" t="s">
        <v>11</v>
      </c>
      <c r="Z39" s="7" t="s">
        <v>12</v>
      </c>
      <c r="AA39" s="6" t="s">
        <v>13</v>
      </c>
      <c r="AC39" s="7" t="s">
        <v>12</v>
      </c>
      <c r="AD39" s="6"/>
      <c r="AE39" s="6" t="s">
        <v>11</v>
      </c>
      <c r="AG39" s="7" t="s">
        <v>12</v>
      </c>
      <c r="AH39" s="6" t="s">
        <v>13</v>
      </c>
      <c r="AJ39" s="7" t="s">
        <v>12</v>
      </c>
      <c r="AK39" s="6"/>
      <c r="AL39" s="6" t="s">
        <v>11</v>
      </c>
      <c r="AN39" s="7" t="s">
        <v>12</v>
      </c>
      <c r="AO39" s="6" t="s">
        <v>13</v>
      </c>
      <c r="AQ39" s="7" t="s">
        <v>12</v>
      </c>
      <c r="AR39" s="8" t="s">
        <v>14</v>
      </c>
      <c r="AS39" s="8" t="s">
        <v>15</v>
      </c>
      <c r="AT39" s="8" t="s">
        <v>16</v>
      </c>
      <c r="AU39" s="8" t="s">
        <v>17</v>
      </c>
      <c r="AV39" s="8" t="s">
        <v>18</v>
      </c>
      <c r="AW39" s="8"/>
    </row>
    <row r="40">
      <c r="A40" s="18">
        <v>1.0</v>
      </c>
      <c r="B40" s="10" t="s">
        <v>87</v>
      </c>
      <c r="C40" s="11"/>
      <c r="D40" s="11" t="s">
        <v>15</v>
      </c>
      <c r="E40" s="11"/>
      <c r="F40" s="10"/>
      <c r="G40" s="11" t="s">
        <v>15</v>
      </c>
      <c r="H40" s="11"/>
      <c r="I40" s="10" t="s">
        <v>87</v>
      </c>
      <c r="J40" s="10"/>
      <c r="K40" s="11" t="s">
        <v>14</v>
      </c>
      <c r="L40" s="11"/>
      <c r="M40" s="10"/>
      <c r="N40" s="10"/>
      <c r="O40" s="11"/>
      <c r="P40" s="10" t="s">
        <v>87</v>
      </c>
      <c r="Q40" s="10"/>
      <c r="R40" s="11" t="s">
        <v>14</v>
      </c>
      <c r="S40" s="11"/>
      <c r="T40" s="10"/>
      <c r="U40" s="10"/>
      <c r="V40" s="11"/>
      <c r="W40" s="10" t="s">
        <v>87</v>
      </c>
      <c r="X40" s="10"/>
      <c r="Y40" s="10"/>
      <c r="Z40" s="11"/>
      <c r="AA40" s="10"/>
      <c r="AB40" s="10"/>
      <c r="AC40" s="11"/>
      <c r="AD40" s="10" t="s">
        <v>87</v>
      </c>
      <c r="AE40" s="10"/>
      <c r="AF40" s="10"/>
      <c r="AG40" s="11"/>
      <c r="AH40" s="10"/>
      <c r="AI40" s="10"/>
      <c r="AJ40" s="11"/>
      <c r="AK40" s="10" t="s">
        <v>87</v>
      </c>
      <c r="AL40" s="10"/>
      <c r="AM40" s="10"/>
      <c r="AN40" s="11"/>
      <c r="AO40" s="10"/>
      <c r="AP40" s="10"/>
      <c r="AQ40" s="11"/>
      <c r="AR40" s="14">
        <f t="shared" ref="AR40:AR66" si="6">COUNTIF(D40:AP40,"H")</f>
        <v>2</v>
      </c>
      <c r="AS40" s="14">
        <f t="shared" ref="AS40:AS66" si="7">COUNTIF(D40:AP40,"I")</f>
        <v>2</v>
      </c>
      <c r="AT40" s="14">
        <f t="shared" ref="AT40:AT66" si="8">COUNTIF(D40:AP40,"TD")</f>
        <v>0</v>
      </c>
      <c r="AU40" s="14">
        <f t="shared" ref="AU40:AU66" si="9">COUNTIF(D40:AP40,"S")</f>
        <v>0</v>
      </c>
      <c r="AV40" s="14">
        <f t="shared" ref="AV40:AV66" si="10">COUNTIF(D40:AP40,"A")</f>
        <v>0</v>
      </c>
      <c r="AW40" s="10" t="s">
        <v>87</v>
      </c>
    </row>
    <row r="41">
      <c r="A41" s="9">
        <v>2.0</v>
      </c>
      <c r="B41" s="10" t="s">
        <v>19</v>
      </c>
      <c r="C41" s="11"/>
      <c r="D41" s="11" t="s">
        <v>15</v>
      </c>
      <c r="E41" s="12"/>
      <c r="F41" s="10"/>
      <c r="G41" s="10"/>
      <c r="H41" s="11"/>
      <c r="I41" s="10" t="s">
        <v>19</v>
      </c>
      <c r="J41" s="10"/>
      <c r="K41" s="11" t="s">
        <v>15</v>
      </c>
      <c r="L41" s="11"/>
      <c r="M41" s="10"/>
      <c r="N41" s="10"/>
      <c r="O41" s="11"/>
      <c r="P41" s="10" t="s">
        <v>19</v>
      </c>
      <c r="Q41" s="10"/>
      <c r="R41" s="11" t="s">
        <v>15</v>
      </c>
      <c r="S41" s="11"/>
      <c r="T41" s="10"/>
      <c r="U41" s="10"/>
      <c r="V41" s="11"/>
      <c r="W41" s="10" t="s">
        <v>19</v>
      </c>
      <c r="X41" s="10"/>
      <c r="Y41" s="10"/>
      <c r="Z41" s="11"/>
      <c r="AA41" s="10"/>
      <c r="AB41" s="10"/>
      <c r="AC41" s="11"/>
      <c r="AD41" s="10" t="s">
        <v>19</v>
      </c>
      <c r="AE41" s="10"/>
      <c r="AF41" s="10"/>
      <c r="AG41" s="11"/>
      <c r="AH41" s="10"/>
      <c r="AI41" s="10"/>
      <c r="AJ41" s="11"/>
      <c r="AK41" s="10" t="s">
        <v>19</v>
      </c>
      <c r="AL41" s="10"/>
      <c r="AM41" s="10"/>
      <c r="AN41" s="11"/>
      <c r="AO41" s="10"/>
      <c r="AP41" s="11"/>
      <c r="AQ41" s="11"/>
      <c r="AR41" s="14">
        <f t="shared" si="6"/>
        <v>0</v>
      </c>
      <c r="AS41" s="14">
        <f t="shared" si="7"/>
        <v>3</v>
      </c>
      <c r="AT41" s="14">
        <f t="shared" si="8"/>
        <v>0</v>
      </c>
      <c r="AU41" s="14">
        <f t="shared" si="9"/>
        <v>0</v>
      </c>
      <c r="AV41" s="14">
        <f t="shared" si="10"/>
        <v>0</v>
      </c>
      <c r="AW41" s="10" t="s">
        <v>19</v>
      </c>
    </row>
    <row r="42">
      <c r="A42" s="18">
        <v>3.0</v>
      </c>
      <c r="B42" s="10" t="s">
        <v>75</v>
      </c>
      <c r="C42" s="11" t="s">
        <v>151</v>
      </c>
      <c r="D42" s="11" t="s">
        <v>14</v>
      </c>
      <c r="E42" s="11" t="s">
        <v>21</v>
      </c>
      <c r="F42" s="10"/>
      <c r="G42" s="11" t="s">
        <v>15</v>
      </c>
      <c r="H42" s="11"/>
      <c r="I42" s="10" t="s">
        <v>75</v>
      </c>
      <c r="J42" s="10"/>
      <c r="K42" s="11" t="s">
        <v>16</v>
      </c>
      <c r="L42" s="11"/>
      <c r="M42" s="10"/>
      <c r="N42" s="10"/>
      <c r="O42" s="11"/>
      <c r="P42" s="10" t="s">
        <v>75</v>
      </c>
      <c r="Q42" s="11" t="s">
        <v>152</v>
      </c>
      <c r="R42" s="11" t="s">
        <v>14</v>
      </c>
      <c r="S42" s="11" t="s">
        <v>29</v>
      </c>
      <c r="T42" s="10"/>
      <c r="U42" s="10"/>
      <c r="V42" s="11"/>
      <c r="W42" s="10" t="s">
        <v>75</v>
      </c>
      <c r="X42" s="19" t="s">
        <v>153</v>
      </c>
      <c r="Y42" s="10"/>
      <c r="Z42" s="11"/>
      <c r="AA42" s="10"/>
      <c r="AB42" s="10"/>
      <c r="AC42" s="11"/>
      <c r="AD42" s="10" t="s">
        <v>75</v>
      </c>
      <c r="AE42" s="20" t="s">
        <v>154</v>
      </c>
      <c r="AF42" s="11" t="s">
        <v>14</v>
      </c>
      <c r="AG42" s="11" t="s">
        <v>29</v>
      </c>
      <c r="AH42" s="10"/>
      <c r="AI42" s="10"/>
      <c r="AJ42" s="11"/>
      <c r="AK42" s="10" t="s">
        <v>75</v>
      </c>
      <c r="AL42" s="11" t="s">
        <v>155</v>
      </c>
      <c r="AM42" s="11" t="s">
        <v>14</v>
      </c>
      <c r="AN42" s="11" t="s">
        <v>23</v>
      </c>
      <c r="AO42" s="11" t="s">
        <v>59</v>
      </c>
      <c r="AP42" s="11" t="s">
        <v>14</v>
      </c>
      <c r="AQ42" s="11" t="s">
        <v>29</v>
      </c>
      <c r="AR42" s="14">
        <f t="shared" si="6"/>
        <v>5</v>
      </c>
      <c r="AS42" s="14">
        <f t="shared" si="7"/>
        <v>1</v>
      </c>
      <c r="AT42" s="14">
        <f t="shared" si="8"/>
        <v>1</v>
      </c>
      <c r="AU42" s="14">
        <f t="shared" si="9"/>
        <v>0</v>
      </c>
      <c r="AV42" s="14">
        <f t="shared" si="10"/>
        <v>0</v>
      </c>
      <c r="AW42" s="10" t="s">
        <v>75</v>
      </c>
    </row>
    <row r="43">
      <c r="A43" s="9">
        <v>4.0</v>
      </c>
      <c r="B43" s="10" t="s">
        <v>49</v>
      </c>
      <c r="C43" s="10"/>
      <c r="D43" s="11" t="s">
        <v>15</v>
      </c>
      <c r="E43" s="11"/>
      <c r="F43" s="10"/>
      <c r="G43" s="11" t="s">
        <v>15</v>
      </c>
      <c r="H43" s="11"/>
      <c r="I43" s="10" t="s">
        <v>49</v>
      </c>
      <c r="J43" s="10"/>
      <c r="K43" s="11" t="s">
        <v>15</v>
      </c>
      <c r="L43" s="11"/>
      <c r="M43" s="10"/>
      <c r="N43" s="10"/>
      <c r="O43" s="11"/>
      <c r="P43" s="10" t="s">
        <v>49</v>
      </c>
      <c r="Q43" s="10"/>
      <c r="R43" s="11" t="s">
        <v>15</v>
      </c>
      <c r="S43" s="11"/>
      <c r="T43" s="10"/>
      <c r="U43" s="10"/>
      <c r="V43" s="11"/>
      <c r="W43" s="10" t="s">
        <v>49</v>
      </c>
      <c r="X43" s="10"/>
      <c r="Y43" s="10"/>
      <c r="Z43" s="11"/>
      <c r="AA43" s="10"/>
      <c r="AB43" s="10"/>
      <c r="AC43" s="11"/>
      <c r="AD43" s="10" t="s">
        <v>49</v>
      </c>
      <c r="AE43" s="10"/>
      <c r="AF43" s="11" t="s">
        <v>15</v>
      </c>
      <c r="AG43" s="11"/>
      <c r="AH43" s="10"/>
      <c r="AI43" s="10"/>
      <c r="AJ43" s="11"/>
      <c r="AK43" s="10" t="s">
        <v>49</v>
      </c>
      <c r="AL43" s="10"/>
      <c r="AM43" s="10"/>
      <c r="AN43" s="11"/>
      <c r="AO43" s="10"/>
      <c r="AP43" s="10"/>
      <c r="AQ43" s="11"/>
      <c r="AR43" s="14">
        <f t="shared" si="6"/>
        <v>0</v>
      </c>
      <c r="AS43" s="14">
        <f t="shared" si="7"/>
        <v>5</v>
      </c>
      <c r="AT43" s="14">
        <f t="shared" si="8"/>
        <v>0</v>
      </c>
      <c r="AU43" s="14">
        <f t="shared" si="9"/>
        <v>0</v>
      </c>
      <c r="AV43" s="14">
        <f t="shared" si="10"/>
        <v>0</v>
      </c>
      <c r="AW43" s="10" t="s">
        <v>49</v>
      </c>
    </row>
    <row r="44">
      <c r="A44" s="18">
        <v>5.0</v>
      </c>
      <c r="B44" s="10" t="s">
        <v>122</v>
      </c>
      <c r="C44" s="11" t="s">
        <v>156</v>
      </c>
      <c r="D44" s="11" t="s">
        <v>14</v>
      </c>
      <c r="E44" s="11" t="s">
        <v>21</v>
      </c>
      <c r="F44" s="10"/>
      <c r="G44" s="11" t="s">
        <v>18</v>
      </c>
      <c r="H44" s="11"/>
      <c r="I44" s="10" t="s">
        <v>122</v>
      </c>
      <c r="J44" s="20" t="s">
        <v>157</v>
      </c>
      <c r="K44" s="11" t="s">
        <v>14</v>
      </c>
      <c r="L44" s="11" t="s">
        <v>23</v>
      </c>
      <c r="M44" s="10"/>
      <c r="N44" s="10"/>
      <c r="O44" s="11"/>
      <c r="P44" s="10" t="s">
        <v>122</v>
      </c>
      <c r="Q44" s="11" t="s">
        <v>158</v>
      </c>
      <c r="R44" s="11" t="s">
        <v>14</v>
      </c>
      <c r="S44" s="11" t="s">
        <v>29</v>
      </c>
      <c r="T44" s="10"/>
      <c r="U44" s="10"/>
      <c r="V44" s="11"/>
      <c r="W44" s="10" t="s">
        <v>122</v>
      </c>
      <c r="X44" s="11" t="s">
        <v>159</v>
      </c>
      <c r="Y44" s="11" t="s">
        <v>14</v>
      </c>
      <c r="Z44" s="11" t="s">
        <v>21</v>
      </c>
      <c r="AA44" s="10"/>
      <c r="AB44" s="10"/>
      <c r="AC44" s="11"/>
      <c r="AD44" s="10" t="s">
        <v>122</v>
      </c>
      <c r="AE44" s="21" t="s">
        <v>160</v>
      </c>
      <c r="AF44" s="21" t="s">
        <v>14</v>
      </c>
      <c r="AG44" s="11"/>
      <c r="AH44" s="10"/>
      <c r="AI44" s="10"/>
      <c r="AJ44" s="11"/>
      <c r="AK44" s="10" t="s">
        <v>122</v>
      </c>
      <c r="AL44" s="11" t="s">
        <v>161</v>
      </c>
      <c r="AM44" s="11" t="s">
        <v>14</v>
      </c>
      <c r="AN44" s="11" t="s">
        <v>23</v>
      </c>
      <c r="AO44" s="11" t="s">
        <v>162</v>
      </c>
      <c r="AP44" s="11" t="s">
        <v>14</v>
      </c>
      <c r="AQ44" s="11" t="s">
        <v>29</v>
      </c>
      <c r="AR44" s="14">
        <f t="shared" si="6"/>
        <v>7</v>
      </c>
      <c r="AS44" s="14">
        <f t="shared" si="7"/>
        <v>0</v>
      </c>
      <c r="AT44" s="14">
        <f t="shared" si="8"/>
        <v>0</v>
      </c>
      <c r="AU44" s="14">
        <f t="shared" si="9"/>
        <v>0</v>
      </c>
      <c r="AV44" s="14">
        <f t="shared" si="10"/>
        <v>1</v>
      </c>
      <c r="AW44" s="10" t="s">
        <v>122</v>
      </c>
    </row>
    <row r="45">
      <c r="A45" s="9">
        <v>6.0</v>
      </c>
      <c r="B45" s="10" t="s">
        <v>70</v>
      </c>
      <c r="C45" s="11" t="s">
        <v>163</v>
      </c>
      <c r="D45" s="11" t="s">
        <v>14</v>
      </c>
      <c r="E45" s="11" t="s">
        <v>21</v>
      </c>
      <c r="F45" s="10"/>
      <c r="G45" s="11" t="s">
        <v>18</v>
      </c>
      <c r="H45" s="11"/>
      <c r="I45" s="10" t="s">
        <v>70</v>
      </c>
      <c r="J45" s="11" t="s">
        <v>164</v>
      </c>
      <c r="K45" s="11" t="s">
        <v>14</v>
      </c>
      <c r="L45" s="11" t="s">
        <v>29</v>
      </c>
      <c r="M45" s="10"/>
      <c r="N45" s="10"/>
      <c r="O45" s="11"/>
      <c r="P45" s="10" t="s">
        <v>70</v>
      </c>
      <c r="Q45" s="10"/>
      <c r="R45" s="11" t="s">
        <v>18</v>
      </c>
      <c r="S45" s="11"/>
      <c r="T45" s="10"/>
      <c r="U45" s="10"/>
      <c r="V45" s="11"/>
      <c r="W45" s="10" t="s">
        <v>70</v>
      </c>
      <c r="X45" s="11" t="s">
        <v>165</v>
      </c>
      <c r="Y45" s="11" t="s">
        <v>14</v>
      </c>
      <c r="Z45" s="11" t="s">
        <v>21</v>
      </c>
      <c r="AA45" s="10"/>
      <c r="AB45" s="10"/>
      <c r="AC45" s="11"/>
      <c r="AD45" s="10" t="s">
        <v>70</v>
      </c>
      <c r="AE45" s="10"/>
      <c r="AF45" s="11" t="s">
        <v>16</v>
      </c>
      <c r="AG45" s="11"/>
      <c r="AH45" s="10"/>
      <c r="AI45" s="10"/>
      <c r="AJ45" s="11"/>
      <c r="AK45" s="10" t="s">
        <v>70</v>
      </c>
      <c r="AL45" s="10"/>
      <c r="AM45" s="10"/>
      <c r="AN45" s="11"/>
      <c r="AO45" s="11" t="s">
        <v>166</v>
      </c>
      <c r="AP45" s="11" t="s">
        <v>14</v>
      </c>
      <c r="AQ45" s="11" t="s">
        <v>29</v>
      </c>
      <c r="AR45" s="14">
        <f t="shared" si="6"/>
        <v>4</v>
      </c>
      <c r="AS45" s="14">
        <f t="shared" si="7"/>
        <v>0</v>
      </c>
      <c r="AT45" s="14">
        <f t="shared" si="8"/>
        <v>1</v>
      </c>
      <c r="AU45" s="14">
        <f t="shared" si="9"/>
        <v>0</v>
      </c>
      <c r="AV45" s="14">
        <f t="shared" si="10"/>
        <v>2</v>
      </c>
      <c r="AW45" s="10" t="s">
        <v>70</v>
      </c>
    </row>
    <row r="46">
      <c r="A46" s="18">
        <v>7.0</v>
      </c>
      <c r="B46" s="10" t="s">
        <v>50</v>
      </c>
      <c r="C46" s="11" t="s">
        <v>167</v>
      </c>
      <c r="D46" s="11" t="s">
        <v>14</v>
      </c>
      <c r="E46" s="11" t="s">
        <v>21</v>
      </c>
      <c r="F46" s="10"/>
      <c r="G46" s="11" t="s">
        <v>18</v>
      </c>
      <c r="H46" s="11"/>
      <c r="I46" s="10" t="s">
        <v>50</v>
      </c>
      <c r="J46" s="11" t="s">
        <v>168</v>
      </c>
      <c r="K46" s="11" t="s">
        <v>14</v>
      </c>
      <c r="L46" s="11" t="s">
        <v>23</v>
      </c>
      <c r="M46" s="10"/>
      <c r="N46" s="10"/>
      <c r="O46" s="11"/>
      <c r="P46" s="10" t="s">
        <v>50</v>
      </c>
      <c r="Q46" s="10"/>
      <c r="R46" s="11" t="s">
        <v>18</v>
      </c>
      <c r="S46" s="11"/>
      <c r="T46" s="10"/>
      <c r="U46" s="10"/>
      <c r="V46" s="11"/>
      <c r="W46" s="10" t="s">
        <v>50</v>
      </c>
      <c r="X46" s="11" t="s">
        <v>169</v>
      </c>
      <c r="Y46" s="11" t="s">
        <v>14</v>
      </c>
      <c r="Z46" s="11" t="s">
        <v>21</v>
      </c>
      <c r="AA46" s="10"/>
      <c r="AB46" s="10"/>
      <c r="AC46" s="11"/>
      <c r="AD46" s="10" t="s">
        <v>50</v>
      </c>
      <c r="AE46" s="11" t="s">
        <v>170</v>
      </c>
      <c r="AF46" s="11" t="s">
        <v>16</v>
      </c>
      <c r="AG46" s="11" t="s">
        <v>23</v>
      </c>
      <c r="AH46" s="11" t="s">
        <v>171</v>
      </c>
      <c r="AI46" s="11" t="s">
        <v>14</v>
      </c>
      <c r="AJ46" s="11" t="s">
        <v>23</v>
      </c>
      <c r="AK46" s="10" t="s">
        <v>50</v>
      </c>
      <c r="AL46" s="10"/>
      <c r="AM46" s="10"/>
      <c r="AN46" s="11"/>
      <c r="AO46" s="11" t="s">
        <v>172</v>
      </c>
      <c r="AP46" s="11" t="s">
        <v>14</v>
      </c>
      <c r="AQ46" s="11" t="s">
        <v>29</v>
      </c>
      <c r="AR46" s="14">
        <f t="shared" si="6"/>
        <v>5</v>
      </c>
      <c r="AS46" s="14">
        <f t="shared" si="7"/>
        <v>0</v>
      </c>
      <c r="AT46" s="14">
        <f t="shared" si="8"/>
        <v>1</v>
      </c>
      <c r="AU46" s="14">
        <f t="shared" si="9"/>
        <v>0</v>
      </c>
      <c r="AV46" s="14">
        <f t="shared" si="10"/>
        <v>2</v>
      </c>
      <c r="AW46" s="10" t="s">
        <v>50</v>
      </c>
    </row>
    <row r="47">
      <c r="A47" s="9">
        <v>8.0</v>
      </c>
      <c r="B47" s="10" t="s">
        <v>90</v>
      </c>
      <c r="C47" s="11" t="s">
        <v>173</v>
      </c>
      <c r="D47" s="11" t="s">
        <v>14</v>
      </c>
      <c r="E47" s="11" t="s">
        <v>21</v>
      </c>
      <c r="F47" s="10"/>
      <c r="G47" s="11" t="s">
        <v>18</v>
      </c>
      <c r="H47" s="11"/>
      <c r="I47" s="10" t="s">
        <v>90</v>
      </c>
      <c r="J47" s="10"/>
      <c r="K47" s="11" t="s">
        <v>16</v>
      </c>
      <c r="L47" s="11"/>
      <c r="M47" s="10"/>
      <c r="N47" s="10"/>
      <c r="O47" s="11"/>
      <c r="P47" s="10" t="s">
        <v>90</v>
      </c>
      <c r="Q47" s="10"/>
      <c r="R47" s="11" t="s">
        <v>18</v>
      </c>
      <c r="S47" s="11"/>
      <c r="T47" s="10"/>
      <c r="U47" s="11" t="s">
        <v>18</v>
      </c>
      <c r="V47" s="11"/>
      <c r="W47" s="10" t="s">
        <v>90</v>
      </c>
      <c r="X47" s="11" t="s">
        <v>174</v>
      </c>
      <c r="Y47" s="11" t="s">
        <v>14</v>
      </c>
      <c r="Z47" s="11" t="s">
        <v>21</v>
      </c>
      <c r="AA47" s="10"/>
      <c r="AB47" s="10"/>
      <c r="AC47" s="11"/>
      <c r="AD47" s="10" t="s">
        <v>90</v>
      </c>
      <c r="AE47" s="11" t="s">
        <v>175</v>
      </c>
      <c r="AF47" s="11" t="s">
        <v>14</v>
      </c>
      <c r="AG47" s="11" t="s">
        <v>29</v>
      </c>
      <c r="AH47" s="10"/>
      <c r="AI47" s="10"/>
      <c r="AJ47" s="11"/>
      <c r="AK47" s="10" t="s">
        <v>90</v>
      </c>
      <c r="AL47" s="10"/>
      <c r="AM47" s="10"/>
      <c r="AN47" s="11"/>
      <c r="AO47" s="10"/>
      <c r="AP47" s="10"/>
      <c r="AQ47" s="11"/>
      <c r="AR47" s="14">
        <f t="shared" si="6"/>
        <v>3</v>
      </c>
      <c r="AS47" s="14">
        <f t="shared" si="7"/>
        <v>0</v>
      </c>
      <c r="AT47" s="14">
        <f t="shared" si="8"/>
        <v>1</v>
      </c>
      <c r="AU47" s="14">
        <f t="shared" si="9"/>
        <v>0</v>
      </c>
      <c r="AV47" s="14">
        <f t="shared" si="10"/>
        <v>3</v>
      </c>
      <c r="AW47" s="10" t="s">
        <v>90</v>
      </c>
    </row>
    <row r="48">
      <c r="A48" s="18">
        <v>9.0</v>
      </c>
      <c r="B48" s="10" t="s">
        <v>83</v>
      </c>
      <c r="C48" s="11" t="s">
        <v>176</v>
      </c>
      <c r="D48" s="11" t="s">
        <v>14</v>
      </c>
      <c r="E48" s="11" t="s">
        <v>21</v>
      </c>
      <c r="F48" s="10"/>
      <c r="G48" s="11" t="s">
        <v>15</v>
      </c>
      <c r="H48" s="11"/>
      <c r="I48" s="10" t="s">
        <v>83</v>
      </c>
      <c r="J48" s="10"/>
      <c r="K48" s="11" t="s">
        <v>16</v>
      </c>
      <c r="L48" s="11"/>
      <c r="M48" s="10"/>
      <c r="N48" s="10"/>
      <c r="O48" s="11"/>
      <c r="P48" s="10" t="s">
        <v>83</v>
      </c>
      <c r="Q48" s="11" t="s">
        <v>177</v>
      </c>
      <c r="R48" s="11" t="s">
        <v>14</v>
      </c>
      <c r="S48" s="11" t="s">
        <v>29</v>
      </c>
      <c r="T48" s="10"/>
      <c r="U48" s="10"/>
      <c r="V48" s="11"/>
      <c r="W48" s="10" t="s">
        <v>83</v>
      </c>
      <c r="X48" s="11" t="s">
        <v>178</v>
      </c>
      <c r="Y48" s="11" t="s">
        <v>14</v>
      </c>
      <c r="Z48" s="11" t="s">
        <v>21</v>
      </c>
      <c r="AA48" s="10"/>
      <c r="AB48" s="10"/>
      <c r="AC48" s="11"/>
      <c r="AD48" s="10" t="s">
        <v>83</v>
      </c>
      <c r="AE48" s="11" t="s">
        <v>179</v>
      </c>
      <c r="AF48" s="11" t="s">
        <v>14</v>
      </c>
      <c r="AG48" s="11" t="s">
        <v>29</v>
      </c>
      <c r="AH48" s="10"/>
      <c r="AI48" s="10"/>
      <c r="AJ48" s="11"/>
      <c r="AK48" s="10" t="s">
        <v>83</v>
      </c>
      <c r="AL48" s="11" t="s">
        <v>180</v>
      </c>
      <c r="AM48" s="11" t="s">
        <v>14</v>
      </c>
      <c r="AN48" s="11" t="s">
        <v>23</v>
      </c>
      <c r="AO48" s="11" t="s">
        <v>181</v>
      </c>
      <c r="AP48" s="11" t="s">
        <v>14</v>
      </c>
      <c r="AQ48" s="11" t="s">
        <v>29</v>
      </c>
      <c r="AR48" s="14">
        <f t="shared" si="6"/>
        <v>6</v>
      </c>
      <c r="AS48" s="14">
        <f t="shared" si="7"/>
        <v>1</v>
      </c>
      <c r="AT48" s="14">
        <f t="shared" si="8"/>
        <v>1</v>
      </c>
      <c r="AU48" s="14">
        <f t="shared" si="9"/>
        <v>0</v>
      </c>
      <c r="AV48" s="14">
        <f t="shared" si="10"/>
        <v>0</v>
      </c>
      <c r="AW48" s="10" t="s">
        <v>83</v>
      </c>
    </row>
    <row r="49">
      <c r="A49" s="9">
        <v>10.0</v>
      </c>
      <c r="B49" s="10" t="s">
        <v>39</v>
      </c>
      <c r="C49" s="11" t="s">
        <v>182</v>
      </c>
      <c r="D49" s="11" t="s">
        <v>14</v>
      </c>
      <c r="E49" s="11" t="s">
        <v>21</v>
      </c>
      <c r="F49" s="10"/>
      <c r="G49" s="11" t="s">
        <v>18</v>
      </c>
      <c r="H49" s="11"/>
      <c r="I49" s="10" t="s">
        <v>39</v>
      </c>
      <c r="J49" s="10"/>
      <c r="K49" s="11" t="s">
        <v>16</v>
      </c>
      <c r="L49" s="11"/>
      <c r="M49" s="10"/>
      <c r="N49" s="10"/>
      <c r="O49" s="11"/>
      <c r="P49" s="10" t="s">
        <v>39</v>
      </c>
      <c r="Q49" s="10"/>
      <c r="R49" s="11" t="s">
        <v>18</v>
      </c>
      <c r="S49" s="11"/>
      <c r="T49" s="10"/>
      <c r="U49" s="11" t="s">
        <v>18</v>
      </c>
      <c r="V49" s="11"/>
      <c r="W49" s="10" t="s">
        <v>39</v>
      </c>
      <c r="X49" s="11" t="s">
        <v>183</v>
      </c>
      <c r="Y49" s="11" t="s">
        <v>14</v>
      </c>
      <c r="Z49" s="11" t="s">
        <v>21</v>
      </c>
      <c r="AA49" s="10"/>
      <c r="AB49" s="10"/>
      <c r="AC49" s="11"/>
      <c r="AD49" s="10" t="s">
        <v>39</v>
      </c>
      <c r="AE49" s="10"/>
      <c r="AF49" s="11" t="s">
        <v>16</v>
      </c>
      <c r="AG49" s="11"/>
      <c r="AH49" s="10"/>
      <c r="AI49" s="10"/>
      <c r="AJ49" s="11"/>
      <c r="AK49" s="10" t="s">
        <v>39</v>
      </c>
      <c r="AL49" s="11" t="s">
        <v>184</v>
      </c>
      <c r="AM49" s="11" t="s">
        <v>14</v>
      </c>
      <c r="AN49" s="11" t="s">
        <v>23</v>
      </c>
      <c r="AO49" s="10"/>
      <c r="AP49" s="10"/>
      <c r="AQ49" s="11"/>
      <c r="AR49" s="14">
        <f t="shared" si="6"/>
        <v>3</v>
      </c>
      <c r="AS49" s="14">
        <f t="shared" si="7"/>
        <v>0</v>
      </c>
      <c r="AT49" s="14">
        <f t="shared" si="8"/>
        <v>2</v>
      </c>
      <c r="AU49" s="14">
        <f t="shared" si="9"/>
        <v>0</v>
      </c>
      <c r="AV49" s="14">
        <f t="shared" si="10"/>
        <v>3</v>
      </c>
      <c r="AW49" s="10" t="s">
        <v>39</v>
      </c>
    </row>
    <row r="50">
      <c r="A50" s="18">
        <v>11.0</v>
      </c>
      <c r="B50" s="10" t="s">
        <v>34</v>
      </c>
      <c r="C50" s="11" t="s">
        <v>185</v>
      </c>
      <c r="D50" s="11" t="s">
        <v>14</v>
      </c>
      <c r="E50" s="11" t="s">
        <v>21</v>
      </c>
      <c r="F50" s="10"/>
      <c r="G50" s="11" t="s">
        <v>18</v>
      </c>
      <c r="H50" s="11"/>
      <c r="I50" s="10" t="s">
        <v>34</v>
      </c>
      <c r="J50" s="10"/>
      <c r="K50" s="11" t="s">
        <v>16</v>
      </c>
      <c r="L50" s="11"/>
      <c r="M50" s="10"/>
      <c r="N50" s="10"/>
      <c r="O50" s="11"/>
      <c r="P50" s="10" t="s">
        <v>34</v>
      </c>
      <c r="Q50" s="11" t="s">
        <v>186</v>
      </c>
      <c r="R50" s="11" t="s">
        <v>14</v>
      </c>
      <c r="S50" s="11" t="s">
        <v>29</v>
      </c>
      <c r="T50" s="10"/>
      <c r="U50" s="10"/>
      <c r="V50" s="11"/>
      <c r="W50" s="10" t="s">
        <v>34</v>
      </c>
      <c r="X50" s="11" t="s">
        <v>187</v>
      </c>
      <c r="Y50" s="11" t="s">
        <v>14</v>
      </c>
      <c r="Z50" s="11" t="s">
        <v>21</v>
      </c>
      <c r="AA50" s="10"/>
      <c r="AB50" s="10"/>
      <c r="AC50" s="11"/>
      <c r="AD50" s="10" t="s">
        <v>34</v>
      </c>
      <c r="AE50" s="11" t="s">
        <v>188</v>
      </c>
      <c r="AF50" s="11" t="s">
        <v>14</v>
      </c>
      <c r="AG50" s="11" t="s">
        <v>29</v>
      </c>
      <c r="AH50" s="10"/>
      <c r="AI50" s="10"/>
      <c r="AJ50" s="11"/>
      <c r="AK50" s="10" t="s">
        <v>34</v>
      </c>
      <c r="AL50" s="10"/>
      <c r="AM50" s="10"/>
      <c r="AN50" s="11"/>
      <c r="AO50" s="11" t="s">
        <v>189</v>
      </c>
      <c r="AP50" s="11" t="s">
        <v>14</v>
      </c>
      <c r="AQ50" s="11" t="s">
        <v>29</v>
      </c>
      <c r="AR50" s="14">
        <f t="shared" si="6"/>
        <v>5</v>
      </c>
      <c r="AS50" s="14">
        <f t="shared" si="7"/>
        <v>0</v>
      </c>
      <c r="AT50" s="14">
        <f t="shared" si="8"/>
        <v>1</v>
      </c>
      <c r="AU50" s="14">
        <f t="shared" si="9"/>
        <v>0</v>
      </c>
      <c r="AV50" s="14">
        <f t="shared" si="10"/>
        <v>1</v>
      </c>
      <c r="AW50" s="10" t="s">
        <v>34</v>
      </c>
    </row>
    <row r="51">
      <c r="A51" s="9">
        <v>12.0</v>
      </c>
      <c r="B51" s="10" t="s">
        <v>113</v>
      </c>
      <c r="C51" s="11" t="s">
        <v>190</v>
      </c>
      <c r="D51" s="11" t="s">
        <v>14</v>
      </c>
      <c r="E51" s="11" t="s">
        <v>21</v>
      </c>
      <c r="F51" s="10"/>
      <c r="G51" s="11" t="s">
        <v>15</v>
      </c>
      <c r="H51" s="11"/>
      <c r="I51" s="10" t="s">
        <v>113</v>
      </c>
      <c r="J51" s="11" t="s">
        <v>191</v>
      </c>
      <c r="K51" s="11" t="s">
        <v>14</v>
      </c>
      <c r="L51" s="11" t="s">
        <v>29</v>
      </c>
      <c r="M51" s="10"/>
      <c r="N51" s="10"/>
      <c r="O51" s="11"/>
      <c r="P51" s="10" t="s">
        <v>113</v>
      </c>
      <c r="Q51" s="11" t="s">
        <v>192</v>
      </c>
      <c r="R51" s="11" t="s">
        <v>14</v>
      </c>
      <c r="S51" s="11" t="s">
        <v>29</v>
      </c>
      <c r="T51" s="10"/>
      <c r="U51" s="10"/>
      <c r="V51" s="11"/>
      <c r="W51" s="10" t="s">
        <v>113</v>
      </c>
      <c r="X51" s="11" t="s">
        <v>193</v>
      </c>
      <c r="Y51" s="11" t="s">
        <v>14</v>
      </c>
      <c r="Z51" s="11" t="s">
        <v>21</v>
      </c>
      <c r="AA51" s="10"/>
      <c r="AB51" s="10"/>
      <c r="AC51" s="11"/>
      <c r="AD51" s="10" t="s">
        <v>113</v>
      </c>
      <c r="AE51" s="11" t="s">
        <v>194</v>
      </c>
      <c r="AF51" s="11" t="s">
        <v>16</v>
      </c>
      <c r="AG51" s="11" t="s">
        <v>23</v>
      </c>
      <c r="AH51" s="11" t="s">
        <v>195</v>
      </c>
      <c r="AI51" s="11" t="s">
        <v>14</v>
      </c>
      <c r="AJ51" s="11" t="s">
        <v>23</v>
      </c>
      <c r="AK51" s="10" t="s">
        <v>113</v>
      </c>
      <c r="AL51" s="11" t="s">
        <v>196</v>
      </c>
      <c r="AM51" s="11" t="s">
        <v>14</v>
      </c>
      <c r="AN51" s="11" t="s">
        <v>23</v>
      </c>
      <c r="AO51" s="10"/>
      <c r="AP51" s="10"/>
      <c r="AQ51" s="11"/>
      <c r="AR51" s="14">
        <f t="shared" si="6"/>
        <v>6</v>
      </c>
      <c r="AS51" s="14">
        <f t="shared" si="7"/>
        <v>1</v>
      </c>
      <c r="AT51" s="14">
        <f t="shared" si="8"/>
        <v>1</v>
      </c>
      <c r="AU51" s="14">
        <f t="shared" si="9"/>
        <v>0</v>
      </c>
      <c r="AV51" s="14">
        <f t="shared" si="10"/>
        <v>0</v>
      </c>
      <c r="AW51" s="10" t="s">
        <v>113</v>
      </c>
    </row>
    <row r="52">
      <c r="A52" s="18">
        <v>13.0</v>
      </c>
      <c r="B52" s="10" t="s">
        <v>94</v>
      </c>
      <c r="C52" s="11" t="s">
        <v>197</v>
      </c>
      <c r="D52" s="11" t="s">
        <v>14</v>
      </c>
      <c r="E52" s="11" t="s">
        <v>23</v>
      </c>
      <c r="F52" s="10"/>
      <c r="G52" s="11" t="s">
        <v>14</v>
      </c>
      <c r="H52" s="11"/>
      <c r="I52" s="10" t="s">
        <v>94</v>
      </c>
      <c r="J52" s="11" t="s">
        <v>198</v>
      </c>
      <c r="K52" s="11" t="s">
        <v>14</v>
      </c>
      <c r="L52" s="11" t="s">
        <v>23</v>
      </c>
      <c r="M52" s="10"/>
      <c r="N52" s="10"/>
      <c r="O52" s="11"/>
      <c r="P52" s="10" t="s">
        <v>94</v>
      </c>
      <c r="Q52" s="11" t="s">
        <v>199</v>
      </c>
      <c r="R52" s="11" t="s">
        <v>14</v>
      </c>
      <c r="S52" s="11" t="s">
        <v>29</v>
      </c>
      <c r="T52" s="11" t="s">
        <v>200</v>
      </c>
      <c r="U52" s="11" t="s">
        <v>14</v>
      </c>
      <c r="V52" s="11" t="s">
        <v>29</v>
      </c>
      <c r="W52" s="10" t="s">
        <v>94</v>
      </c>
      <c r="X52" s="11" t="s">
        <v>201</v>
      </c>
      <c r="Y52" s="11" t="s">
        <v>14</v>
      </c>
      <c r="Z52" s="11" t="s">
        <v>21</v>
      </c>
      <c r="AA52" s="10"/>
      <c r="AB52" s="10"/>
      <c r="AC52" s="11"/>
      <c r="AD52" s="10" t="s">
        <v>94</v>
      </c>
      <c r="AE52" s="11" t="s">
        <v>202</v>
      </c>
      <c r="AF52" s="11" t="s">
        <v>14</v>
      </c>
      <c r="AG52" s="11" t="s">
        <v>29</v>
      </c>
      <c r="AH52" s="11" t="s">
        <v>203</v>
      </c>
      <c r="AI52" s="11" t="s">
        <v>14</v>
      </c>
      <c r="AJ52" s="11" t="s">
        <v>23</v>
      </c>
      <c r="AK52" s="10" t="s">
        <v>94</v>
      </c>
      <c r="AL52" s="11" t="s">
        <v>204</v>
      </c>
      <c r="AM52" s="11" t="s">
        <v>14</v>
      </c>
      <c r="AN52" s="11" t="s">
        <v>23</v>
      </c>
      <c r="AO52" s="11" t="s">
        <v>205</v>
      </c>
      <c r="AP52" s="11" t="s">
        <v>14</v>
      </c>
      <c r="AQ52" s="11" t="s">
        <v>29</v>
      </c>
      <c r="AR52" s="14">
        <f t="shared" si="6"/>
        <v>10</v>
      </c>
      <c r="AS52" s="14">
        <f t="shared" si="7"/>
        <v>0</v>
      </c>
      <c r="AT52" s="14">
        <f t="shared" si="8"/>
        <v>0</v>
      </c>
      <c r="AU52" s="14">
        <f t="shared" si="9"/>
        <v>0</v>
      </c>
      <c r="AV52" s="14">
        <f t="shared" si="10"/>
        <v>0</v>
      </c>
      <c r="AW52" s="10" t="s">
        <v>94</v>
      </c>
    </row>
    <row r="53">
      <c r="A53" s="9">
        <v>14.0</v>
      </c>
      <c r="B53" s="10" t="s">
        <v>105</v>
      </c>
      <c r="C53" s="11" t="s">
        <v>206</v>
      </c>
      <c r="D53" s="11" t="s">
        <v>14</v>
      </c>
      <c r="E53" s="11" t="s">
        <v>23</v>
      </c>
      <c r="F53" s="10"/>
      <c r="G53" s="11" t="s">
        <v>14</v>
      </c>
      <c r="H53" s="11"/>
      <c r="I53" s="10" t="s">
        <v>105</v>
      </c>
      <c r="J53" s="10"/>
      <c r="K53" s="11" t="s">
        <v>16</v>
      </c>
      <c r="L53" s="11"/>
      <c r="M53" s="10"/>
      <c r="N53" s="10"/>
      <c r="O53" s="11"/>
      <c r="P53" s="10" t="s">
        <v>105</v>
      </c>
      <c r="Q53" s="11" t="s">
        <v>207</v>
      </c>
      <c r="R53" s="11" t="s">
        <v>14</v>
      </c>
      <c r="S53" s="11" t="s">
        <v>29</v>
      </c>
      <c r="T53" s="10"/>
      <c r="U53" s="10"/>
      <c r="V53" s="11"/>
      <c r="W53" s="10" t="s">
        <v>105</v>
      </c>
      <c r="X53" s="11" t="s">
        <v>208</v>
      </c>
      <c r="Y53" s="11" t="s">
        <v>14</v>
      </c>
      <c r="Z53" s="11" t="s">
        <v>21</v>
      </c>
      <c r="AA53" s="10"/>
      <c r="AB53" s="10"/>
      <c r="AC53" s="11"/>
      <c r="AD53" s="10" t="s">
        <v>105</v>
      </c>
      <c r="AE53" s="11" t="s">
        <v>209</v>
      </c>
      <c r="AF53" s="11" t="s">
        <v>14</v>
      </c>
      <c r="AG53" s="11" t="s">
        <v>29</v>
      </c>
      <c r="AH53" s="11" t="s">
        <v>210</v>
      </c>
      <c r="AI53" s="11" t="s">
        <v>14</v>
      </c>
      <c r="AJ53" s="11" t="s">
        <v>23</v>
      </c>
      <c r="AK53" s="10" t="s">
        <v>105</v>
      </c>
      <c r="AL53" s="10"/>
      <c r="AM53" s="10"/>
      <c r="AN53" s="11"/>
      <c r="AO53" s="11" t="s">
        <v>211</v>
      </c>
      <c r="AP53" s="11" t="s">
        <v>14</v>
      </c>
      <c r="AQ53" s="11" t="s">
        <v>29</v>
      </c>
      <c r="AR53" s="14">
        <f t="shared" si="6"/>
        <v>7</v>
      </c>
      <c r="AS53" s="14">
        <f t="shared" si="7"/>
        <v>0</v>
      </c>
      <c r="AT53" s="14">
        <f t="shared" si="8"/>
        <v>1</v>
      </c>
      <c r="AU53" s="14">
        <f t="shared" si="9"/>
        <v>0</v>
      </c>
      <c r="AV53" s="14">
        <f t="shared" si="10"/>
        <v>0</v>
      </c>
      <c r="AW53" s="10" t="s">
        <v>105</v>
      </c>
    </row>
    <row r="54">
      <c r="A54" s="18">
        <v>15.0</v>
      </c>
      <c r="B54" s="10" t="s">
        <v>24</v>
      </c>
      <c r="C54" s="10"/>
      <c r="D54" s="11" t="s">
        <v>18</v>
      </c>
      <c r="E54" s="11"/>
      <c r="F54" s="10"/>
      <c r="G54" s="11" t="s">
        <v>15</v>
      </c>
      <c r="H54" s="11"/>
      <c r="I54" s="10" t="s">
        <v>24</v>
      </c>
      <c r="J54" s="11" t="s">
        <v>212</v>
      </c>
      <c r="K54" s="11" t="s">
        <v>14</v>
      </c>
      <c r="L54" s="11" t="s">
        <v>29</v>
      </c>
      <c r="M54" s="10"/>
      <c r="N54" s="10"/>
      <c r="O54" s="11"/>
      <c r="P54" s="10" t="s">
        <v>24</v>
      </c>
      <c r="Q54" s="11" t="s">
        <v>31</v>
      </c>
      <c r="R54" s="11" t="s">
        <v>14</v>
      </c>
      <c r="S54" s="11" t="s">
        <v>29</v>
      </c>
      <c r="T54" s="10"/>
      <c r="U54" s="10"/>
      <c r="V54" s="11"/>
      <c r="W54" s="10" t="s">
        <v>24</v>
      </c>
      <c r="X54" s="11" t="s">
        <v>213</v>
      </c>
      <c r="Y54" s="11" t="s">
        <v>14</v>
      </c>
      <c r="Z54" s="11" t="s">
        <v>21</v>
      </c>
      <c r="AA54" s="10"/>
      <c r="AB54" s="10"/>
      <c r="AC54" s="11"/>
      <c r="AD54" s="10" t="s">
        <v>24</v>
      </c>
      <c r="AE54" s="10"/>
      <c r="AF54" s="11" t="s">
        <v>16</v>
      </c>
      <c r="AG54" s="11"/>
      <c r="AH54" s="10"/>
      <c r="AI54" s="10"/>
      <c r="AJ54" s="11"/>
      <c r="AK54" s="10" t="s">
        <v>24</v>
      </c>
      <c r="AL54" s="10"/>
      <c r="AM54" s="10"/>
      <c r="AN54" s="11"/>
      <c r="AO54" s="11" t="s">
        <v>214</v>
      </c>
      <c r="AP54" s="11" t="s">
        <v>14</v>
      </c>
      <c r="AQ54" s="11" t="s">
        <v>29</v>
      </c>
      <c r="AR54" s="14">
        <f t="shared" si="6"/>
        <v>4</v>
      </c>
      <c r="AS54" s="14">
        <f t="shared" si="7"/>
        <v>1</v>
      </c>
      <c r="AT54" s="14">
        <f t="shared" si="8"/>
        <v>1</v>
      </c>
      <c r="AU54" s="14">
        <f t="shared" si="9"/>
        <v>0</v>
      </c>
      <c r="AV54" s="14">
        <f t="shared" si="10"/>
        <v>1</v>
      </c>
      <c r="AW54" s="10" t="s">
        <v>24</v>
      </c>
    </row>
    <row r="55">
      <c r="A55" s="9">
        <v>16.0</v>
      </c>
      <c r="B55" s="10" t="s">
        <v>43</v>
      </c>
      <c r="C55" s="11"/>
      <c r="D55" s="11" t="s">
        <v>17</v>
      </c>
      <c r="E55" s="11"/>
      <c r="F55" s="10"/>
      <c r="G55" s="11" t="s">
        <v>17</v>
      </c>
      <c r="H55" s="11"/>
      <c r="I55" s="10" t="s">
        <v>43</v>
      </c>
      <c r="J55" s="15"/>
      <c r="K55" s="11" t="s">
        <v>15</v>
      </c>
      <c r="L55" s="11"/>
      <c r="M55" s="10"/>
      <c r="N55" s="10"/>
      <c r="O55" s="11"/>
      <c r="P55" s="10" t="s">
        <v>43</v>
      </c>
      <c r="Q55" s="10"/>
      <c r="R55" s="11" t="s">
        <v>15</v>
      </c>
      <c r="S55" s="11"/>
      <c r="T55" s="10"/>
      <c r="U55" s="10"/>
      <c r="V55" s="11"/>
      <c r="W55" s="10" t="s">
        <v>43</v>
      </c>
      <c r="X55" s="10"/>
      <c r="Y55" s="11" t="s">
        <v>17</v>
      </c>
      <c r="Z55" s="11"/>
      <c r="AA55" s="10"/>
      <c r="AB55" s="10"/>
      <c r="AC55" s="11"/>
      <c r="AD55" s="10" t="s">
        <v>43</v>
      </c>
      <c r="AE55" s="10"/>
      <c r="AF55" s="11" t="s">
        <v>15</v>
      </c>
      <c r="AG55" s="11"/>
      <c r="AH55" s="10"/>
      <c r="AI55" s="10"/>
      <c r="AJ55" s="11"/>
      <c r="AK55" s="10" t="s">
        <v>43</v>
      </c>
      <c r="AL55" s="10"/>
      <c r="AM55" s="10"/>
      <c r="AN55" s="11"/>
      <c r="AO55" s="10"/>
      <c r="AP55" s="10"/>
      <c r="AQ55" s="11"/>
      <c r="AR55" s="14">
        <f t="shared" si="6"/>
        <v>0</v>
      </c>
      <c r="AS55" s="14">
        <f t="shared" si="7"/>
        <v>3</v>
      </c>
      <c r="AT55" s="14">
        <f t="shared" si="8"/>
        <v>0</v>
      </c>
      <c r="AU55" s="14">
        <f t="shared" si="9"/>
        <v>3</v>
      </c>
      <c r="AV55" s="14">
        <f t="shared" si="10"/>
        <v>0</v>
      </c>
      <c r="AW55" s="10" t="s">
        <v>43</v>
      </c>
    </row>
    <row r="56">
      <c r="A56" s="18">
        <v>17.0</v>
      </c>
      <c r="B56" s="10" t="s">
        <v>61</v>
      </c>
      <c r="C56" s="11"/>
      <c r="D56" s="11" t="s">
        <v>18</v>
      </c>
      <c r="E56" s="11"/>
      <c r="F56" s="10"/>
      <c r="G56" s="11" t="s">
        <v>14</v>
      </c>
      <c r="H56" s="11"/>
      <c r="I56" s="10" t="s">
        <v>61</v>
      </c>
      <c r="J56" s="11" t="s">
        <v>215</v>
      </c>
      <c r="K56" s="11" t="s">
        <v>14</v>
      </c>
      <c r="L56" s="11" t="s">
        <v>29</v>
      </c>
      <c r="M56" s="10"/>
      <c r="N56" s="10"/>
      <c r="O56" s="11"/>
      <c r="P56" s="10" t="s">
        <v>61</v>
      </c>
      <c r="Q56" s="11" t="s">
        <v>216</v>
      </c>
      <c r="R56" s="11" t="s">
        <v>14</v>
      </c>
      <c r="S56" s="11" t="s">
        <v>29</v>
      </c>
      <c r="T56" s="10"/>
      <c r="U56" s="10"/>
      <c r="V56" s="11"/>
      <c r="W56" s="10" t="s">
        <v>61</v>
      </c>
      <c r="X56" s="11" t="s">
        <v>217</v>
      </c>
      <c r="Y56" s="11" t="s">
        <v>14</v>
      </c>
      <c r="Z56" s="11" t="s">
        <v>21</v>
      </c>
      <c r="AA56" s="10"/>
      <c r="AB56" s="10"/>
      <c r="AC56" s="11"/>
      <c r="AD56" s="10" t="s">
        <v>61</v>
      </c>
      <c r="AE56" s="11" t="s">
        <v>218</v>
      </c>
      <c r="AF56" s="11" t="s">
        <v>14</v>
      </c>
      <c r="AG56" s="11" t="s">
        <v>29</v>
      </c>
      <c r="AH56" s="10"/>
      <c r="AI56" s="10"/>
      <c r="AJ56" s="11"/>
      <c r="AK56" s="10" t="s">
        <v>61</v>
      </c>
      <c r="AL56" s="11" t="s">
        <v>219</v>
      </c>
      <c r="AM56" s="11" t="s">
        <v>14</v>
      </c>
      <c r="AN56" s="11" t="s">
        <v>23</v>
      </c>
      <c r="AO56" s="11" t="s">
        <v>220</v>
      </c>
      <c r="AP56" s="11" t="s">
        <v>14</v>
      </c>
      <c r="AQ56" s="11" t="s">
        <v>29</v>
      </c>
      <c r="AR56" s="14">
        <f t="shared" si="6"/>
        <v>7</v>
      </c>
      <c r="AS56" s="14">
        <f t="shared" si="7"/>
        <v>0</v>
      </c>
      <c r="AT56" s="14">
        <f t="shared" si="8"/>
        <v>0</v>
      </c>
      <c r="AU56" s="14">
        <f t="shared" si="9"/>
        <v>0</v>
      </c>
      <c r="AV56" s="14">
        <f t="shared" si="10"/>
        <v>1</v>
      </c>
      <c r="AW56" s="10" t="s">
        <v>61</v>
      </c>
    </row>
    <row r="57">
      <c r="A57" s="9">
        <v>18.0</v>
      </c>
      <c r="B57" s="10" t="s">
        <v>128</v>
      </c>
      <c r="C57" s="10"/>
      <c r="D57" s="11" t="s">
        <v>16</v>
      </c>
      <c r="E57" s="11"/>
      <c r="F57" s="10"/>
      <c r="G57" s="11" t="s">
        <v>14</v>
      </c>
      <c r="H57" s="11"/>
      <c r="I57" s="10" t="s">
        <v>128</v>
      </c>
      <c r="J57" s="11" t="s">
        <v>221</v>
      </c>
      <c r="K57" s="11" t="s">
        <v>14</v>
      </c>
      <c r="L57" s="11" t="s">
        <v>23</v>
      </c>
      <c r="M57" s="10"/>
      <c r="N57" s="10"/>
      <c r="O57" s="11"/>
      <c r="P57" s="10" t="s">
        <v>128</v>
      </c>
      <c r="Q57" s="11" t="s">
        <v>222</v>
      </c>
      <c r="R57" s="11" t="s">
        <v>14</v>
      </c>
      <c r="S57" s="11" t="s">
        <v>29</v>
      </c>
      <c r="T57" s="10"/>
      <c r="U57" s="10"/>
      <c r="V57" s="11"/>
      <c r="W57" s="10" t="s">
        <v>128</v>
      </c>
      <c r="X57" s="11" t="s">
        <v>223</v>
      </c>
      <c r="Y57" s="11" t="s">
        <v>18</v>
      </c>
      <c r="Z57" s="11"/>
      <c r="AA57" s="10"/>
      <c r="AB57" s="10"/>
      <c r="AC57" s="11"/>
      <c r="AD57" s="10" t="s">
        <v>128</v>
      </c>
      <c r="AE57" s="11" t="s">
        <v>224</v>
      </c>
      <c r="AF57" s="11" t="s">
        <v>14</v>
      </c>
      <c r="AG57" s="11" t="s">
        <v>29</v>
      </c>
      <c r="AH57" s="11" t="s">
        <v>225</v>
      </c>
      <c r="AI57" s="11" t="s">
        <v>14</v>
      </c>
      <c r="AJ57" s="11" t="s">
        <v>23</v>
      </c>
      <c r="AK57" s="10" t="s">
        <v>128</v>
      </c>
      <c r="AL57" s="11" t="s">
        <v>226</v>
      </c>
      <c r="AM57" s="11" t="s">
        <v>14</v>
      </c>
      <c r="AN57" s="11" t="s">
        <v>23</v>
      </c>
      <c r="AO57" s="10"/>
      <c r="AP57" s="10"/>
      <c r="AQ57" s="11"/>
      <c r="AR57" s="14">
        <f t="shared" si="6"/>
        <v>6</v>
      </c>
      <c r="AS57" s="14">
        <f t="shared" si="7"/>
        <v>0</v>
      </c>
      <c r="AT57" s="14">
        <f t="shared" si="8"/>
        <v>1</v>
      </c>
      <c r="AU57" s="14">
        <f t="shared" si="9"/>
        <v>0</v>
      </c>
      <c r="AV57" s="14">
        <f t="shared" si="10"/>
        <v>1</v>
      </c>
      <c r="AW57" s="10" t="s">
        <v>128</v>
      </c>
    </row>
    <row r="58">
      <c r="A58" s="18">
        <v>19.0</v>
      </c>
      <c r="B58" s="13" t="s">
        <v>227</v>
      </c>
      <c r="C58" s="10"/>
      <c r="D58" s="10"/>
      <c r="E58" s="10"/>
      <c r="F58" s="10"/>
      <c r="G58" s="10"/>
      <c r="H58" s="10"/>
      <c r="I58" s="13" t="s">
        <v>227</v>
      </c>
      <c r="J58" s="10"/>
      <c r="K58" s="10"/>
      <c r="L58" s="10"/>
      <c r="M58" s="10"/>
      <c r="N58" s="10"/>
      <c r="O58" s="10"/>
      <c r="P58" s="13" t="s">
        <v>227</v>
      </c>
      <c r="Q58" s="11"/>
      <c r="R58" s="11"/>
      <c r="S58" s="11"/>
      <c r="T58" s="11" t="s">
        <v>228</v>
      </c>
      <c r="U58" s="11" t="s">
        <v>14</v>
      </c>
      <c r="V58" s="11" t="s">
        <v>21</v>
      </c>
      <c r="W58" s="13" t="s">
        <v>227</v>
      </c>
      <c r="X58" s="11" t="s">
        <v>229</v>
      </c>
      <c r="Y58" s="11" t="s">
        <v>14</v>
      </c>
      <c r="Z58" s="11" t="s">
        <v>21</v>
      </c>
      <c r="AA58" s="10"/>
      <c r="AB58" s="10"/>
      <c r="AC58" s="10"/>
      <c r="AD58" s="13" t="s">
        <v>227</v>
      </c>
      <c r="AE58" s="11"/>
      <c r="AF58" s="11"/>
      <c r="AG58" s="11" t="s">
        <v>29</v>
      </c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4">
        <f t="shared" si="6"/>
        <v>2</v>
      </c>
      <c r="AS58" s="14">
        <f t="shared" si="7"/>
        <v>0</v>
      </c>
      <c r="AT58" s="14">
        <f t="shared" si="8"/>
        <v>0</v>
      </c>
      <c r="AU58" s="14">
        <f t="shared" si="9"/>
        <v>0</v>
      </c>
      <c r="AV58" s="14">
        <f t="shared" si="10"/>
        <v>0</v>
      </c>
      <c r="AW58" s="10"/>
    </row>
    <row r="59">
      <c r="A59" s="9">
        <v>20.0</v>
      </c>
      <c r="B59" s="15" t="s">
        <v>135</v>
      </c>
      <c r="C59" s="11" t="s">
        <v>230</v>
      </c>
      <c r="D59" s="11" t="s">
        <v>14</v>
      </c>
      <c r="E59" s="11" t="s">
        <v>21</v>
      </c>
      <c r="F59" s="10"/>
      <c r="G59" s="10"/>
      <c r="H59" s="11"/>
      <c r="I59" s="15" t="s">
        <v>135</v>
      </c>
      <c r="J59" s="10"/>
      <c r="K59" s="10"/>
      <c r="L59" s="11"/>
      <c r="M59" s="10"/>
      <c r="N59" s="10"/>
      <c r="O59" s="11"/>
      <c r="P59" s="15" t="s">
        <v>135</v>
      </c>
      <c r="Q59" s="11"/>
      <c r="R59" s="11"/>
      <c r="S59" s="11"/>
      <c r="T59" s="11" t="s">
        <v>231</v>
      </c>
      <c r="U59" s="11" t="s">
        <v>14</v>
      </c>
      <c r="V59" s="11" t="s">
        <v>21</v>
      </c>
      <c r="W59" s="15" t="s">
        <v>135</v>
      </c>
      <c r="X59" s="11" t="s">
        <v>232</v>
      </c>
      <c r="Y59" s="11" t="s">
        <v>14</v>
      </c>
      <c r="Z59" s="11" t="s">
        <v>21</v>
      </c>
      <c r="AA59" s="10"/>
      <c r="AB59" s="10"/>
      <c r="AC59" s="11"/>
      <c r="AD59" s="15" t="s">
        <v>135</v>
      </c>
      <c r="AE59" s="10"/>
      <c r="AF59" s="10"/>
      <c r="AG59" s="11"/>
      <c r="AH59" s="11" t="s">
        <v>233</v>
      </c>
      <c r="AI59" s="11" t="s">
        <v>14</v>
      </c>
      <c r="AJ59" s="11" t="s">
        <v>23</v>
      </c>
      <c r="AK59" s="15" t="s">
        <v>135</v>
      </c>
      <c r="AL59" s="11" t="s">
        <v>234</v>
      </c>
      <c r="AM59" s="11" t="s">
        <v>14</v>
      </c>
      <c r="AN59" s="11" t="s">
        <v>23</v>
      </c>
      <c r="AO59" s="10"/>
      <c r="AP59" s="10"/>
      <c r="AQ59" s="11"/>
      <c r="AR59" s="14">
        <f t="shared" si="6"/>
        <v>5</v>
      </c>
      <c r="AS59" s="14">
        <f t="shared" si="7"/>
        <v>0</v>
      </c>
      <c r="AT59" s="14">
        <f t="shared" si="8"/>
        <v>0</v>
      </c>
      <c r="AU59" s="14">
        <f t="shared" si="9"/>
        <v>0</v>
      </c>
      <c r="AV59" s="14">
        <f t="shared" si="10"/>
        <v>0</v>
      </c>
      <c r="AW59" s="15" t="s">
        <v>135</v>
      </c>
    </row>
    <row r="60">
      <c r="A60" s="18">
        <v>21.0</v>
      </c>
      <c r="B60" s="13" t="s">
        <v>138</v>
      </c>
      <c r="C60" s="10"/>
      <c r="D60" s="11"/>
      <c r="E60" s="11"/>
      <c r="F60" s="10"/>
      <c r="G60" s="10"/>
      <c r="H60" s="11"/>
      <c r="I60" s="13" t="s">
        <v>138</v>
      </c>
      <c r="J60" s="10"/>
      <c r="K60" s="10"/>
      <c r="L60" s="11"/>
      <c r="M60" s="10"/>
      <c r="N60" s="10"/>
      <c r="O60" s="11"/>
      <c r="P60" s="13" t="s">
        <v>138</v>
      </c>
      <c r="Q60" s="10"/>
      <c r="R60" s="11"/>
      <c r="S60" s="11"/>
      <c r="T60" s="10"/>
      <c r="U60" s="11" t="s">
        <v>18</v>
      </c>
      <c r="V60" s="11"/>
      <c r="W60" s="13" t="s">
        <v>138</v>
      </c>
      <c r="X60" s="11" t="s">
        <v>235</v>
      </c>
      <c r="Y60" s="11" t="s">
        <v>14</v>
      </c>
      <c r="Z60" s="11" t="s">
        <v>21</v>
      </c>
      <c r="AA60" s="10"/>
      <c r="AB60" s="10"/>
      <c r="AC60" s="11"/>
      <c r="AD60" s="13" t="s">
        <v>138</v>
      </c>
      <c r="AE60" s="10"/>
      <c r="AF60" s="10"/>
      <c r="AG60" s="11"/>
      <c r="AH60" s="11" t="s">
        <v>236</v>
      </c>
      <c r="AI60" s="11" t="s">
        <v>14</v>
      </c>
      <c r="AJ60" s="11" t="s">
        <v>23</v>
      </c>
      <c r="AK60" s="13" t="s">
        <v>138</v>
      </c>
      <c r="AL60" s="11" t="s">
        <v>237</v>
      </c>
      <c r="AM60" s="11" t="s">
        <v>14</v>
      </c>
      <c r="AN60" s="11" t="s">
        <v>23</v>
      </c>
      <c r="AO60" s="10"/>
      <c r="AP60" s="10"/>
      <c r="AQ60" s="11"/>
      <c r="AR60" s="14">
        <f t="shared" si="6"/>
        <v>3</v>
      </c>
      <c r="AS60" s="14">
        <f t="shared" si="7"/>
        <v>0</v>
      </c>
      <c r="AT60" s="14">
        <f t="shared" si="8"/>
        <v>0</v>
      </c>
      <c r="AU60" s="14">
        <f t="shared" si="9"/>
        <v>0</v>
      </c>
      <c r="AV60" s="14">
        <f t="shared" si="10"/>
        <v>1</v>
      </c>
      <c r="AW60" s="13" t="s">
        <v>138</v>
      </c>
    </row>
    <row r="61">
      <c r="A61" s="9">
        <v>22.0</v>
      </c>
      <c r="B61" s="13" t="s">
        <v>139</v>
      </c>
      <c r="C61" s="10"/>
      <c r="D61" s="11"/>
      <c r="E61" s="11"/>
      <c r="F61" s="10"/>
      <c r="G61" s="10"/>
      <c r="H61" s="11"/>
      <c r="I61" s="13" t="s">
        <v>139</v>
      </c>
      <c r="J61" s="10"/>
      <c r="K61" s="10"/>
      <c r="L61" s="11"/>
      <c r="M61" s="10"/>
      <c r="N61" s="10"/>
      <c r="O61" s="11"/>
      <c r="P61" s="13" t="s">
        <v>139</v>
      </c>
      <c r="Q61" s="10"/>
      <c r="R61" s="11"/>
      <c r="S61" s="11"/>
      <c r="T61" s="10"/>
      <c r="U61" s="11" t="s">
        <v>18</v>
      </c>
      <c r="V61" s="11"/>
      <c r="W61" s="13" t="s">
        <v>139</v>
      </c>
      <c r="X61" s="11" t="s">
        <v>238</v>
      </c>
      <c r="Y61" s="11" t="s">
        <v>14</v>
      </c>
      <c r="Z61" s="11" t="s">
        <v>21</v>
      </c>
      <c r="AA61" s="10"/>
      <c r="AB61" s="10"/>
      <c r="AC61" s="11"/>
      <c r="AD61" s="13" t="s">
        <v>139</v>
      </c>
      <c r="AE61" s="11" t="s">
        <v>239</v>
      </c>
      <c r="AF61" s="11" t="s">
        <v>14</v>
      </c>
      <c r="AG61" s="11" t="s">
        <v>29</v>
      </c>
      <c r="AH61" s="10"/>
      <c r="AI61" s="10"/>
      <c r="AJ61" s="11"/>
      <c r="AK61" s="13" t="s">
        <v>139</v>
      </c>
      <c r="AL61" s="10"/>
      <c r="AM61" s="10"/>
      <c r="AN61" s="11"/>
      <c r="AO61" s="10"/>
      <c r="AP61" s="10"/>
      <c r="AQ61" s="11"/>
      <c r="AR61" s="14">
        <f t="shared" si="6"/>
        <v>2</v>
      </c>
      <c r="AS61" s="14">
        <f t="shared" si="7"/>
        <v>0</v>
      </c>
      <c r="AT61" s="14">
        <f t="shared" si="8"/>
        <v>0</v>
      </c>
      <c r="AU61" s="14">
        <f t="shared" si="9"/>
        <v>0</v>
      </c>
      <c r="AV61" s="14">
        <f t="shared" si="10"/>
        <v>1</v>
      </c>
      <c r="AW61" s="13" t="s">
        <v>139</v>
      </c>
    </row>
    <row r="62">
      <c r="A62" s="18">
        <v>23.0</v>
      </c>
      <c r="B62" s="13" t="s">
        <v>141</v>
      </c>
      <c r="C62" s="10"/>
      <c r="D62" s="11"/>
      <c r="E62" s="11"/>
      <c r="F62" s="10"/>
      <c r="G62" s="10"/>
      <c r="H62" s="11"/>
      <c r="I62" s="13" t="s">
        <v>141</v>
      </c>
      <c r="J62" s="10"/>
      <c r="K62" s="10"/>
      <c r="L62" s="11"/>
      <c r="M62" s="10"/>
      <c r="N62" s="10"/>
      <c r="O62" s="11"/>
      <c r="P62" s="13" t="s">
        <v>141</v>
      </c>
      <c r="Q62" s="10"/>
      <c r="R62" s="10"/>
      <c r="S62" s="11"/>
      <c r="T62" s="10"/>
      <c r="U62" s="10"/>
      <c r="V62" s="11"/>
      <c r="W62" s="13" t="s">
        <v>141</v>
      </c>
      <c r="X62" s="11" t="s">
        <v>240</v>
      </c>
      <c r="Y62" s="11" t="s">
        <v>14</v>
      </c>
      <c r="Z62" s="11" t="s">
        <v>21</v>
      </c>
      <c r="AA62" s="10"/>
      <c r="AB62" s="10"/>
      <c r="AC62" s="11"/>
      <c r="AD62" s="13" t="s">
        <v>141</v>
      </c>
      <c r="AE62" s="11" t="s">
        <v>241</v>
      </c>
      <c r="AF62" s="11" t="s">
        <v>14</v>
      </c>
      <c r="AG62" s="11" t="s">
        <v>29</v>
      </c>
      <c r="AH62" s="10"/>
      <c r="AI62" s="10"/>
      <c r="AJ62" s="11"/>
      <c r="AK62" s="13" t="s">
        <v>141</v>
      </c>
      <c r="AL62" s="11" t="s">
        <v>242</v>
      </c>
      <c r="AM62" s="11" t="s">
        <v>14</v>
      </c>
      <c r="AN62" s="11" t="s">
        <v>23</v>
      </c>
      <c r="AO62" s="10"/>
      <c r="AP62" s="10"/>
      <c r="AQ62" s="11"/>
      <c r="AR62" s="14">
        <f t="shared" si="6"/>
        <v>3</v>
      </c>
      <c r="AS62" s="14">
        <f t="shared" si="7"/>
        <v>0</v>
      </c>
      <c r="AT62" s="14">
        <f t="shared" si="8"/>
        <v>0</v>
      </c>
      <c r="AU62" s="14">
        <f t="shared" si="9"/>
        <v>0</v>
      </c>
      <c r="AV62" s="14">
        <f t="shared" si="10"/>
        <v>0</v>
      </c>
      <c r="AW62" s="13" t="s">
        <v>141</v>
      </c>
    </row>
    <row r="63">
      <c r="A63" s="9">
        <v>24.0</v>
      </c>
      <c r="B63" s="13" t="s">
        <v>142</v>
      </c>
      <c r="C63" s="10"/>
      <c r="D63" s="11"/>
      <c r="E63" s="11"/>
      <c r="F63" s="10"/>
      <c r="G63" s="10"/>
      <c r="H63" s="11"/>
      <c r="I63" s="13" t="s">
        <v>142</v>
      </c>
      <c r="J63" s="10"/>
      <c r="K63" s="10"/>
      <c r="L63" s="11"/>
      <c r="M63" s="10"/>
      <c r="N63" s="10"/>
      <c r="O63" s="11"/>
      <c r="P63" s="13" t="s">
        <v>142</v>
      </c>
      <c r="Q63" s="10"/>
      <c r="R63" s="10"/>
      <c r="S63" s="11"/>
      <c r="T63" s="10"/>
      <c r="U63" s="11" t="s">
        <v>14</v>
      </c>
      <c r="V63" s="11"/>
      <c r="W63" s="13" t="s">
        <v>142</v>
      </c>
      <c r="X63" s="11"/>
      <c r="Y63" s="11"/>
      <c r="Z63" s="11"/>
      <c r="AA63" s="10"/>
      <c r="AB63" s="10"/>
      <c r="AC63" s="11"/>
      <c r="AD63" s="13" t="s">
        <v>142</v>
      </c>
      <c r="AE63" s="10"/>
      <c r="AF63" s="10"/>
      <c r="AG63" s="11"/>
      <c r="AH63" s="10"/>
      <c r="AI63" s="10"/>
      <c r="AJ63" s="11"/>
      <c r="AK63" s="13" t="s">
        <v>142</v>
      </c>
      <c r="AL63" s="10"/>
      <c r="AM63" s="10"/>
      <c r="AN63" s="11"/>
      <c r="AO63" s="10"/>
      <c r="AP63" s="10"/>
      <c r="AQ63" s="11"/>
      <c r="AR63" s="14">
        <f t="shared" si="6"/>
        <v>1</v>
      </c>
      <c r="AS63" s="14">
        <f t="shared" si="7"/>
        <v>0</v>
      </c>
      <c r="AT63" s="14">
        <f t="shared" si="8"/>
        <v>0</v>
      </c>
      <c r="AU63" s="14">
        <f t="shared" si="9"/>
        <v>0</v>
      </c>
      <c r="AV63" s="14">
        <f t="shared" si="10"/>
        <v>0</v>
      </c>
      <c r="AW63" s="13" t="s">
        <v>142</v>
      </c>
    </row>
    <row r="64">
      <c r="A64" s="18">
        <v>25.0</v>
      </c>
      <c r="B64" s="13" t="s">
        <v>143</v>
      </c>
      <c r="C64" s="10"/>
      <c r="D64" s="11"/>
      <c r="E64" s="11"/>
      <c r="F64" s="10"/>
      <c r="G64" s="10"/>
      <c r="H64" s="11"/>
      <c r="I64" s="13" t="s">
        <v>143</v>
      </c>
      <c r="J64" s="10"/>
      <c r="K64" s="10"/>
      <c r="L64" s="11"/>
      <c r="M64" s="10"/>
      <c r="N64" s="10"/>
      <c r="O64" s="11"/>
      <c r="P64" s="13" t="s">
        <v>143</v>
      </c>
      <c r="Q64" s="10"/>
      <c r="R64" s="10"/>
      <c r="S64" s="11"/>
      <c r="T64" s="10"/>
      <c r="U64" s="11" t="s">
        <v>18</v>
      </c>
      <c r="V64" s="11"/>
      <c r="W64" s="13" t="s">
        <v>143</v>
      </c>
      <c r="X64" s="22" t="s">
        <v>243</v>
      </c>
      <c r="Y64" s="11" t="s">
        <v>14</v>
      </c>
      <c r="Z64" s="11" t="s">
        <v>21</v>
      </c>
      <c r="AA64" s="10"/>
      <c r="AB64" s="10"/>
      <c r="AC64" s="11"/>
      <c r="AD64" s="13" t="s">
        <v>143</v>
      </c>
      <c r="AE64" s="10"/>
      <c r="AF64" s="10"/>
      <c r="AG64" s="11"/>
      <c r="AH64" s="10"/>
      <c r="AI64" s="10"/>
      <c r="AJ64" s="11"/>
      <c r="AK64" s="13" t="s">
        <v>143</v>
      </c>
      <c r="AL64" s="10"/>
      <c r="AM64" s="10"/>
      <c r="AN64" s="11"/>
      <c r="AO64" s="10"/>
      <c r="AP64" s="10"/>
      <c r="AQ64" s="11"/>
      <c r="AR64" s="14">
        <f t="shared" si="6"/>
        <v>1</v>
      </c>
      <c r="AS64" s="14">
        <f t="shared" si="7"/>
        <v>0</v>
      </c>
      <c r="AT64" s="14">
        <f t="shared" si="8"/>
        <v>0</v>
      </c>
      <c r="AU64" s="14">
        <f t="shared" si="9"/>
        <v>0</v>
      </c>
      <c r="AV64" s="14">
        <f t="shared" si="10"/>
        <v>1</v>
      </c>
      <c r="AW64" s="13" t="s">
        <v>143</v>
      </c>
    </row>
    <row r="65">
      <c r="R65" s="16"/>
      <c r="AR65" s="14">
        <f t="shared" si="6"/>
        <v>0</v>
      </c>
      <c r="AS65" s="14">
        <f t="shared" si="7"/>
        <v>0</v>
      </c>
      <c r="AT65" s="14">
        <f t="shared" si="8"/>
        <v>0</v>
      </c>
      <c r="AU65" s="14">
        <f t="shared" si="9"/>
        <v>0</v>
      </c>
      <c r="AV65" s="14">
        <f t="shared" si="10"/>
        <v>0</v>
      </c>
      <c r="AW65" s="14"/>
    </row>
    <row r="66">
      <c r="R66" s="16"/>
      <c r="AR66" s="14">
        <f t="shared" si="6"/>
        <v>0</v>
      </c>
      <c r="AS66" s="14">
        <f t="shared" si="7"/>
        <v>0</v>
      </c>
      <c r="AT66" s="14">
        <f t="shared" si="8"/>
        <v>0</v>
      </c>
      <c r="AU66" s="14">
        <f t="shared" si="9"/>
        <v>0</v>
      </c>
      <c r="AV66" s="14">
        <f t="shared" si="10"/>
        <v>0</v>
      </c>
      <c r="AW66" s="14"/>
    </row>
    <row r="67">
      <c r="R67" s="16"/>
    </row>
    <row r="68">
      <c r="R68" s="16"/>
    </row>
    <row r="69">
      <c r="A69" s="1" t="s">
        <v>0</v>
      </c>
      <c r="AQ69" s="1"/>
      <c r="AR69" s="1"/>
      <c r="AS69" s="1"/>
      <c r="AT69" s="1"/>
      <c r="AU69" s="1"/>
      <c r="AV69" s="1"/>
      <c r="AW69" s="1"/>
    </row>
    <row r="70">
      <c r="AQ70" s="1"/>
      <c r="AR70" s="1"/>
      <c r="AS70" s="1"/>
      <c r="AT70" s="1"/>
      <c r="AU70" s="1"/>
      <c r="AV70" s="1"/>
      <c r="AW70" s="1"/>
    </row>
    <row r="71">
      <c r="AQ71" s="1"/>
      <c r="AR71" s="1"/>
      <c r="AS71" s="1"/>
      <c r="AT71" s="1"/>
      <c r="AU71" s="1"/>
      <c r="AV71" s="1"/>
      <c r="AW71" s="1"/>
    </row>
    <row r="72">
      <c r="A72" s="2" t="s">
        <v>244</v>
      </c>
    </row>
    <row r="73">
      <c r="A73" s="3" t="s">
        <v>2</v>
      </c>
      <c r="B73" s="3" t="s">
        <v>3</v>
      </c>
      <c r="C73" s="17" t="s">
        <v>245</v>
      </c>
      <c r="I73" s="17"/>
      <c r="J73" s="17" t="s">
        <v>246</v>
      </c>
      <c r="P73" s="17"/>
      <c r="Q73" s="17" t="s">
        <v>247</v>
      </c>
      <c r="W73" s="17" t="s">
        <v>248</v>
      </c>
      <c r="AD73" s="17" t="s">
        <v>249</v>
      </c>
      <c r="AK73" s="17" t="s">
        <v>250</v>
      </c>
      <c r="AR73" s="5" t="s">
        <v>10</v>
      </c>
      <c r="AW73" s="5"/>
    </row>
    <row r="74">
      <c r="C74" s="6" t="s">
        <v>11</v>
      </c>
      <c r="E74" s="7" t="s">
        <v>12</v>
      </c>
      <c r="F74" s="6" t="s">
        <v>13</v>
      </c>
      <c r="H74" s="7" t="s">
        <v>12</v>
      </c>
      <c r="I74" s="6"/>
      <c r="J74" s="6" t="s">
        <v>11</v>
      </c>
      <c r="L74" s="7" t="s">
        <v>12</v>
      </c>
      <c r="M74" s="6" t="s">
        <v>13</v>
      </c>
      <c r="O74" s="7" t="s">
        <v>12</v>
      </c>
      <c r="P74" s="6"/>
      <c r="Q74" s="6" t="s">
        <v>11</v>
      </c>
      <c r="S74" s="7" t="s">
        <v>12</v>
      </c>
      <c r="T74" s="6" t="s">
        <v>13</v>
      </c>
      <c r="V74" s="7" t="s">
        <v>12</v>
      </c>
      <c r="W74" s="6"/>
      <c r="X74" s="6" t="s">
        <v>11</v>
      </c>
      <c r="Z74" s="7" t="s">
        <v>12</v>
      </c>
      <c r="AA74" s="6" t="s">
        <v>13</v>
      </c>
      <c r="AC74" s="7" t="s">
        <v>12</v>
      </c>
      <c r="AD74" s="6"/>
      <c r="AE74" s="6" t="s">
        <v>11</v>
      </c>
      <c r="AG74" s="7" t="s">
        <v>12</v>
      </c>
      <c r="AH74" s="6" t="s">
        <v>13</v>
      </c>
      <c r="AJ74" s="7" t="s">
        <v>12</v>
      </c>
      <c r="AK74" s="6"/>
      <c r="AL74" s="6" t="s">
        <v>11</v>
      </c>
      <c r="AN74" s="7" t="s">
        <v>12</v>
      </c>
      <c r="AO74" s="6" t="s">
        <v>13</v>
      </c>
      <c r="AQ74" s="7" t="s">
        <v>12</v>
      </c>
      <c r="AR74" s="8" t="s">
        <v>14</v>
      </c>
      <c r="AS74" s="8" t="s">
        <v>15</v>
      </c>
      <c r="AT74" s="8" t="s">
        <v>16</v>
      </c>
      <c r="AU74" s="8" t="s">
        <v>17</v>
      </c>
      <c r="AV74" s="8" t="s">
        <v>18</v>
      </c>
      <c r="AW74" s="8"/>
    </row>
    <row r="75">
      <c r="A75" s="18">
        <v>1.0</v>
      </c>
      <c r="B75" s="10" t="s">
        <v>87</v>
      </c>
      <c r="D75" s="10"/>
      <c r="E75" s="11"/>
      <c r="G75" s="10"/>
      <c r="H75" s="11"/>
      <c r="I75" s="10" t="s">
        <v>87</v>
      </c>
      <c r="K75" s="10"/>
      <c r="L75" s="11"/>
      <c r="N75" s="10"/>
      <c r="O75" s="11"/>
      <c r="P75" s="10" t="s">
        <v>87</v>
      </c>
      <c r="R75" s="10"/>
      <c r="S75" s="11"/>
      <c r="U75" s="10"/>
      <c r="V75" s="11"/>
      <c r="W75" s="10" t="s">
        <v>87</v>
      </c>
      <c r="Y75" s="11" t="s">
        <v>15</v>
      </c>
      <c r="Z75" s="11"/>
      <c r="AB75" s="10"/>
      <c r="AC75" s="11"/>
      <c r="AD75" s="10" t="s">
        <v>87</v>
      </c>
      <c r="AF75" s="11" t="s">
        <v>15</v>
      </c>
      <c r="AG75" s="11"/>
      <c r="AI75" s="11" t="s">
        <v>251</v>
      </c>
      <c r="AJ75" s="11"/>
      <c r="AK75" s="10" t="s">
        <v>87</v>
      </c>
      <c r="AM75" s="11" t="s">
        <v>14</v>
      </c>
      <c r="AN75" s="11"/>
      <c r="AP75" s="10"/>
      <c r="AQ75" s="11"/>
    </row>
    <row r="76">
      <c r="A76" s="9">
        <v>2.0</v>
      </c>
      <c r="B76" s="10" t="s">
        <v>19</v>
      </c>
      <c r="D76" s="10"/>
      <c r="E76" s="11"/>
      <c r="G76" s="10"/>
      <c r="H76" s="11"/>
      <c r="I76" s="10" t="s">
        <v>19</v>
      </c>
      <c r="K76" s="10"/>
      <c r="L76" s="11"/>
      <c r="N76" s="10"/>
      <c r="O76" s="11"/>
      <c r="P76" s="10" t="s">
        <v>19</v>
      </c>
      <c r="R76" s="10"/>
      <c r="S76" s="11"/>
      <c r="U76" s="10"/>
      <c r="V76" s="11"/>
      <c r="W76" s="10" t="s">
        <v>19</v>
      </c>
      <c r="Y76" s="10"/>
      <c r="Z76" s="11"/>
      <c r="AB76" s="10"/>
      <c r="AC76" s="11"/>
      <c r="AD76" s="10" t="s">
        <v>19</v>
      </c>
      <c r="AF76" s="10"/>
      <c r="AG76" s="11"/>
      <c r="AI76" s="11" t="s">
        <v>251</v>
      </c>
      <c r="AJ76" s="11"/>
      <c r="AK76" s="10" t="s">
        <v>19</v>
      </c>
      <c r="AM76" s="11" t="s">
        <v>251</v>
      </c>
      <c r="AN76" s="11"/>
      <c r="AP76" s="10"/>
      <c r="AQ76" s="11"/>
    </row>
    <row r="77">
      <c r="A77" s="18">
        <v>3.0</v>
      </c>
      <c r="B77" s="10" t="s">
        <v>75</v>
      </c>
      <c r="C77" s="20" t="s">
        <v>252</v>
      </c>
      <c r="D77" s="11" t="s">
        <v>14</v>
      </c>
      <c r="E77" s="11" t="s">
        <v>29</v>
      </c>
      <c r="F77" s="20" t="s">
        <v>253</v>
      </c>
      <c r="G77" s="11" t="s">
        <v>14</v>
      </c>
      <c r="H77" s="11" t="s">
        <v>29</v>
      </c>
      <c r="I77" s="10" t="s">
        <v>75</v>
      </c>
      <c r="J77" s="20" t="s">
        <v>254</v>
      </c>
      <c r="K77" s="11" t="s">
        <v>14</v>
      </c>
      <c r="L77" s="11" t="s">
        <v>21</v>
      </c>
      <c r="N77" s="10"/>
      <c r="O77" s="11"/>
      <c r="P77" s="10" t="s">
        <v>75</v>
      </c>
      <c r="Q77" s="20" t="s">
        <v>255</v>
      </c>
      <c r="R77" s="11" t="s">
        <v>14</v>
      </c>
      <c r="S77" s="11" t="s">
        <v>29</v>
      </c>
      <c r="U77" s="10"/>
      <c r="V77" s="11"/>
      <c r="W77" s="10" t="s">
        <v>75</v>
      </c>
      <c r="Y77" s="10"/>
      <c r="Z77" s="11"/>
      <c r="AA77" s="20" t="s">
        <v>256</v>
      </c>
      <c r="AB77" s="11" t="s">
        <v>14</v>
      </c>
      <c r="AC77" s="11" t="s">
        <v>29</v>
      </c>
      <c r="AD77" s="10" t="s">
        <v>75</v>
      </c>
      <c r="AE77" s="20" t="s">
        <v>257</v>
      </c>
      <c r="AF77" s="11" t="s">
        <v>14</v>
      </c>
      <c r="AG77" s="11" t="s">
        <v>21</v>
      </c>
      <c r="AI77" s="11" t="s">
        <v>18</v>
      </c>
      <c r="AJ77" s="11"/>
      <c r="AK77" s="10" t="s">
        <v>75</v>
      </c>
      <c r="AL77" s="20" t="s">
        <v>258</v>
      </c>
      <c r="AM77" s="11" t="s">
        <v>14</v>
      </c>
      <c r="AN77" s="11" t="s">
        <v>21</v>
      </c>
      <c r="AO77" s="19" t="s">
        <v>259</v>
      </c>
      <c r="AP77" s="11" t="s">
        <v>14</v>
      </c>
      <c r="AQ77" s="11" t="s">
        <v>29</v>
      </c>
    </row>
    <row r="78">
      <c r="A78" s="9">
        <v>4.0</v>
      </c>
      <c r="B78" s="10" t="s">
        <v>49</v>
      </c>
      <c r="D78" s="11" t="s">
        <v>15</v>
      </c>
      <c r="E78" s="11"/>
      <c r="G78" s="11" t="s">
        <v>15</v>
      </c>
      <c r="H78" s="11"/>
      <c r="I78" s="10" t="s">
        <v>49</v>
      </c>
      <c r="K78" s="10"/>
      <c r="L78" s="11"/>
      <c r="N78" s="10"/>
      <c r="O78" s="11"/>
      <c r="P78" s="10" t="s">
        <v>49</v>
      </c>
      <c r="R78" s="10"/>
      <c r="S78" s="11"/>
      <c r="U78" s="10"/>
      <c r="V78" s="11"/>
      <c r="W78" s="10" t="s">
        <v>49</v>
      </c>
      <c r="Y78" s="10"/>
      <c r="Z78" s="11"/>
      <c r="AB78" s="11" t="s">
        <v>15</v>
      </c>
      <c r="AC78" s="11"/>
      <c r="AD78" s="10" t="s">
        <v>49</v>
      </c>
      <c r="AF78" s="10"/>
      <c r="AG78" s="11"/>
      <c r="AI78" s="11" t="s">
        <v>251</v>
      </c>
      <c r="AJ78" s="11"/>
      <c r="AK78" s="10" t="s">
        <v>49</v>
      </c>
      <c r="AM78" s="11" t="s">
        <v>251</v>
      </c>
      <c r="AN78" s="11"/>
      <c r="AP78" s="10"/>
      <c r="AQ78" s="11"/>
    </row>
    <row r="79">
      <c r="A79" s="18">
        <v>5.0</v>
      </c>
      <c r="B79" s="10" t="s">
        <v>122</v>
      </c>
      <c r="C79" s="20" t="s">
        <v>260</v>
      </c>
      <c r="D79" s="11" t="s">
        <v>14</v>
      </c>
      <c r="E79" s="11" t="s">
        <v>29</v>
      </c>
      <c r="F79" s="20" t="s">
        <v>261</v>
      </c>
      <c r="G79" s="11" t="s">
        <v>14</v>
      </c>
      <c r="H79" s="11" t="s">
        <v>29</v>
      </c>
      <c r="I79" s="10" t="s">
        <v>122</v>
      </c>
      <c r="J79" s="20" t="s">
        <v>262</v>
      </c>
      <c r="K79" s="11" t="s">
        <v>14</v>
      </c>
      <c r="L79" s="11" t="s">
        <v>21</v>
      </c>
      <c r="N79" s="10"/>
      <c r="O79" s="11"/>
      <c r="P79" s="10" t="s">
        <v>122</v>
      </c>
      <c r="Q79" s="23" t="s">
        <v>263</v>
      </c>
      <c r="R79" s="11" t="s">
        <v>14</v>
      </c>
      <c r="S79" s="11" t="s">
        <v>27</v>
      </c>
      <c r="U79" s="10"/>
      <c r="V79" s="11"/>
      <c r="W79" s="10" t="s">
        <v>122</v>
      </c>
      <c r="Y79" s="11" t="s">
        <v>17</v>
      </c>
      <c r="Z79" s="11"/>
      <c r="AA79" s="20" t="s">
        <v>264</v>
      </c>
      <c r="AB79" s="11" t="s">
        <v>14</v>
      </c>
      <c r="AC79" s="11" t="s">
        <v>29</v>
      </c>
      <c r="AD79" s="10" t="s">
        <v>122</v>
      </c>
      <c r="AE79" s="20" t="s">
        <v>265</v>
      </c>
      <c r="AF79" s="11" t="s">
        <v>14</v>
      </c>
      <c r="AG79" s="11" t="s">
        <v>21</v>
      </c>
      <c r="AI79" s="11" t="s">
        <v>18</v>
      </c>
      <c r="AJ79" s="11"/>
      <c r="AK79" s="10" t="s">
        <v>122</v>
      </c>
      <c r="AL79" s="20" t="s">
        <v>266</v>
      </c>
      <c r="AM79" s="11" t="s">
        <v>14</v>
      </c>
      <c r="AN79" s="11" t="s">
        <v>21</v>
      </c>
      <c r="AO79" s="19" t="s">
        <v>267</v>
      </c>
      <c r="AP79" s="11" t="s">
        <v>14</v>
      </c>
      <c r="AQ79" s="11" t="s">
        <v>29</v>
      </c>
    </row>
    <row r="80">
      <c r="A80" s="9">
        <v>6.0</v>
      </c>
      <c r="B80" s="10" t="s">
        <v>70</v>
      </c>
      <c r="C80" s="20" t="s">
        <v>268</v>
      </c>
      <c r="D80" s="11" t="s">
        <v>14</v>
      </c>
      <c r="E80" s="11" t="s">
        <v>29</v>
      </c>
      <c r="F80" s="20" t="s">
        <v>269</v>
      </c>
      <c r="G80" s="11" t="s">
        <v>14</v>
      </c>
      <c r="H80" s="11" t="s">
        <v>29</v>
      </c>
      <c r="I80" s="10" t="s">
        <v>70</v>
      </c>
      <c r="J80" s="20" t="s">
        <v>270</v>
      </c>
      <c r="K80" s="11" t="s">
        <v>14</v>
      </c>
      <c r="L80" s="11" t="s">
        <v>23</v>
      </c>
      <c r="N80" s="11"/>
      <c r="O80" s="11"/>
      <c r="P80" s="10" t="s">
        <v>70</v>
      </c>
      <c r="R80" s="11" t="s">
        <v>16</v>
      </c>
      <c r="S80" s="11"/>
      <c r="U80" s="11"/>
      <c r="V80" s="11"/>
      <c r="W80" s="10" t="s">
        <v>70</v>
      </c>
      <c r="X80" s="19" t="s">
        <v>271</v>
      </c>
      <c r="Y80" s="11" t="s">
        <v>14</v>
      </c>
      <c r="Z80" s="11" t="s">
        <v>27</v>
      </c>
      <c r="AA80" s="20" t="s">
        <v>272</v>
      </c>
      <c r="AB80" s="11" t="s">
        <v>14</v>
      </c>
      <c r="AC80" s="11" t="s">
        <v>29</v>
      </c>
      <c r="AD80" s="10" t="s">
        <v>70</v>
      </c>
      <c r="AF80" s="11" t="s">
        <v>16</v>
      </c>
      <c r="AG80" s="11"/>
      <c r="AH80" s="20" t="s">
        <v>273</v>
      </c>
      <c r="AI80" s="11" t="s">
        <v>14</v>
      </c>
      <c r="AJ80" s="11"/>
      <c r="AK80" s="10" t="s">
        <v>70</v>
      </c>
      <c r="AM80" s="11"/>
      <c r="AN80" s="11"/>
      <c r="AO80" s="19" t="s">
        <v>274</v>
      </c>
      <c r="AP80" s="11" t="s">
        <v>14</v>
      </c>
      <c r="AQ80" s="11" t="s">
        <v>29</v>
      </c>
    </row>
    <row r="81">
      <c r="A81" s="18">
        <v>7.0</v>
      </c>
      <c r="B81" s="10" t="s">
        <v>50</v>
      </c>
      <c r="D81" s="10"/>
      <c r="E81" s="11"/>
      <c r="G81" s="10"/>
      <c r="H81" s="11"/>
      <c r="I81" s="10" t="s">
        <v>50</v>
      </c>
      <c r="J81" s="20" t="s">
        <v>275</v>
      </c>
      <c r="K81" s="11" t="s">
        <v>14</v>
      </c>
      <c r="L81" s="11" t="s">
        <v>21</v>
      </c>
      <c r="N81" s="10"/>
      <c r="O81" s="11"/>
      <c r="P81" s="10" t="s">
        <v>50</v>
      </c>
      <c r="Q81" s="20" t="s">
        <v>276</v>
      </c>
      <c r="R81" s="11" t="s">
        <v>14</v>
      </c>
      <c r="S81" s="11" t="s">
        <v>29</v>
      </c>
      <c r="U81" s="10"/>
      <c r="V81" s="11"/>
      <c r="W81" s="10" t="s">
        <v>50</v>
      </c>
      <c r="Y81" s="10"/>
      <c r="Z81" s="11"/>
      <c r="AA81" s="20" t="s">
        <v>277</v>
      </c>
      <c r="AB81" s="11" t="s">
        <v>14</v>
      </c>
      <c r="AC81" s="11" t="s">
        <v>29</v>
      </c>
      <c r="AD81" s="10" t="s">
        <v>50</v>
      </c>
      <c r="AF81" s="11" t="s">
        <v>16</v>
      </c>
      <c r="AG81" s="11"/>
      <c r="AH81" s="20" t="s">
        <v>278</v>
      </c>
      <c r="AI81" s="11" t="s">
        <v>14</v>
      </c>
      <c r="AJ81" s="11" t="s">
        <v>23</v>
      </c>
      <c r="AK81" s="10" t="s">
        <v>50</v>
      </c>
      <c r="AL81" s="20" t="s">
        <v>279</v>
      </c>
      <c r="AM81" s="11" t="s">
        <v>14</v>
      </c>
      <c r="AN81" s="11" t="s">
        <v>21</v>
      </c>
      <c r="AP81" s="10"/>
      <c r="AQ81" s="11"/>
    </row>
    <row r="82">
      <c r="A82" s="9">
        <v>8.0</v>
      </c>
      <c r="B82" s="10" t="s">
        <v>90</v>
      </c>
      <c r="C82" s="20" t="s">
        <v>41</v>
      </c>
      <c r="D82" s="11" t="s">
        <v>14</v>
      </c>
      <c r="E82" s="11" t="s">
        <v>29</v>
      </c>
      <c r="F82" s="20" t="s">
        <v>280</v>
      </c>
      <c r="G82" s="11" t="s">
        <v>14</v>
      </c>
      <c r="H82" s="11" t="s">
        <v>29</v>
      </c>
      <c r="I82" s="10" t="s">
        <v>90</v>
      </c>
      <c r="J82" s="20" t="s">
        <v>163</v>
      </c>
      <c r="K82" s="11" t="s">
        <v>14</v>
      </c>
      <c r="L82" s="11" t="s">
        <v>21</v>
      </c>
      <c r="N82" s="10"/>
      <c r="O82" s="11"/>
      <c r="P82" s="10" t="s">
        <v>90</v>
      </c>
      <c r="Q82" s="20" t="s">
        <v>281</v>
      </c>
      <c r="R82" s="11" t="s">
        <v>14</v>
      </c>
      <c r="S82" s="11" t="s">
        <v>29</v>
      </c>
      <c r="U82" s="10"/>
      <c r="V82" s="11"/>
      <c r="W82" s="10" t="s">
        <v>90</v>
      </c>
      <c r="Y82" s="10"/>
      <c r="Z82" s="11"/>
      <c r="AB82" s="10"/>
      <c r="AC82" s="11"/>
      <c r="AD82" s="10" t="s">
        <v>90</v>
      </c>
      <c r="AE82" s="20" t="s">
        <v>282</v>
      </c>
      <c r="AF82" s="11" t="s">
        <v>14</v>
      </c>
      <c r="AG82" s="11" t="s">
        <v>21</v>
      </c>
      <c r="AI82" s="10"/>
      <c r="AJ82" s="11"/>
      <c r="AK82" s="10" t="s">
        <v>90</v>
      </c>
      <c r="AM82" s="11" t="s">
        <v>283</v>
      </c>
      <c r="AN82" s="11"/>
      <c r="AP82" s="10"/>
      <c r="AQ82" s="11"/>
    </row>
    <row r="83">
      <c r="A83" s="18">
        <v>9.0</v>
      </c>
      <c r="B83" s="10" t="s">
        <v>83</v>
      </c>
      <c r="D83" s="10"/>
      <c r="E83" s="11"/>
      <c r="G83" s="10"/>
      <c r="H83" s="11"/>
      <c r="I83" s="10" t="s">
        <v>83</v>
      </c>
      <c r="J83" s="20" t="s">
        <v>284</v>
      </c>
      <c r="K83" s="11" t="s">
        <v>14</v>
      </c>
      <c r="L83" s="11" t="s">
        <v>21</v>
      </c>
      <c r="N83" s="10"/>
      <c r="O83" s="11"/>
      <c r="P83" s="10" t="s">
        <v>83</v>
      </c>
      <c r="Q83" s="20" t="s">
        <v>285</v>
      </c>
      <c r="R83" s="11" t="s">
        <v>14</v>
      </c>
      <c r="S83" s="11" t="s">
        <v>29</v>
      </c>
      <c r="U83" s="10"/>
      <c r="V83" s="11"/>
      <c r="W83" s="10" t="s">
        <v>83</v>
      </c>
      <c r="Y83" s="10"/>
      <c r="Z83" s="11"/>
      <c r="AA83" s="20" t="s">
        <v>286</v>
      </c>
      <c r="AB83" s="11" t="s">
        <v>14</v>
      </c>
      <c r="AC83" s="11" t="s">
        <v>29</v>
      </c>
      <c r="AD83" s="10" t="s">
        <v>83</v>
      </c>
      <c r="AE83" s="20" t="s">
        <v>287</v>
      </c>
      <c r="AF83" s="11" t="s">
        <v>14</v>
      </c>
      <c r="AG83" s="11" t="s">
        <v>21</v>
      </c>
      <c r="AI83" s="11" t="s">
        <v>18</v>
      </c>
      <c r="AJ83" s="11"/>
      <c r="AK83" s="10" t="s">
        <v>83</v>
      </c>
      <c r="AL83" s="20" t="s">
        <v>288</v>
      </c>
      <c r="AM83" s="11" t="s">
        <v>14</v>
      </c>
      <c r="AN83" s="11"/>
      <c r="AP83" s="10"/>
      <c r="AQ83" s="11"/>
    </row>
    <row r="84">
      <c r="A84" s="9">
        <v>10.0</v>
      </c>
      <c r="B84" s="10" t="s">
        <v>39</v>
      </c>
      <c r="D84" s="11" t="s">
        <v>16</v>
      </c>
      <c r="E84" s="11"/>
      <c r="G84" s="11" t="s">
        <v>16</v>
      </c>
      <c r="H84" s="11"/>
      <c r="I84" s="10" t="s">
        <v>39</v>
      </c>
      <c r="J84" s="20" t="s">
        <v>289</v>
      </c>
      <c r="K84" s="11" t="s">
        <v>14</v>
      </c>
      <c r="L84" s="11" t="s">
        <v>21</v>
      </c>
      <c r="N84" s="10"/>
      <c r="O84" s="11"/>
      <c r="P84" s="10" t="s">
        <v>39</v>
      </c>
      <c r="Q84" s="20" t="s">
        <v>290</v>
      </c>
      <c r="R84" s="11" t="s">
        <v>14</v>
      </c>
      <c r="S84" s="11" t="s">
        <v>29</v>
      </c>
      <c r="U84" s="10"/>
      <c r="V84" s="11"/>
      <c r="W84" s="10" t="s">
        <v>39</v>
      </c>
      <c r="X84" s="19" t="s">
        <v>291</v>
      </c>
      <c r="Y84" s="11" t="s">
        <v>14</v>
      </c>
      <c r="Z84" s="11" t="s">
        <v>27</v>
      </c>
      <c r="AA84" s="20" t="s">
        <v>292</v>
      </c>
      <c r="AB84" s="11" t="s">
        <v>14</v>
      </c>
      <c r="AC84" s="11" t="s">
        <v>23</v>
      </c>
      <c r="AD84" s="10" t="s">
        <v>39</v>
      </c>
      <c r="AE84" s="20" t="s">
        <v>293</v>
      </c>
      <c r="AF84" s="11" t="s">
        <v>14</v>
      </c>
      <c r="AG84" s="11" t="s">
        <v>21</v>
      </c>
      <c r="AH84" s="20" t="s">
        <v>292</v>
      </c>
      <c r="AI84" s="11" t="s">
        <v>14</v>
      </c>
      <c r="AJ84" s="11"/>
      <c r="AK84" s="10" t="s">
        <v>39</v>
      </c>
      <c r="AM84" s="11"/>
      <c r="AN84" s="11" t="s">
        <v>21</v>
      </c>
      <c r="AP84" s="10"/>
      <c r="AQ84" s="11"/>
    </row>
    <row r="85">
      <c r="A85" s="18">
        <v>11.0</v>
      </c>
      <c r="B85" s="10" t="s">
        <v>34</v>
      </c>
      <c r="C85" s="20" t="s">
        <v>294</v>
      </c>
      <c r="D85" s="11" t="s">
        <v>14</v>
      </c>
      <c r="E85" s="11" t="s">
        <v>29</v>
      </c>
      <c r="F85" s="20" t="s">
        <v>295</v>
      </c>
      <c r="G85" s="11" t="s">
        <v>14</v>
      </c>
      <c r="H85" s="11" t="s">
        <v>29</v>
      </c>
      <c r="I85" s="10" t="s">
        <v>34</v>
      </c>
      <c r="J85" s="20" t="s">
        <v>296</v>
      </c>
      <c r="K85" s="11" t="s">
        <v>14</v>
      </c>
      <c r="L85" s="11" t="s">
        <v>21</v>
      </c>
      <c r="N85" s="10"/>
      <c r="O85" s="11"/>
      <c r="P85" s="10" t="s">
        <v>34</v>
      </c>
      <c r="R85" s="11" t="s">
        <v>16</v>
      </c>
      <c r="S85" s="11"/>
      <c r="U85" s="10"/>
      <c r="V85" s="11"/>
      <c r="W85" s="10" t="s">
        <v>34</v>
      </c>
      <c r="X85" s="19" t="s">
        <v>297</v>
      </c>
      <c r="Y85" s="11" t="s">
        <v>14</v>
      </c>
      <c r="Z85" s="11" t="s">
        <v>27</v>
      </c>
      <c r="AA85" s="20" t="s">
        <v>298</v>
      </c>
      <c r="AB85" s="11" t="s">
        <v>14</v>
      </c>
      <c r="AC85" s="11"/>
      <c r="AD85" s="10" t="s">
        <v>34</v>
      </c>
      <c r="AE85" s="20" t="s">
        <v>299</v>
      </c>
      <c r="AF85" s="11" t="s">
        <v>16</v>
      </c>
      <c r="AG85" s="11" t="s">
        <v>23</v>
      </c>
      <c r="AI85" s="11" t="s">
        <v>18</v>
      </c>
      <c r="AJ85" s="11"/>
      <c r="AK85" s="10" t="s">
        <v>34</v>
      </c>
      <c r="AL85" s="20" t="s">
        <v>300</v>
      </c>
      <c r="AM85" s="11" t="s">
        <v>14</v>
      </c>
      <c r="AN85" s="11" t="s">
        <v>21</v>
      </c>
      <c r="AP85" s="10"/>
      <c r="AQ85" s="11"/>
    </row>
    <row r="86">
      <c r="A86" s="9">
        <v>12.0</v>
      </c>
      <c r="B86" s="10" t="s">
        <v>113</v>
      </c>
      <c r="C86" s="20" t="s">
        <v>301</v>
      </c>
      <c r="D86" s="11" t="s">
        <v>14</v>
      </c>
      <c r="E86" s="11" t="s">
        <v>29</v>
      </c>
      <c r="F86" s="20" t="s">
        <v>302</v>
      </c>
      <c r="G86" s="11" t="s">
        <v>14</v>
      </c>
      <c r="H86" s="11" t="s">
        <v>29</v>
      </c>
      <c r="I86" s="10" t="s">
        <v>113</v>
      </c>
      <c r="J86" s="20" t="s">
        <v>303</v>
      </c>
      <c r="K86" s="11" t="s">
        <v>14</v>
      </c>
      <c r="L86" s="11" t="s">
        <v>21</v>
      </c>
      <c r="N86" s="10"/>
      <c r="O86" s="11"/>
      <c r="P86" s="10" t="s">
        <v>113</v>
      </c>
      <c r="Q86" s="20" t="s">
        <v>304</v>
      </c>
      <c r="R86" s="11" t="s">
        <v>14</v>
      </c>
      <c r="S86" s="11" t="s">
        <v>29</v>
      </c>
      <c r="U86" s="10"/>
      <c r="V86" s="11"/>
      <c r="W86" s="10" t="s">
        <v>113</v>
      </c>
      <c r="X86" s="19" t="s">
        <v>305</v>
      </c>
      <c r="Y86" s="11" t="s">
        <v>14</v>
      </c>
      <c r="Z86" s="11" t="s">
        <v>27</v>
      </c>
      <c r="AA86" s="20" t="s">
        <v>306</v>
      </c>
      <c r="AB86" s="11" t="s">
        <v>14</v>
      </c>
      <c r="AC86" s="11" t="s">
        <v>29</v>
      </c>
      <c r="AD86" s="10" t="s">
        <v>113</v>
      </c>
      <c r="AE86" s="20" t="s">
        <v>307</v>
      </c>
      <c r="AF86" s="11" t="s">
        <v>14</v>
      </c>
      <c r="AG86" s="11" t="s">
        <v>21</v>
      </c>
      <c r="AI86" s="10"/>
      <c r="AJ86" s="11"/>
      <c r="AK86" s="10" t="s">
        <v>113</v>
      </c>
      <c r="AL86" s="20" t="s">
        <v>308</v>
      </c>
      <c r="AM86" s="11" t="s">
        <v>14</v>
      </c>
      <c r="AN86" s="11" t="s">
        <v>21</v>
      </c>
      <c r="AP86" s="10"/>
      <c r="AQ86" s="11"/>
    </row>
    <row r="87">
      <c r="A87" s="18">
        <v>13.0</v>
      </c>
      <c r="B87" s="10" t="s">
        <v>94</v>
      </c>
      <c r="C87" s="20" t="s">
        <v>309</v>
      </c>
      <c r="D87" s="11" t="s">
        <v>14</v>
      </c>
      <c r="E87" s="11" t="s">
        <v>29</v>
      </c>
      <c r="F87" s="20" t="s">
        <v>310</v>
      </c>
      <c r="G87" s="11" t="s">
        <v>14</v>
      </c>
      <c r="H87" s="11" t="s">
        <v>29</v>
      </c>
      <c r="I87" s="10" t="s">
        <v>94</v>
      </c>
      <c r="K87" s="11" t="s">
        <v>17</v>
      </c>
      <c r="L87" s="11"/>
      <c r="N87" s="10"/>
      <c r="O87" s="11"/>
      <c r="P87" s="10" t="s">
        <v>94</v>
      </c>
      <c r="Q87" s="20" t="s">
        <v>311</v>
      </c>
      <c r="R87" s="11" t="s">
        <v>14</v>
      </c>
      <c r="S87" s="11" t="s">
        <v>29</v>
      </c>
      <c r="U87" s="10"/>
      <c r="V87" s="11"/>
      <c r="W87" s="10" t="s">
        <v>94</v>
      </c>
      <c r="X87" s="19" t="s">
        <v>312</v>
      </c>
      <c r="Y87" s="11" t="s">
        <v>14</v>
      </c>
      <c r="Z87" s="11" t="s">
        <v>27</v>
      </c>
      <c r="AB87" s="10"/>
      <c r="AC87" s="11"/>
      <c r="AD87" s="10" t="s">
        <v>94</v>
      </c>
      <c r="AF87" s="10"/>
      <c r="AG87" s="11"/>
      <c r="AH87" s="20" t="s">
        <v>313</v>
      </c>
      <c r="AI87" s="11" t="s">
        <v>14</v>
      </c>
      <c r="AJ87" s="11" t="s">
        <v>23</v>
      </c>
      <c r="AK87" s="10" t="s">
        <v>94</v>
      </c>
      <c r="AM87" s="10"/>
      <c r="AN87" s="11"/>
      <c r="AO87" s="19" t="s">
        <v>314</v>
      </c>
      <c r="AP87" s="11" t="s">
        <v>14</v>
      </c>
      <c r="AQ87" s="11" t="s">
        <v>29</v>
      </c>
    </row>
    <row r="88">
      <c r="A88" s="9">
        <v>14.0</v>
      </c>
      <c r="B88" s="10" t="s">
        <v>105</v>
      </c>
      <c r="C88" s="20" t="s">
        <v>315</v>
      </c>
      <c r="D88" s="11" t="s">
        <v>14</v>
      </c>
      <c r="E88" s="11" t="s">
        <v>29</v>
      </c>
      <c r="F88" s="20" t="s">
        <v>316</v>
      </c>
      <c r="G88" s="11" t="s">
        <v>14</v>
      </c>
      <c r="H88" s="11" t="s">
        <v>29</v>
      </c>
      <c r="I88" s="10" t="s">
        <v>105</v>
      </c>
      <c r="J88" s="20" t="s">
        <v>317</v>
      </c>
      <c r="K88" s="11" t="s">
        <v>14</v>
      </c>
      <c r="L88" s="11" t="s">
        <v>23</v>
      </c>
      <c r="N88" s="10"/>
      <c r="O88" s="11"/>
      <c r="P88" s="10" t="s">
        <v>105</v>
      </c>
      <c r="Q88" s="19" t="s">
        <v>318</v>
      </c>
      <c r="R88" s="11" t="s">
        <v>14</v>
      </c>
      <c r="S88" s="11" t="s">
        <v>27</v>
      </c>
      <c r="U88" s="10"/>
      <c r="V88" s="11"/>
      <c r="W88" s="10" t="s">
        <v>105</v>
      </c>
      <c r="X88" s="19" t="s">
        <v>319</v>
      </c>
      <c r="Y88" s="11" t="s">
        <v>14</v>
      </c>
      <c r="Z88" s="11" t="s">
        <v>27</v>
      </c>
      <c r="AA88" s="20" t="s">
        <v>320</v>
      </c>
      <c r="AB88" s="11" t="s">
        <v>14</v>
      </c>
      <c r="AC88" s="11" t="s">
        <v>29</v>
      </c>
      <c r="AD88" s="10" t="s">
        <v>105</v>
      </c>
      <c r="AF88" s="10"/>
      <c r="AG88" s="11"/>
      <c r="AI88" s="11" t="s">
        <v>18</v>
      </c>
      <c r="AJ88" s="11"/>
      <c r="AK88" s="10" t="s">
        <v>105</v>
      </c>
      <c r="AM88" s="10"/>
      <c r="AN88" s="11"/>
      <c r="AP88" s="10"/>
      <c r="AQ88" s="11"/>
    </row>
    <row r="89">
      <c r="A89" s="18">
        <v>15.0</v>
      </c>
      <c r="B89" s="10" t="s">
        <v>24</v>
      </c>
      <c r="D89" s="11" t="s">
        <v>283</v>
      </c>
      <c r="E89" s="11"/>
      <c r="G89" s="11" t="s">
        <v>283</v>
      </c>
      <c r="H89" s="11"/>
      <c r="I89" s="10" t="s">
        <v>24</v>
      </c>
      <c r="K89" s="11" t="s">
        <v>15</v>
      </c>
      <c r="L89" s="11"/>
      <c r="N89" s="10"/>
      <c r="O89" s="11"/>
      <c r="P89" s="10" t="s">
        <v>24</v>
      </c>
      <c r="Q89" s="20" t="s">
        <v>321</v>
      </c>
      <c r="R89" s="11" t="s">
        <v>14</v>
      </c>
      <c r="S89" s="11" t="s">
        <v>29</v>
      </c>
      <c r="U89" s="10"/>
      <c r="V89" s="11"/>
      <c r="W89" s="10" t="s">
        <v>24</v>
      </c>
      <c r="Y89" s="10"/>
      <c r="Z89" s="11"/>
      <c r="AA89" s="20" t="s">
        <v>322</v>
      </c>
      <c r="AB89" s="11" t="s">
        <v>14</v>
      </c>
      <c r="AC89" s="11" t="s">
        <v>29</v>
      </c>
      <c r="AD89" s="10" t="s">
        <v>24</v>
      </c>
      <c r="AF89" s="10"/>
      <c r="AG89" s="11"/>
      <c r="AI89" s="11" t="s">
        <v>18</v>
      </c>
      <c r="AJ89" s="11"/>
      <c r="AK89" s="10" t="s">
        <v>24</v>
      </c>
      <c r="AL89" s="20" t="s">
        <v>323</v>
      </c>
      <c r="AM89" s="11" t="s">
        <v>14</v>
      </c>
      <c r="AN89" s="11" t="s">
        <v>21</v>
      </c>
      <c r="AO89" s="19" t="s">
        <v>324</v>
      </c>
      <c r="AP89" s="11" t="s">
        <v>14</v>
      </c>
      <c r="AQ89" s="11" t="s">
        <v>29</v>
      </c>
    </row>
    <row r="90">
      <c r="A90" s="9">
        <v>16.0</v>
      </c>
      <c r="B90" s="10" t="s">
        <v>43</v>
      </c>
      <c r="D90" s="11" t="s">
        <v>15</v>
      </c>
      <c r="E90" s="11"/>
      <c r="G90" s="11" t="s">
        <v>15</v>
      </c>
      <c r="H90" s="11"/>
      <c r="I90" s="10" t="s">
        <v>43</v>
      </c>
      <c r="K90" s="11" t="s">
        <v>251</v>
      </c>
      <c r="L90" s="11"/>
      <c r="N90" s="10"/>
      <c r="O90" s="11"/>
      <c r="P90" s="10" t="s">
        <v>43</v>
      </c>
      <c r="R90" s="11" t="s">
        <v>15</v>
      </c>
      <c r="S90" s="11"/>
      <c r="U90" s="10"/>
      <c r="V90" s="11"/>
      <c r="W90" s="10" t="s">
        <v>43</v>
      </c>
      <c r="X90" s="19" t="s">
        <v>325</v>
      </c>
      <c r="Y90" s="11" t="s">
        <v>14</v>
      </c>
      <c r="Z90" s="11" t="s">
        <v>27</v>
      </c>
      <c r="AA90" s="20" t="s">
        <v>326</v>
      </c>
      <c r="AB90" s="11" t="s">
        <v>14</v>
      </c>
      <c r="AC90" s="11"/>
      <c r="AD90" s="10" t="s">
        <v>43</v>
      </c>
      <c r="AF90" s="10"/>
      <c r="AG90" s="11"/>
      <c r="AI90" s="11"/>
      <c r="AJ90" s="11"/>
      <c r="AK90" s="10" t="s">
        <v>43</v>
      </c>
      <c r="AM90" s="10"/>
      <c r="AN90" s="11"/>
      <c r="AP90" s="10"/>
      <c r="AQ90" s="11"/>
    </row>
    <row r="91">
      <c r="A91" s="18">
        <v>17.0</v>
      </c>
      <c r="B91" s="10" t="s">
        <v>61</v>
      </c>
      <c r="D91" s="10"/>
      <c r="E91" s="11"/>
      <c r="G91" s="10"/>
      <c r="H91" s="11"/>
      <c r="I91" s="10" t="s">
        <v>61</v>
      </c>
      <c r="J91" s="20" t="s">
        <v>327</v>
      </c>
      <c r="K91" s="11" t="s">
        <v>14</v>
      </c>
      <c r="L91" s="11" t="s">
        <v>23</v>
      </c>
      <c r="N91" s="10"/>
      <c r="O91" s="11"/>
      <c r="P91" s="10" t="s">
        <v>61</v>
      </c>
      <c r="Q91" s="20" t="s">
        <v>328</v>
      </c>
      <c r="R91" s="11" t="s">
        <v>14</v>
      </c>
      <c r="S91" s="11" t="s">
        <v>29</v>
      </c>
      <c r="U91" s="10"/>
      <c r="V91" s="11"/>
      <c r="W91" s="10" t="s">
        <v>61</v>
      </c>
      <c r="X91" s="19" t="s">
        <v>329</v>
      </c>
      <c r="Y91" s="11" t="s">
        <v>14</v>
      </c>
      <c r="Z91" s="11" t="s">
        <v>27</v>
      </c>
      <c r="AA91" s="20" t="s">
        <v>330</v>
      </c>
      <c r="AB91" s="11" t="s">
        <v>14</v>
      </c>
      <c r="AC91" s="11" t="s">
        <v>23</v>
      </c>
      <c r="AD91" s="10" t="s">
        <v>61</v>
      </c>
      <c r="AF91" s="10"/>
      <c r="AG91" s="11"/>
      <c r="AI91" s="11" t="s">
        <v>18</v>
      </c>
      <c r="AJ91" s="11"/>
      <c r="AK91" s="10" t="s">
        <v>61</v>
      </c>
      <c r="AM91" s="10"/>
      <c r="AN91" s="11"/>
      <c r="AO91" s="19" t="s">
        <v>331</v>
      </c>
      <c r="AP91" s="11" t="s">
        <v>14</v>
      </c>
      <c r="AQ91" s="11" t="s">
        <v>29</v>
      </c>
    </row>
    <row r="92">
      <c r="A92" s="9">
        <v>18.0</v>
      </c>
      <c r="B92" s="10" t="s">
        <v>128</v>
      </c>
      <c r="C92" s="20" t="s">
        <v>332</v>
      </c>
      <c r="D92" s="11" t="s">
        <v>14</v>
      </c>
      <c r="E92" s="11" t="s">
        <v>23</v>
      </c>
      <c r="F92" s="20" t="s">
        <v>333</v>
      </c>
      <c r="G92" s="10"/>
      <c r="H92" s="11"/>
      <c r="I92" s="10" t="s">
        <v>128</v>
      </c>
      <c r="J92" s="20" t="s">
        <v>334</v>
      </c>
      <c r="K92" s="11" t="s">
        <v>14</v>
      </c>
      <c r="L92" s="11" t="s">
        <v>23</v>
      </c>
      <c r="N92" s="10"/>
      <c r="O92" s="11"/>
      <c r="P92" s="10" t="s">
        <v>128</v>
      </c>
      <c r="Q92" s="19" t="s">
        <v>335</v>
      </c>
      <c r="R92" s="11" t="s">
        <v>14</v>
      </c>
      <c r="S92" s="11" t="s">
        <v>27</v>
      </c>
      <c r="U92" s="10"/>
      <c r="V92" s="11"/>
      <c r="W92" s="10" t="s">
        <v>128</v>
      </c>
      <c r="X92" s="19" t="s">
        <v>336</v>
      </c>
      <c r="Y92" s="11" t="s">
        <v>14</v>
      </c>
      <c r="Z92" s="11" t="s">
        <v>27</v>
      </c>
      <c r="AA92" s="20" t="s">
        <v>330</v>
      </c>
      <c r="AB92" s="11" t="s">
        <v>14</v>
      </c>
      <c r="AC92" s="11"/>
      <c r="AD92" s="10" t="s">
        <v>128</v>
      </c>
      <c r="AF92" s="10"/>
      <c r="AG92" s="11"/>
      <c r="AI92" s="11" t="s">
        <v>18</v>
      </c>
      <c r="AJ92" s="11"/>
      <c r="AK92" s="10" t="s">
        <v>128</v>
      </c>
      <c r="AM92" s="10"/>
      <c r="AN92" s="11"/>
      <c r="AP92" s="10"/>
      <c r="AQ92" s="11"/>
    </row>
    <row r="93">
      <c r="A93" s="18">
        <v>19.0</v>
      </c>
      <c r="B93" s="13" t="s">
        <v>227</v>
      </c>
      <c r="D93" s="10"/>
      <c r="E93" s="10"/>
      <c r="G93" s="10"/>
      <c r="H93" s="10"/>
      <c r="I93" s="13" t="s">
        <v>227</v>
      </c>
      <c r="J93" s="20" t="s">
        <v>337</v>
      </c>
      <c r="K93" s="11" t="s">
        <v>14</v>
      </c>
      <c r="L93" s="11" t="s">
        <v>21</v>
      </c>
      <c r="N93" s="10"/>
      <c r="O93" s="10"/>
      <c r="P93" s="13" t="s">
        <v>227</v>
      </c>
      <c r="R93" s="10"/>
      <c r="S93" s="11"/>
      <c r="U93" s="10"/>
      <c r="V93" s="10"/>
      <c r="W93" s="13" t="s">
        <v>227</v>
      </c>
      <c r="Y93" s="10"/>
      <c r="Z93" s="10"/>
      <c r="AB93" s="10"/>
      <c r="AC93" s="10"/>
      <c r="AD93" s="13" t="s">
        <v>227</v>
      </c>
      <c r="AE93" s="20" t="s">
        <v>338</v>
      </c>
      <c r="AF93" s="11" t="s">
        <v>14</v>
      </c>
      <c r="AG93" s="11" t="s">
        <v>21</v>
      </c>
      <c r="AI93" s="10"/>
      <c r="AJ93" s="10"/>
      <c r="AK93" s="13" t="s">
        <v>227</v>
      </c>
      <c r="AM93" s="10"/>
      <c r="AN93" s="10"/>
      <c r="AP93" s="10"/>
      <c r="AQ93" s="10"/>
    </row>
    <row r="94">
      <c r="A94" s="9">
        <v>20.0</v>
      </c>
      <c r="B94" s="15" t="s">
        <v>135</v>
      </c>
      <c r="C94" s="20" t="s">
        <v>339</v>
      </c>
      <c r="D94" s="11" t="s">
        <v>14</v>
      </c>
      <c r="E94" s="11" t="s">
        <v>29</v>
      </c>
      <c r="G94" s="10"/>
      <c r="H94" s="11"/>
      <c r="I94" s="15" t="s">
        <v>135</v>
      </c>
      <c r="J94" s="20" t="s">
        <v>340</v>
      </c>
      <c r="K94" s="11" t="s">
        <v>14</v>
      </c>
      <c r="L94" s="11" t="s">
        <v>21</v>
      </c>
      <c r="N94" s="10"/>
      <c r="O94" s="11"/>
      <c r="P94" s="15" t="s">
        <v>135</v>
      </c>
      <c r="Q94" s="20" t="s">
        <v>266</v>
      </c>
      <c r="R94" s="11" t="s">
        <v>14</v>
      </c>
      <c r="S94" s="11" t="s">
        <v>21</v>
      </c>
      <c r="U94" s="10"/>
      <c r="V94" s="11"/>
      <c r="W94" s="15" t="s">
        <v>135</v>
      </c>
      <c r="Y94" s="10"/>
      <c r="Z94" s="11"/>
      <c r="AA94" s="20" t="s">
        <v>341</v>
      </c>
      <c r="AB94" s="11" t="s">
        <v>14</v>
      </c>
      <c r="AC94" s="11"/>
      <c r="AD94" s="15" t="s">
        <v>135</v>
      </c>
      <c r="AE94" s="20" t="s">
        <v>342</v>
      </c>
      <c r="AF94" s="11" t="s">
        <v>14</v>
      </c>
      <c r="AG94" s="11" t="s">
        <v>21</v>
      </c>
      <c r="AI94" s="10"/>
      <c r="AJ94" s="11"/>
      <c r="AK94" s="15" t="s">
        <v>135</v>
      </c>
      <c r="AL94" s="20" t="s">
        <v>343</v>
      </c>
      <c r="AM94" s="11" t="s">
        <v>14</v>
      </c>
      <c r="AN94" s="11" t="s">
        <v>21</v>
      </c>
      <c r="AP94" s="10"/>
      <c r="AQ94" s="11"/>
    </row>
    <row r="95">
      <c r="A95" s="18">
        <v>21.0</v>
      </c>
      <c r="B95" s="13" t="s">
        <v>138</v>
      </c>
      <c r="D95" s="10"/>
      <c r="E95" s="11"/>
      <c r="G95" s="10"/>
      <c r="H95" s="11"/>
      <c r="I95" s="13" t="s">
        <v>138</v>
      </c>
      <c r="J95" s="20" t="s">
        <v>344</v>
      </c>
      <c r="K95" s="11" t="s">
        <v>14</v>
      </c>
      <c r="L95" s="11" t="s">
        <v>21</v>
      </c>
      <c r="N95" s="10"/>
      <c r="O95" s="11"/>
      <c r="P95" s="13" t="s">
        <v>138</v>
      </c>
      <c r="Q95" s="20" t="s">
        <v>345</v>
      </c>
      <c r="R95" s="11" t="s">
        <v>14</v>
      </c>
      <c r="S95" s="11" t="s">
        <v>21</v>
      </c>
      <c r="U95" s="10"/>
      <c r="V95" s="11"/>
      <c r="W95" s="13" t="s">
        <v>138</v>
      </c>
      <c r="Y95" s="10"/>
      <c r="Z95" s="11"/>
      <c r="AB95" s="10"/>
      <c r="AC95" s="11"/>
      <c r="AD95" s="13" t="s">
        <v>138</v>
      </c>
      <c r="AE95" s="20" t="s">
        <v>346</v>
      </c>
      <c r="AF95" s="11" t="s">
        <v>14</v>
      </c>
      <c r="AG95" s="11" t="s">
        <v>21</v>
      </c>
      <c r="AI95" s="10"/>
      <c r="AJ95" s="11"/>
      <c r="AK95" s="13" t="s">
        <v>138</v>
      </c>
      <c r="AL95" s="20" t="s">
        <v>347</v>
      </c>
      <c r="AM95" s="11" t="s">
        <v>14</v>
      </c>
      <c r="AN95" s="11" t="s">
        <v>21</v>
      </c>
      <c r="AP95" s="10"/>
      <c r="AQ95" s="11"/>
    </row>
    <row r="96">
      <c r="A96" s="9">
        <v>22.0</v>
      </c>
      <c r="B96" s="13" t="s">
        <v>139</v>
      </c>
      <c r="D96" s="10"/>
      <c r="E96" s="11"/>
      <c r="G96" s="10"/>
      <c r="H96" s="11"/>
      <c r="I96" s="13" t="s">
        <v>139</v>
      </c>
      <c r="K96" s="11" t="s">
        <v>17</v>
      </c>
      <c r="L96" s="11"/>
      <c r="N96" s="10"/>
      <c r="O96" s="11"/>
      <c r="P96" s="13" t="s">
        <v>139</v>
      </c>
      <c r="R96" s="10"/>
      <c r="S96" s="11"/>
      <c r="U96" s="10"/>
      <c r="V96" s="11"/>
      <c r="W96" s="13" t="s">
        <v>139</v>
      </c>
      <c r="Y96" s="10"/>
      <c r="Z96" s="11"/>
      <c r="AB96" s="10"/>
      <c r="AC96" s="11"/>
      <c r="AD96" s="13" t="s">
        <v>139</v>
      </c>
      <c r="AF96" s="11" t="s">
        <v>17</v>
      </c>
      <c r="AG96" s="11"/>
      <c r="AI96" s="10"/>
      <c r="AJ96" s="11"/>
      <c r="AK96" s="13" t="s">
        <v>139</v>
      </c>
      <c r="AM96" s="11" t="s">
        <v>17</v>
      </c>
      <c r="AN96" s="11"/>
      <c r="AP96" s="10"/>
      <c r="AQ96" s="11"/>
    </row>
    <row r="97">
      <c r="A97" s="18">
        <v>23.0</v>
      </c>
      <c r="B97" s="13" t="s">
        <v>141</v>
      </c>
      <c r="D97" s="10"/>
      <c r="E97" s="11"/>
      <c r="G97" s="10"/>
      <c r="H97" s="11"/>
      <c r="I97" s="13" t="s">
        <v>141</v>
      </c>
      <c r="K97" s="10"/>
      <c r="L97" s="11"/>
      <c r="N97" s="10"/>
      <c r="O97" s="11"/>
      <c r="P97" s="13" t="s">
        <v>141</v>
      </c>
      <c r="R97" s="10"/>
      <c r="S97" s="11"/>
      <c r="U97" s="10"/>
      <c r="V97" s="11"/>
      <c r="W97" s="13" t="s">
        <v>141</v>
      </c>
      <c r="Y97" s="10"/>
      <c r="Z97" s="11"/>
      <c r="AB97" s="10"/>
      <c r="AC97" s="11"/>
      <c r="AD97" s="13" t="s">
        <v>141</v>
      </c>
      <c r="AF97" s="11" t="s">
        <v>283</v>
      </c>
      <c r="AG97" s="11"/>
      <c r="AI97" s="10"/>
      <c r="AJ97" s="11"/>
      <c r="AK97" s="13" t="s">
        <v>141</v>
      </c>
      <c r="AM97" s="11" t="s">
        <v>283</v>
      </c>
      <c r="AN97" s="11"/>
      <c r="AP97" s="10"/>
      <c r="AQ97" s="11"/>
    </row>
    <row r="98">
      <c r="A98" s="9">
        <v>24.0</v>
      </c>
      <c r="B98" s="13" t="s">
        <v>142</v>
      </c>
      <c r="D98" s="11" t="s">
        <v>18</v>
      </c>
      <c r="E98" s="11"/>
      <c r="G98" s="10"/>
      <c r="H98" s="11"/>
      <c r="I98" s="13" t="s">
        <v>142</v>
      </c>
      <c r="K98" s="11" t="s">
        <v>18</v>
      </c>
      <c r="L98" s="11"/>
      <c r="N98" s="10"/>
      <c r="O98" s="11"/>
      <c r="P98" s="13" t="s">
        <v>142</v>
      </c>
      <c r="R98" s="11" t="s">
        <v>18</v>
      </c>
      <c r="S98" s="11"/>
      <c r="U98" s="10"/>
      <c r="V98" s="11"/>
      <c r="W98" s="13" t="s">
        <v>142</v>
      </c>
      <c r="Y98" s="11" t="s">
        <v>18</v>
      </c>
      <c r="Z98" s="11"/>
      <c r="AB98" s="10"/>
      <c r="AC98" s="11"/>
      <c r="AD98" s="13" t="s">
        <v>142</v>
      </c>
      <c r="AF98" s="11" t="s">
        <v>18</v>
      </c>
      <c r="AG98" s="11"/>
      <c r="AI98" s="10"/>
      <c r="AJ98" s="11"/>
      <c r="AK98" s="13" t="s">
        <v>142</v>
      </c>
      <c r="AM98" s="11" t="s">
        <v>283</v>
      </c>
      <c r="AN98" s="11"/>
      <c r="AP98" s="10"/>
      <c r="AQ98" s="11"/>
    </row>
    <row r="99">
      <c r="A99" s="18">
        <v>25.0</v>
      </c>
      <c r="B99" s="13" t="s">
        <v>143</v>
      </c>
      <c r="D99" s="11" t="s">
        <v>18</v>
      </c>
      <c r="E99" s="11"/>
      <c r="G99" s="10"/>
      <c r="H99" s="11"/>
      <c r="I99" s="13" t="s">
        <v>143</v>
      </c>
      <c r="K99" s="11" t="s">
        <v>18</v>
      </c>
      <c r="L99" s="11"/>
      <c r="N99" s="10"/>
      <c r="O99" s="11"/>
      <c r="P99" s="13" t="s">
        <v>143</v>
      </c>
      <c r="R99" s="11" t="s">
        <v>18</v>
      </c>
      <c r="S99" s="11"/>
      <c r="U99" s="10"/>
      <c r="V99" s="11"/>
      <c r="W99" s="13" t="s">
        <v>143</v>
      </c>
      <c r="Y99" s="11" t="s">
        <v>18</v>
      </c>
      <c r="Z99" s="11"/>
      <c r="AB99" s="10"/>
      <c r="AC99" s="11"/>
      <c r="AD99" s="13" t="s">
        <v>348</v>
      </c>
      <c r="AE99" s="20" t="s">
        <v>349</v>
      </c>
      <c r="AF99" s="11" t="s">
        <v>14</v>
      </c>
      <c r="AG99" s="11" t="s">
        <v>21</v>
      </c>
      <c r="AI99" s="10"/>
      <c r="AJ99" s="11"/>
      <c r="AK99" s="13" t="s">
        <v>143</v>
      </c>
      <c r="AM99" s="11" t="s">
        <v>16</v>
      </c>
      <c r="AN99" s="11"/>
      <c r="AP99" s="10"/>
      <c r="AQ99" s="11"/>
    </row>
    <row r="100">
      <c r="R100" s="16"/>
      <c r="AK100" s="20" t="s">
        <v>350</v>
      </c>
      <c r="AL100" s="20" t="s">
        <v>351</v>
      </c>
      <c r="AO100" s="19" t="s">
        <v>352</v>
      </c>
      <c r="AR100" s="14">
        <f t="shared" ref="AR100:AR101" si="11">COUNTIF(D100:AP100,"H")</f>
        <v>0</v>
      </c>
      <c r="AS100" s="14">
        <f t="shared" ref="AS100:AS101" si="12">COUNTIF(D100:AP100,"I")</f>
        <v>0</v>
      </c>
      <c r="AT100" s="14">
        <f t="shared" ref="AT100:AT101" si="13">COUNTIF(D100:AP100,"TD")</f>
        <v>0</v>
      </c>
      <c r="AU100" s="14">
        <f t="shared" ref="AU100:AU101" si="14">COUNTIF(D100:AP100,"S")</f>
        <v>0</v>
      </c>
      <c r="AV100" s="14">
        <f t="shared" ref="AV100:AV101" si="15">COUNTIF(D100:AP100,"A")</f>
        <v>0</v>
      </c>
      <c r="AW100" s="14"/>
    </row>
    <row r="101">
      <c r="R101" s="16"/>
      <c r="AR101" s="14">
        <f t="shared" si="11"/>
        <v>0</v>
      </c>
      <c r="AS101" s="14">
        <f t="shared" si="12"/>
        <v>0</v>
      </c>
      <c r="AT101" s="14">
        <f t="shared" si="13"/>
        <v>0</v>
      </c>
      <c r="AU101" s="14">
        <f t="shared" si="14"/>
        <v>0</v>
      </c>
      <c r="AV101" s="14">
        <f t="shared" si="15"/>
        <v>0</v>
      </c>
      <c r="AW101" s="14"/>
    </row>
    <row r="102">
      <c r="R102" s="16"/>
    </row>
    <row r="103">
      <c r="R103" s="16"/>
    </row>
    <row r="104">
      <c r="A104" s="1" t="s">
        <v>0</v>
      </c>
    </row>
    <row r="107">
      <c r="A107" s="24" t="s">
        <v>353</v>
      </c>
      <c r="AQ107" s="24"/>
      <c r="AR107" s="24"/>
      <c r="AS107" s="24"/>
      <c r="AT107" s="24"/>
      <c r="AU107" s="24"/>
      <c r="AV107" s="24"/>
      <c r="AW107" s="24"/>
    </row>
    <row r="108">
      <c r="A108" s="25" t="s">
        <v>2</v>
      </c>
      <c r="B108" s="25" t="s">
        <v>3</v>
      </c>
      <c r="C108" s="17" t="s">
        <v>354</v>
      </c>
      <c r="I108" s="17"/>
      <c r="J108" s="17" t="s">
        <v>355</v>
      </c>
      <c r="P108" s="17"/>
      <c r="Q108" s="17" t="s">
        <v>356</v>
      </c>
      <c r="W108" s="17"/>
      <c r="X108" s="17" t="s">
        <v>357</v>
      </c>
      <c r="AD108" s="17"/>
      <c r="AE108" s="17" t="s">
        <v>358</v>
      </c>
      <c r="AK108" s="17"/>
      <c r="AL108" s="17" t="s">
        <v>359</v>
      </c>
      <c r="AR108" s="5" t="s">
        <v>10</v>
      </c>
      <c r="AW108" s="5"/>
    </row>
    <row r="109">
      <c r="B109" s="25"/>
      <c r="C109" s="6" t="s">
        <v>11</v>
      </c>
      <c r="E109" s="7" t="s">
        <v>12</v>
      </c>
      <c r="F109" s="6" t="s">
        <v>13</v>
      </c>
      <c r="H109" s="7" t="s">
        <v>12</v>
      </c>
      <c r="I109" s="6"/>
      <c r="J109" s="6" t="s">
        <v>11</v>
      </c>
      <c r="L109" s="7" t="s">
        <v>12</v>
      </c>
      <c r="M109" s="6" t="s">
        <v>13</v>
      </c>
      <c r="O109" s="7" t="s">
        <v>12</v>
      </c>
      <c r="P109" s="6"/>
      <c r="Q109" s="6" t="s">
        <v>11</v>
      </c>
      <c r="S109" s="7" t="s">
        <v>12</v>
      </c>
      <c r="T109" s="6" t="s">
        <v>13</v>
      </c>
      <c r="V109" s="7" t="s">
        <v>12</v>
      </c>
      <c r="W109" s="6"/>
      <c r="X109" s="6" t="s">
        <v>11</v>
      </c>
      <c r="Z109" s="7" t="s">
        <v>12</v>
      </c>
      <c r="AA109" s="6" t="s">
        <v>13</v>
      </c>
      <c r="AC109" s="7" t="s">
        <v>12</v>
      </c>
      <c r="AD109" s="6"/>
      <c r="AE109" s="6" t="s">
        <v>11</v>
      </c>
      <c r="AG109" s="7" t="s">
        <v>12</v>
      </c>
      <c r="AH109" s="6" t="s">
        <v>13</v>
      </c>
      <c r="AJ109" s="7" t="s">
        <v>12</v>
      </c>
      <c r="AK109" s="6"/>
      <c r="AL109" s="6" t="s">
        <v>11</v>
      </c>
      <c r="AN109" s="7" t="s">
        <v>12</v>
      </c>
      <c r="AO109" s="6" t="s">
        <v>13</v>
      </c>
      <c r="AQ109" s="7" t="s">
        <v>12</v>
      </c>
      <c r="AR109" s="8" t="s">
        <v>14</v>
      </c>
      <c r="AS109" s="8" t="s">
        <v>15</v>
      </c>
      <c r="AT109" s="8" t="s">
        <v>16</v>
      </c>
      <c r="AU109" s="8" t="s">
        <v>17</v>
      </c>
      <c r="AV109" s="8" t="s">
        <v>18</v>
      </c>
      <c r="AW109" s="8"/>
    </row>
    <row r="110">
      <c r="A110" s="14">
        <v>1.0</v>
      </c>
      <c r="B110" s="21" t="s">
        <v>87</v>
      </c>
      <c r="C110" s="11"/>
      <c r="D110" s="11"/>
      <c r="E110" s="12"/>
      <c r="F110" s="10"/>
      <c r="G110" s="10"/>
      <c r="H110" s="11"/>
      <c r="I110" s="21" t="s">
        <v>87</v>
      </c>
      <c r="J110" s="10"/>
      <c r="K110" s="10"/>
      <c r="L110" s="11"/>
      <c r="M110" s="10"/>
      <c r="N110" s="11" t="s">
        <v>14</v>
      </c>
      <c r="O110" s="11"/>
      <c r="P110" s="21" t="s">
        <v>87</v>
      </c>
      <c r="Q110" s="10"/>
      <c r="R110" s="10"/>
      <c r="S110" s="11"/>
      <c r="T110" s="10"/>
      <c r="U110" s="10"/>
      <c r="V110" s="11"/>
      <c r="W110" s="21" t="s">
        <v>87</v>
      </c>
      <c r="X110" s="10"/>
      <c r="Y110" s="10"/>
      <c r="Z110" s="11"/>
      <c r="AA110" s="10"/>
      <c r="AB110" s="10"/>
      <c r="AC110" s="11"/>
      <c r="AD110" s="21" t="s">
        <v>87</v>
      </c>
      <c r="AE110" s="10"/>
      <c r="AF110" s="10"/>
      <c r="AG110" s="11"/>
      <c r="AH110" s="10"/>
      <c r="AI110" s="10"/>
      <c r="AJ110" s="11"/>
      <c r="AK110" s="21" t="s">
        <v>87</v>
      </c>
      <c r="AL110" s="10"/>
      <c r="AM110" s="11" t="s">
        <v>251</v>
      </c>
      <c r="AN110" s="11"/>
      <c r="AO110" s="10"/>
      <c r="AP110" s="11" t="s">
        <v>14</v>
      </c>
      <c r="AQ110" s="11"/>
      <c r="AR110" s="14">
        <f t="shared" ref="AR110:AR136" si="16">COUNTIF(D110:AP110,"H")</f>
        <v>2</v>
      </c>
      <c r="AS110" s="14">
        <f t="shared" ref="AS110:AS136" si="17">COUNTIF(D110:AP110,"I")</f>
        <v>0</v>
      </c>
      <c r="AT110" s="14">
        <f t="shared" ref="AT110:AT136" si="18">COUNTIF(D110:AP110,"TD")</f>
        <v>0</v>
      </c>
      <c r="AU110" s="14">
        <f t="shared" ref="AU110:AU136" si="19">COUNTIF(D110:AP110,"S")</f>
        <v>0</v>
      </c>
      <c r="AV110" s="14">
        <f t="shared" ref="AV110:AV136" si="20">COUNTIF(D110:AP110,"A")</f>
        <v>0</v>
      </c>
      <c r="AW110" s="21" t="s">
        <v>87</v>
      </c>
    </row>
    <row r="111">
      <c r="A111" s="14">
        <v>2.0</v>
      </c>
      <c r="B111" s="21" t="s">
        <v>19</v>
      </c>
      <c r="C111" s="10"/>
      <c r="D111" s="11"/>
      <c r="E111" s="11"/>
      <c r="F111" s="10"/>
      <c r="G111" s="10"/>
      <c r="H111" s="11"/>
      <c r="I111" s="21" t="s">
        <v>19</v>
      </c>
      <c r="J111" s="10"/>
      <c r="K111" s="10"/>
      <c r="L111" s="11"/>
      <c r="M111" s="10"/>
      <c r="N111" s="11" t="s">
        <v>251</v>
      </c>
      <c r="O111" s="11"/>
      <c r="P111" s="21" t="s">
        <v>19</v>
      </c>
      <c r="Q111" s="10"/>
      <c r="R111" s="11" t="s">
        <v>360</v>
      </c>
      <c r="S111" s="11"/>
      <c r="T111" s="10"/>
      <c r="U111" s="10"/>
      <c r="V111" s="11"/>
      <c r="W111" s="21" t="s">
        <v>19</v>
      </c>
      <c r="X111" s="10"/>
      <c r="Y111" s="11" t="s">
        <v>251</v>
      </c>
      <c r="Z111" s="11"/>
      <c r="AA111" s="10"/>
      <c r="AB111" s="10"/>
      <c r="AC111" s="11"/>
      <c r="AD111" s="21" t="s">
        <v>19</v>
      </c>
      <c r="AE111" s="10"/>
      <c r="AF111" s="10"/>
      <c r="AG111" s="11"/>
      <c r="AH111" s="10"/>
      <c r="AI111" s="10"/>
      <c r="AJ111" s="11"/>
      <c r="AK111" s="21" t="s">
        <v>19</v>
      </c>
      <c r="AL111" s="10"/>
      <c r="AM111" s="11" t="s">
        <v>251</v>
      </c>
      <c r="AN111" s="11"/>
      <c r="AO111" s="10"/>
      <c r="AP111" s="11" t="s">
        <v>251</v>
      </c>
      <c r="AQ111" s="11"/>
      <c r="AR111" s="14">
        <f t="shared" si="16"/>
        <v>0</v>
      </c>
      <c r="AS111" s="14">
        <f t="shared" si="17"/>
        <v>0</v>
      </c>
      <c r="AT111" s="14">
        <f t="shared" si="18"/>
        <v>0</v>
      </c>
      <c r="AU111" s="14">
        <f t="shared" si="19"/>
        <v>0</v>
      </c>
      <c r="AV111" s="14">
        <f t="shared" si="20"/>
        <v>0</v>
      </c>
      <c r="AW111" s="21" t="s">
        <v>19</v>
      </c>
    </row>
    <row r="112">
      <c r="A112" s="14">
        <v>3.0</v>
      </c>
      <c r="B112" s="21" t="s">
        <v>75</v>
      </c>
      <c r="C112" s="11"/>
      <c r="D112" s="11" t="s">
        <v>17</v>
      </c>
      <c r="E112" s="11"/>
      <c r="F112" s="10"/>
      <c r="G112" s="10"/>
      <c r="H112" s="11"/>
      <c r="I112" s="21" t="s">
        <v>75</v>
      </c>
      <c r="J112" s="22" t="s">
        <v>361</v>
      </c>
      <c r="K112" s="11" t="s">
        <v>14</v>
      </c>
      <c r="L112" s="11" t="s">
        <v>29</v>
      </c>
      <c r="M112" s="22" t="s">
        <v>362</v>
      </c>
      <c r="N112" s="11" t="s">
        <v>14</v>
      </c>
      <c r="O112" s="11" t="s">
        <v>29</v>
      </c>
      <c r="P112" s="21" t="s">
        <v>75</v>
      </c>
      <c r="Q112" s="10"/>
      <c r="R112" s="11" t="s">
        <v>14</v>
      </c>
      <c r="S112" s="11" t="s">
        <v>21</v>
      </c>
      <c r="T112" s="10"/>
      <c r="U112" s="10"/>
      <c r="V112" s="11"/>
      <c r="W112" s="21" t="s">
        <v>75</v>
      </c>
      <c r="X112" s="22" t="s">
        <v>363</v>
      </c>
      <c r="Y112" s="11" t="s">
        <v>14</v>
      </c>
      <c r="Z112" s="11" t="s">
        <v>29</v>
      </c>
      <c r="AA112" s="10"/>
      <c r="AB112" s="10"/>
      <c r="AC112" s="11"/>
      <c r="AD112" s="21" t="s">
        <v>75</v>
      </c>
      <c r="AE112" s="22" t="s">
        <v>364</v>
      </c>
      <c r="AF112" s="11" t="s">
        <v>14</v>
      </c>
      <c r="AG112" s="11" t="s">
        <v>21</v>
      </c>
      <c r="AH112" s="22" t="s">
        <v>365</v>
      </c>
      <c r="AI112" s="11" t="s">
        <v>14</v>
      </c>
      <c r="AJ112" s="11" t="s">
        <v>29</v>
      </c>
      <c r="AK112" s="21" t="s">
        <v>75</v>
      </c>
      <c r="AL112" s="10"/>
      <c r="AM112" s="11" t="s">
        <v>16</v>
      </c>
      <c r="AN112" s="11"/>
      <c r="AO112" s="11" t="s">
        <v>366</v>
      </c>
      <c r="AP112" s="11" t="s">
        <v>14</v>
      </c>
      <c r="AQ112" s="11" t="s">
        <v>23</v>
      </c>
      <c r="AR112" s="14">
        <f t="shared" si="16"/>
        <v>7</v>
      </c>
      <c r="AS112" s="14">
        <f t="shared" si="17"/>
        <v>0</v>
      </c>
      <c r="AT112" s="14">
        <f t="shared" si="18"/>
        <v>1</v>
      </c>
      <c r="AU112" s="14">
        <f t="shared" si="19"/>
        <v>1</v>
      </c>
      <c r="AV112" s="14">
        <f t="shared" si="20"/>
        <v>0</v>
      </c>
      <c r="AW112" s="21" t="s">
        <v>75</v>
      </c>
    </row>
    <row r="113">
      <c r="A113" s="14">
        <v>4.0</v>
      </c>
      <c r="B113" s="21" t="s">
        <v>49</v>
      </c>
      <c r="C113" s="11"/>
      <c r="D113" s="11"/>
      <c r="E113" s="11"/>
      <c r="F113" s="10"/>
      <c r="G113" s="10"/>
      <c r="H113" s="11"/>
      <c r="I113" s="21" t="s">
        <v>49</v>
      </c>
      <c r="J113" s="10"/>
      <c r="K113" s="11" t="s">
        <v>251</v>
      </c>
      <c r="L113" s="11"/>
      <c r="M113" s="10"/>
      <c r="N113" s="11" t="s">
        <v>251</v>
      </c>
      <c r="O113" s="11"/>
      <c r="P113" s="21" t="s">
        <v>49</v>
      </c>
      <c r="Q113" s="10"/>
      <c r="R113" s="11" t="s">
        <v>360</v>
      </c>
      <c r="S113" s="11"/>
      <c r="T113" s="10"/>
      <c r="U113" s="10"/>
      <c r="V113" s="11"/>
      <c r="W113" s="21" t="s">
        <v>49</v>
      </c>
      <c r="X113" s="10"/>
      <c r="Y113" s="11" t="s">
        <v>251</v>
      </c>
      <c r="Z113" s="11"/>
      <c r="AA113" s="10"/>
      <c r="AB113" s="10"/>
      <c r="AC113" s="11"/>
      <c r="AD113" s="21" t="s">
        <v>49</v>
      </c>
      <c r="AE113" s="10"/>
      <c r="AF113" s="10"/>
      <c r="AG113" s="11"/>
      <c r="AH113" s="10"/>
      <c r="AI113" s="10"/>
      <c r="AJ113" s="11"/>
      <c r="AK113" s="21" t="s">
        <v>49</v>
      </c>
      <c r="AL113" s="10"/>
      <c r="AM113" s="11" t="s">
        <v>251</v>
      </c>
      <c r="AN113" s="11"/>
      <c r="AO113" s="10"/>
      <c r="AP113" s="11" t="s">
        <v>251</v>
      </c>
      <c r="AQ113" s="11"/>
      <c r="AR113" s="14">
        <f t="shared" si="16"/>
        <v>0</v>
      </c>
      <c r="AS113" s="14">
        <f t="shared" si="17"/>
        <v>0</v>
      </c>
      <c r="AT113" s="14">
        <f t="shared" si="18"/>
        <v>0</v>
      </c>
      <c r="AU113" s="14">
        <f t="shared" si="19"/>
        <v>0</v>
      </c>
      <c r="AV113" s="14">
        <f t="shared" si="20"/>
        <v>0</v>
      </c>
      <c r="AW113" s="21" t="s">
        <v>49</v>
      </c>
    </row>
    <row r="114">
      <c r="A114" s="14">
        <v>5.0</v>
      </c>
      <c r="B114" s="21" t="s">
        <v>122</v>
      </c>
      <c r="C114" s="11" t="s">
        <v>367</v>
      </c>
      <c r="D114" s="11" t="s">
        <v>14</v>
      </c>
      <c r="E114" s="11" t="s">
        <v>21</v>
      </c>
      <c r="F114" s="10"/>
      <c r="G114" s="10"/>
      <c r="H114" s="11"/>
      <c r="I114" s="21" t="s">
        <v>122</v>
      </c>
      <c r="J114" s="22" t="s">
        <v>368</v>
      </c>
      <c r="K114" s="11" t="s">
        <v>14</v>
      </c>
      <c r="L114" s="11" t="s">
        <v>29</v>
      </c>
      <c r="M114" s="10"/>
      <c r="N114" s="11" t="s">
        <v>15</v>
      </c>
      <c r="O114" s="11"/>
      <c r="P114" s="21" t="s">
        <v>122</v>
      </c>
      <c r="Q114" s="22" t="s">
        <v>369</v>
      </c>
      <c r="R114" s="11" t="s">
        <v>14</v>
      </c>
      <c r="S114" s="11" t="s">
        <v>29</v>
      </c>
      <c r="T114" s="10"/>
      <c r="U114" s="10"/>
      <c r="V114" s="11"/>
      <c r="W114" s="21" t="s">
        <v>122</v>
      </c>
      <c r="X114" s="22" t="s">
        <v>370</v>
      </c>
      <c r="Y114" s="11" t="s">
        <v>14</v>
      </c>
      <c r="Z114" s="11" t="s">
        <v>29</v>
      </c>
      <c r="AA114" s="10"/>
      <c r="AB114" s="10"/>
      <c r="AC114" s="11"/>
      <c r="AD114" s="21" t="s">
        <v>122</v>
      </c>
      <c r="AE114" s="22" t="s">
        <v>371</v>
      </c>
      <c r="AF114" s="10"/>
      <c r="AG114" s="11"/>
      <c r="AH114" s="10"/>
      <c r="AI114" s="10"/>
      <c r="AJ114" s="11"/>
      <c r="AK114" s="21" t="s">
        <v>122</v>
      </c>
      <c r="AL114" s="22" t="s">
        <v>372</v>
      </c>
      <c r="AM114" s="11" t="s">
        <v>14</v>
      </c>
      <c r="AN114" s="11" t="s">
        <v>29</v>
      </c>
      <c r="AO114" s="11" t="s">
        <v>373</v>
      </c>
      <c r="AP114" s="11" t="s">
        <v>14</v>
      </c>
      <c r="AQ114" s="11" t="s">
        <v>23</v>
      </c>
      <c r="AR114" s="14">
        <f t="shared" si="16"/>
        <v>6</v>
      </c>
      <c r="AS114" s="14">
        <f t="shared" si="17"/>
        <v>1</v>
      </c>
      <c r="AT114" s="14">
        <f t="shared" si="18"/>
        <v>0</v>
      </c>
      <c r="AU114" s="14">
        <f t="shared" si="19"/>
        <v>0</v>
      </c>
      <c r="AV114" s="14">
        <f t="shared" si="20"/>
        <v>0</v>
      </c>
      <c r="AW114" s="21" t="s">
        <v>122</v>
      </c>
    </row>
    <row r="115">
      <c r="A115" s="14">
        <v>6.0</v>
      </c>
      <c r="B115" s="21" t="s">
        <v>70</v>
      </c>
      <c r="C115" s="11" t="s">
        <v>374</v>
      </c>
      <c r="D115" s="11" t="s">
        <v>14</v>
      </c>
      <c r="E115" s="11" t="s">
        <v>21</v>
      </c>
      <c r="F115" s="10"/>
      <c r="G115" s="10"/>
      <c r="H115" s="11"/>
      <c r="I115" s="21" t="s">
        <v>70</v>
      </c>
      <c r="J115" s="11" t="s">
        <v>375</v>
      </c>
      <c r="K115" s="10"/>
      <c r="L115" s="11"/>
      <c r="M115" s="22" t="s">
        <v>376</v>
      </c>
      <c r="N115" s="11" t="s">
        <v>14</v>
      </c>
      <c r="O115" s="11" t="s">
        <v>29</v>
      </c>
      <c r="P115" s="21" t="s">
        <v>70</v>
      </c>
      <c r="Q115" s="22" t="s">
        <v>377</v>
      </c>
      <c r="R115" s="11" t="s">
        <v>14</v>
      </c>
      <c r="S115" s="11" t="s">
        <v>29</v>
      </c>
      <c r="T115" s="11" t="s">
        <v>378</v>
      </c>
      <c r="U115" s="11" t="s">
        <v>14</v>
      </c>
      <c r="V115" s="11" t="s">
        <v>23</v>
      </c>
      <c r="W115" s="21" t="s">
        <v>70</v>
      </c>
      <c r="X115" s="22" t="s">
        <v>379</v>
      </c>
      <c r="Y115" s="11" t="s">
        <v>14</v>
      </c>
      <c r="Z115" s="11" t="s">
        <v>29</v>
      </c>
      <c r="AA115" s="11" t="s">
        <v>380</v>
      </c>
      <c r="AB115" s="11" t="s">
        <v>14</v>
      </c>
      <c r="AC115" s="11" t="s">
        <v>23</v>
      </c>
      <c r="AD115" s="21" t="s">
        <v>70</v>
      </c>
      <c r="AE115" s="22" t="s">
        <v>381</v>
      </c>
      <c r="AF115" s="11" t="s">
        <v>14</v>
      </c>
      <c r="AG115" s="11" t="s">
        <v>21</v>
      </c>
      <c r="AH115" s="10"/>
      <c r="AI115" s="10"/>
      <c r="AJ115" s="11"/>
      <c r="AK115" s="21" t="s">
        <v>70</v>
      </c>
      <c r="AL115" s="22" t="s">
        <v>382</v>
      </c>
      <c r="AM115" s="11" t="s">
        <v>14</v>
      </c>
      <c r="AN115" s="11" t="s">
        <v>29</v>
      </c>
      <c r="AO115" s="11" t="s">
        <v>383</v>
      </c>
      <c r="AP115" s="11" t="s">
        <v>14</v>
      </c>
      <c r="AQ115" s="11" t="s">
        <v>23</v>
      </c>
      <c r="AR115" s="14">
        <f t="shared" si="16"/>
        <v>9</v>
      </c>
      <c r="AS115" s="14">
        <f t="shared" si="17"/>
        <v>0</v>
      </c>
      <c r="AT115" s="14">
        <f t="shared" si="18"/>
        <v>0</v>
      </c>
      <c r="AU115" s="14">
        <f t="shared" si="19"/>
        <v>0</v>
      </c>
      <c r="AV115" s="14">
        <f t="shared" si="20"/>
        <v>0</v>
      </c>
      <c r="AW115" s="21" t="s">
        <v>70</v>
      </c>
    </row>
    <row r="116">
      <c r="A116" s="14">
        <v>7.0</v>
      </c>
      <c r="B116" s="21" t="s">
        <v>50</v>
      </c>
      <c r="C116" s="11" t="s">
        <v>384</v>
      </c>
      <c r="D116" s="11" t="s">
        <v>14</v>
      </c>
      <c r="E116" s="11" t="s">
        <v>21</v>
      </c>
      <c r="F116" s="10"/>
      <c r="G116" s="10"/>
      <c r="H116" s="11"/>
      <c r="I116" s="21" t="s">
        <v>50</v>
      </c>
      <c r="J116" s="11" t="s">
        <v>385</v>
      </c>
      <c r="K116" s="11" t="s">
        <v>14</v>
      </c>
      <c r="L116" s="11" t="s">
        <v>21</v>
      </c>
      <c r="M116" s="10"/>
      <c r="N116" s="11" t="s">
        <v>15</v>
      </c>
      <c r="O116" s="11"/>
      <c r="P116" s="21" t="s">
        <v>50</v>
      </c>
      <c r="Q116" s="10"/>
      <c r="R116" s="11" t="s">
        <v>14</v>
      </c>
      <c r="S116" s="11" t="s">
        <v>21</v>
      </c>
      <c r="T116" s="10"/>
      <c r="U116" s="10"/>
      <c r="V116" s="11"/>
      <c r="W116" s="21" t="s">
        <v>50</v>
      </c>
      <c r="X116" s="22" t="s">
        <v>386</v>
      </c>
      <c r="Y116" s="11" t="s">
        <v>14</v>
      </c>
      <c r="Z116" s="11" t="s">
        <v>29</v>
      </c>
      <c r="AA116" s="11" t="s">
        <v>387</v>
      </c>
      <c r="AB116" s="11" t="s">
        <v>14</v>
      </c>
      <c r="AC116" s="11" t="s">
        <v>23</v>
      </c>
      <c r="AD116" s="21" t="s">
        <v>50</v>
      </c>
      <c r="AE116" s="10"/>
      <c r="AF116" s="10"/>
      <c r="AG116" s="11"/>
      <c r="AH116" s="22" t="s">
        <v>388</v>
      </c>
      <c r="AI116" s="11" t="s">
        <v>14</v>
      </c>
      <c r="AJ116" s="11" t="s">
        <v>29</v>
      </c>
      <c r="AK116" s="21" t="s">
        <v>50</v>
      </c>
      <c r="AL116" s="10"/>
      <c r="AM116" s="11" t="s">
        <v>16</v>
      </c>
      <c r="AN116" s="11"/>
      <c r="AO116" s="11" t="s">
        <v>389</v>
      </c>
      <c r="AP116" s="11" t="s">
        <v>14</v>
      </c>
      <c r="AQ116" s="11" t="s">
        <v>23</v>
      </c>
      <c r="AR116" s="14">
        <f t="shared" si="16"/>
        <v>7</v>
      </c>
      <c r="AS116" s="14">
        <f t="shared" si="17"/>
        <v>1</v>
      </c>
      <c r="AT116" s="14">
        <f t="shared" si="18"/>
        <v>1</v>
      </c>
      <c r="AU116" s="14">
        <f t="shared" si="19"/>
        <v>0</v>
      </c>
      <c r="AV116" s="14">
        <f t="shared" si="20"/>
        <v>0</v>
      </c>
      <c r="AW116" s="21" t="s">
        <v>50</v>
      </c>
    </row>
    <row r="117">
      <c r="A117" s="14">
        <v>8.0</v>
      </c>
      <c r="B117" s="21" t="s">
        <v>90</v>
      </c>
      <c r="C117" s="11"/>
      <c r="D117" s="11" t="s">
        <v>16</v>
      </c>
      <c r="E117" s="11"/>
      <c r="F117" s="10"/>
      <c r="G117" s="10"/>
      <c r="H117" s="11"/>
      <c r="I117" s="21" t="s">
        <v>90</v>
      </c>
      <c r="J117" s="10"/>
      <c r="K117" s="11" t="s">
        <v>18</v>
      </c>
      <c r="L117" s="11"/>
      <c r="M117" s="10"/>
      <c r="N117" s="11" t="s">
        <v>18</v>
      </c>
      <c r="O117" s="11"/>
      <c r="P117" s="21" t="s">
        <v>90</v>
      </c>
      <c r="Q117" s="22" t="s">
        <v>390</v>
      </c>
      <c r="R117" s="11" t="s">
        <v>14</v>
      </c>
      <c r="S117" s="11" t="s">
        <v>29</v>
      </c>
      <c r="T117" s="10"/>
      <c r="U117" s="10"/>
      <c r="V117" s="11"/>
      <c r="W117" s="21" t="s">
        <v>90</v>
      </c>
      <c r="X117" s="22" t="s">
        <v>391</v>
      </c>
      <c r="Y117" s="11" t="s">
        <v>14</v>
      </c>
      <c r="Z117" s="11" t="s">
        <v>29</v>
      </c>
      <c r="AA117" s="11" t="s">
        <v>392</v>
      </c>
      <c r="AB117" s="11" t="s">
        <v>14</v>
      </c>
      <c r="AC117" s="11" t="s">
        <v>23</v>
      </c>
      <c r="AD117" s="21" t="s">
        <v>90</v>
      </c>
      <c r="AE117" s="10"/>
      <c r="AF117" s="10"/>
      <c r="AG117" s="11"/>
      <c r="AH117" s="10"/>
      <c r="AI117" s="10"/>
      <c r="AJ117" s="11"/>
      <c r="AK117" s="21" t="s">
        <v>90</v>
      </c>
      <c r="AL117" s="22" t="s">
        <v>393</v>
      </c>
      <c r="AM117" s="11" t="s">
        <v>14</v>
      </c>
      <c r="AN117" s="11" t="s">
        <v>29</v>
      </c>
      <c r="AO117" s="11" t="s">
        <v>394</v>
      </c>
      <c r="AP117" s="11" t="s">
        <v>14</v>
      </c>
      <c r="AQ117" s="11" t="s">
        <v>23</v>
      </c>
      <c r="AR117" s="14">
        <f t="shared" si="16"/>
        <v>5</v>
      </c>
      <c r="AS117" s="14">
        <f t="shared" si="17"/>
        <v>0</v>
      </c>
      <c r="AT117" s="14">
        <f t="shared" si="18"/>
        <v>1</v>
      </c>
      <c r="AU117" s="14">
        <f t="shared" si="19"/>
        <v>0</v>
      </c>
      <c r="AV117" s="14">
        <f t="shared" si="20"/>
        <v>2</v>
      </c>
      <c r="AW117" s="21" t="s">
        <v>90</v>
      </c>
    </row>
    <row r="118">
      <c r="A118" s="14">
        <v>9.0</v>
      </c>
      <c r="B118" s="21" t="s">
        <v>83</v>
      </c>
      <c r="C118" s="11" t="s">
        <v>395</v>
      </c>
      <c r="D118" s="11" t="s">
        <v>14</v>
      </c>
      <c r="E118" s="11" t="s">
        <v>21</v>
      </c>
      <c r="F118" s="10"/>
      <c r="G118" s="10"/>
      <c r="H118" s="11"/>
      <c r="I118" s="21" t="s">
        <v>83</v>
      </c>
      <c r="J118" s="22" t="s">
        <v>396</v>
      </c>
      <c r="K118" s="11" t="s">
        <v>14</v>
      </c>
      <c r="L118" s="11" t="s">
        <v>29</v>
      </c>
      <c r="M118" s="10"/>
      <c r="N118" s="11" t="s">
        <v>15</v>
      </c>
      <c r="O118" s="11"/>
      <c r="P118" s="21" t="s">
        <v>83</v>
      </c>
      <c r="Q118" s="10"/>
      <c r="R118" s="10"/>
      <c r="S118" s="11"/>
      <c r="T118" s="10"/>
      <c r="U118" s="10"/>
      <c r="V118" s="11"/>
      <c r="W118" s="21" t="s">
        <v>83</v>
      </c>
      <c r="X118" s="22" t="s">
        <v>397</v>
      </c>
      <c r="Y118" s="11" t="s">
        <v>14</v>
      </c>
      <c r="Z118" s="11" t="s">
        <v>29</v>
      </c>
      <c r="AA118" s="11" t="s">
        <v>398</v>
      </c>
      <c r="AB118" s="11" t="s">
        <v>14</v>
      </c>
      <c r="AC118" s="11" t="s">
        <v>23</v>
      </c>
      <c r="AD118" s="21" t="s">
        <v>83</v>
      </c>
      <c r="AE118" s="10"/>
      <c r="AF118" s="10"/>
      <c r="AG118" s="11"/>
      <c r="AH118" s="22" t="s">
        <v>399</v>
      </c>
      <c r="AI118" s="11" t="s">
        <v>14</v>
      </c>
      <c r="AJ118" s="11" t="s">
        <v>29</v>
      </c>
      <c r="AK118" s="21" t="s">
        <v>83</v>
      </c>
      <c r="AL118" s="22" t="s">
        <v>400</v>
      </c>
      <c r="AM118" s="11" t="s">
        <v>14</v>
      </c>
      <c r="AN118" s="11" t="s">
        <v>29</v>
      </c>
      <c r="AO118" s="11" t="s">
        <v>401</v>
      </c>
      <c r="AP118" s="11" t="s">
        <v>14</v>
      </c>
      <c r="AQ118" s="11" t="s">
        <v>23</v>
      </c>
      <c r="AR118" s="14">
        <f t="shared" si="16"/>
        <v>7</v>
      </c>
      <c r="AS118" s="14">
        <f t="shared" si="17"/>
        <v>1</v>
      </c>
      <c r="AT118" s="14">
        <f t="shared" si="18"/>
        <v>0</v>
      </c>
      <c r="AU118" s="14">
        <f t="shared" si="19"/>
        <v>0</v>
      </c>
      <c r="AV118" s="14">
        <f t="shared" si="20"/>
        <v>0</v>
      </c>
      <c r="AW118" s="21" t="s">
        <v>83</v>
      </c>
    </row>
    <row r="119">
      <c r="A119" s="14">
        <v>10.0</v>
      </c>
      <c r="B119" s="21" t="s">
        <v>39</v>
      </c>
      <c r="C119" s="11" t="s">
        <v>402</v>
      </c>
      <c r="D119" s="11" t="s">
        <v>14</v>
      </c>
      <c r="E119" s="11" t="s">
        <v>21</v>
      </c>
      <c r="F119" s="10"/>
      <c r="G119" s="10"/>
      <c r="H119" s="11"/>
      <c r="I119" s="21" t="s">
        <v>39</v>
      </c>
      <c r="J119" s="22" t="s">
        <v>403</v>
      </c>
      <c r="K119" s="11" t="s">
        <v>14</v>
      </c>
      <c r="L119" s="11" t="s">
        <v>29</v>
      </c>
      <c r="M119" s="10"/>
      <c r="N119" s="11" t="s">
        <v>18</v>
      </c>
      <c r="O119" s="11"/>
      <c r="P119" s="21" t="s">
        <v>39</v>
      </c>
      <c r="Q119" s="10"/>
      <c r="R119" s="11" t="s">
        <v>14</v>
      </c>
      <c r="S119" s="11" t="s">
        <v>21</v>
      </c>
      <c r="T119" s="11" t="s">
        <v>404</v>
      </c>
      <c r="U119" s="11" t="s">
        <v>14</v>
      </c>
      <c r="V119" s="11" t="s">
        <v>23</v>
      </c>
      <c r="W119" s="21" t="s">
        <v>39</v>
      </c>
      <c r="X119" s="22" t="s">
        <v>405</v>
      </c>
      <c r="Y119" s="11" t="s">
        <v>14</v>
      </c>
      <c r="Z119" s="11" t="s">
        <v>29</v>
      </c>
      <c r="AA119" s="10"/>
      <c r="AB119" s="10"/>
      <c r="AC119" s="11"/>
      <c r="AD119" s="21" t="s">
        <v>39</v>
      </c>
      <c r="AE119" s="22" t="s">
        <v>406</v>
      </c>
      <c r="AF119" s="11" t="s">
        <v>14</v>
      </c>
      <c r="AG119" s="11"/>
      <c r="AH119" s="22" t="s">
        <v>407</v>
      </c>
      <c r="AI119" s="11" t="s">
        <v>14</v>
      </c>
      <c r="AJ119" s="11" t="s">
        <v>29</v>
      </c>
      <c r="AK119" s="21" t="s">
        <v>39</v>
      </c>
      <c r="AL119" s="22" t="s">
        <v>408</v>
      </c>
      <c r="AM119" s="11" t="s">
        <v>14</v>
      </c>
      <c r="AN119" s="11" t="s">
        <v>29</v>
      </c>
      <c r="AO119" s="11" t="s">
        <v>409</v>
      </c>
      <c r="AP119" s="11" t="s">
        <v>14</v>
      </c>
      <c r="AQ119" s="11" t="s">
        <v>23</v>
      </c>
      <c r="AR119" s="14">
        <f t="shared" si="16"/>
        <v>9</v>
      </c>
      <c r="AS119" s="14">
        <f t="shared" si="17"/>
        <v>0</v>
      </c>
      <c r="AT119" s="14">
        <f t="shared" si="18"/>
        <v>0</v>
      </c>
      <c r="AU119" s="14">
        <f t="shared" si="19"/>
        <v>0</v>
      </c>
      <c r="AV119" s="14">
        <f t="shared" si="20"/>
        <v>1</v>
      </c>
      <c r="AW119" s="21" t="s">
        <v>39</v>
      </c>
    </row>
    <row r="120">
      <c r="A120" s="14">
        <v>11.0</v>
      </c>
      <c r="B120" s="21" t="s">
        <v>34</v>
      </c>
      <c r="C120" s="11"/>
      <c r="D120" s="11" t="s">
        <v>283</v>
      </c>
      <c r="E120" s="11"/>
      <c r="F120" s="10"/>
      <c r="G120" s="10"/>
      <c r="H120" s="11"/>
      <c r="I120" s="21" t="s">
        <v>34</v>
      </c>
      <c r="J120" s="10"/>
      <c r="K120" s="11" t="s">
        <v>18</v>
      </c>
      <c r="L120" s="11"/>
      <c r="M120" s="10"/>
      <c r="N120" s="11" t="s">
        <v>18</v>
      </c>
      <c r="O120" s="11"/>
      <c r="P120" s="21" t="s">
        <v>34</v>
      </c>
      <c r="Q120" s="22" t="s">
        <v>410</v>
      </c>
      <c r="R120" s="11" t="s">
        <v>14</v>
      </c>
      <c r="S120" s="11" t="s">
        <v>29</v>
      </c>
      <c r="T120" s="11" t="s">
        <v>411</v>
      </c>
      <c r="U120" s="11" t="s">
        <v>14</v>
      </c>
      <c r="V120" s="11" t="s">
        <v>23</v>
      </c>
      <c r="W120" s="21" t="s">
        <v>34</v>
      </c>
      <c r="X120" s="22" t="s">
        <v>412</v>
      </c>
      <c r="Y120" s="11" t="s">
        <v>14</v>
      </c>
      <c r="Z120" s="11" t="s">
        <v>29</v>
      </c>
      <c r="AA120" s="11" t="s">
        <v>413</v>
      </c>
      <c r="AB120" s="11" t="s">
        <v>14</v>
      </c>
      <c r="AC120" s="11" t="s">
        <v>23</v>
      </c>
      <c r="AD120" s="21" t="s">
        <v>34</v>
      </c>
      <c r="AE120" s="22" t="s">
        <v>414</v>
      </c>
      <c r="AF120" s="11" t="s">
        <v>14</v>
      </c>
      <c r="AG120" s="11" t="s">
        <v>21</v>
      </c>
      <c r="AH120" s="22" t="s">
        <v>415</v>
      </c>
      <c r="AI120" s="11" t="s">
        <v>14</v>
      </c>
      <c r="AJ120" s="11" t="s">
        <v>29</v>
      </c>
      <c r="AK120" s="21" t="s">
        <v>34</v>
      </c>
      <c r="AL120" s="10"/>
      <c r="AM120" s="11" t="s">
        <v>16</v>
      </c>
      <c r="AN120" s="11"/>
      <c r="AO120" s="11" t="s">
        <v>416</v>
      </c>
      <c r="AP120" s="11" t="s">
        <v>14</v>
      </c>
      <c r="AQ120" s="11" t="s">
        <v>23</v>
      </c>
      <c r="AR120" s="14">
        <f t="shared" si="16"/>
        <v>7</v>
      </c>
      <c r="AS120" s="14">
        <f t="shared" si="17"/>
        <v>0</v>
      </c>
      <c r="AT120" s="14">
        <f t="shared" si="18"/>
        <v>1</v>
      </c>
      <c r="AU120" s="14">
        <f t="shared" si="19"/>
        <v>0</v>
      </c>
      <c r="AV120" s="14">
        <f t="shared" si="20"/>
        <v>2</v>
      </c>
      <c r="AW120" s="21" t="s">
        <v>34</v>
      </c>
    </row>
    <row r="121">
      <c r="A121" s="14">
        <v>12.0</v>
      </c>
      <c r="B121" s="21" t="s">
        <v>113</v>
      </c>
      <c r="C121" s="22" t="s">
        <v>417</v>
      </c>
      <c r="D121" s="11"/>
      <c r="E121" s="11"/>
      <c r="F121" s="11" t="s">
        <v>418</v>
      </c>
      <c r="G121" s="10"/>
      <c r="H121" s="11"/>
      <c r="I121" s="21" t="s">
        <v>113</v>
      </c>
      <c r="J121" s="11" t="s">
        <v>419</v>
      </c>
      <c r="K121" s="11" t="s">
        <v>14</v>
      </c>
      <c r="L121" s="11" t="s">
        <v>21</v>
      </c>
      <c r="M121" s="22" t="s">
        <v>420</v>
      </c>
      <c r="N121" s="11" t="s">
        <v>14</v>
      </c>
      <c r="O121" s="11" t="s">
        <v>29</v>
      </c>
      <c r="P121" s="21" t="s">
        <v>113</v>
      </c>
      <c r="Q121" s="10"/>
      <c r="R121" s="11" t="s">
        <v>14</v>
      </c>
      <c r="S121" s="11" t="s">
        <v>21</v>
      </c>
      <c r="T121" s="11" t="s">
        <v>421</v>
      </c>
      <c r="U121" s="11" t="s">
        <v>14</v>
      </c>
      <c r="V121" s="11" t="s">
        <v>23</v>
      </c>
      <c r="W121" s="21" t="s">
        <v>113</v>
      </c>
      <c r="X121" s="22" t="s">
        <v>422</v>
      </c>
      <c r="Y121" s="11" t="s">
        <v>14</v>
      </c>
      <c r="Z121" s="11" t="s">
        <v>29</v>
      </c>
      <c r="AA121" s="10"/>
      <c r="AB121" s="10"/>
      <c r="AC121" s="11"/>
      <c r="AD121" s="21" t="s">
        <v>113</v>
      </c>
      <c r="AE121" s="22" t="s">
        <v>423</v>
      </c>
      <c r="AF121" s="11" t="s">
        <v>14</v>
      </c>
      <c r="AG121" s="11" t="s">
        <v>21</v>
      </c>
      <c r="AH121" s="22" t="s">
        <v>424</v>
      </c>
      <c r="AI121" s="11" t="s">
        <v>14</v>
      </c>
      <c r="AJ121" s="11" t="s">
        <v>29</v>
      </c>
      <c r="AK121" s="21" t="s">
        <v>113</v>
      </c>
      <c r="AL121" s="22" t="s">
        <v>424</v>
      </c>
      <c r="AM121" s="11" t="s">
        <v>14</v>
      </c>
      <c r="AN121" s="11" t="s">
        <v>29</v>
      </c>
      <c r="AO121" s="10"/>
      <c r="AP121" s="11" t="s">
        <v>18</v>
      </c>
      <c r="AQ121" s="11"/>
      <c r="AR121" s="14">
        <f t="shared" si="16"/>
        <v>8</v>
      </c>
      <c r="AS121" s="14">
        <f t="shared" si="17"/>
        <v>0</v>
      </c>
      <c r="AT121" s="14">
        <f t="shared" si="18"/>
        <v>0</v>
      </c>
      <c r="AU121" s="14">
        <f t="shared" si="19"/>
        <v>0</v>
      </c>
      <c r="AV121" s="14">
        <f t="shared" si="20"/>
        <v>1</v>
      </c>
      <c r="AW121" s="21" t="s">
        <v>113</v>
      </c>
    </row>
    <row r="122">
      <c r="A122" s="14">
        <v>13.0</v>
      </c>
      <c r="B122" s="21" t="s">
        <v>94</v>
      </c>
      <c r="C122" s="22" t="s">
        <v>425</v>
      </c>
      <c r="D122" s="11" t="s">
        <v>14</v>
      </c>
      <c r="E122" s="11" t="s">
        <v>29</v>
      </c>
      <c r="F122" s="11" t="s">
        <v>426</v>
      </c>
      <c r="G122" s="10"/>
      <c r="H122" s="11"/>
      <c r="I122" s="21" t="s">
        <v>94</v>
      </c>
      <c r="J122" s="22" t="s">
        <v>427</v>
      </c>
      <c r="K122" s="11" t="s">
        <v>14</v>
      </c>
      <c r="L122" s="11" t="s">
        <v>29</v>
      </c>
      <c r="M122" s="22" t="s">
        <v>428</v>
      </c>
      <c r="N122" s="11" t="s">
        <v>14</v>
      </c>
      <c r="O122" s="11" t="s">
        <v>29</v>
      </c>
      <c r="P122" s="21" t="s">
        <v>94</v>
      </c>
      <c r="Q122" s="22" t="s">
        <v>429</v>
      </c>
      <c r="R122" s="11" t="s">
        <v>14</v>
      </c>
      <c r="S122" s="11" t="s">
        <v>29</v>
      </c>
      <c r="T122" s="11" t="s">
        <v>430</v>
      </c>
      <c r="U122" s="11" t="s">
        <v>14</v>
      </c>
      <c r="V122" s="11" t="s">
        <v>23</v>
      </c>
      <c r="W122" s="21" t="s">
        <v>94</v>
      </c>
      <c r="X122" s="22" t="s">
        <v>431</v>
      </c>
      <c r="Y122" s="11" t="s">
        <v>14</v>
      </c>
      <c r="Z122" s="11" t="s">
        <v>29</v>
      </c>
      <c r="AA122" s="11" t="s">
        <v>432</v>
      </c>
      <c r="AB122" s="11" t="s">
        <v>14</v>
      </c>
      <c r="AC122" s="11" t="s">
        <v>23</v>
      </c>
      <c r="AD122" s="21" t="s">
        <v>94</v>
      </c>
      <c r="AE122" s="22" t="s">
        <v>433</v>
      </c>
      <c r="AF122" s="10"/>
      <c r="AG122" s="11"/>
      <c r="AH122" s="22" t="s">
        <v>434</v>
      </c>
      <c r="AI122" s="11" t="s">
        <v>14</v>
      </c>
      <c r="AJ122" s="11" t="s">
        <v>29</v>
      </c>
      <c r="AK122" s="21" t="s">
        <v>94</v>
      </c>
      <c r="AL122" s="22" t="s">
        <v>435</v>
      </c>
      <c r="AM122" s="11" t="s">
        <v>14</v>
      </c>
      <c r="AN122" s="11" t="s">
        <v>29</v>
      </c>
      <c r="AO122" s="11" t="s">
        <v>436</v>
      </c>
      <c r="AP122" s="11" t="s">
        <v>14</v>
      </c>
      <c r="AQ122" s="11" t="s">
        <v>23</v>
      </c>
      <c r="AR122" s="14">
        <f t="shared" si="16"/>
        <v>10</v>
      </c>
      <c r="AS122" s="14">
        <f t="shared" si="17"/>
        <v>0</v>
      </c>
      <c r="AT122" s="14">
        <f t="shared" si="18"/>
        <v>0</v>
      </c>
      <c r="AU122" s="14">
        <f t="shared" si="19"/>
        <v>0</v>
      </c>
      <c r="AV122" s="14">
        <f t="shared" si="20"/>
        <v>0</v>
      </c>
      <c r="AW122" s="21" t="s">
        <v>94</v>
      </c>
    </row>
    <row r="123">
      <c r="A123" s="14">
        <v>14.0</v>
      </c>
      <c r="B123" s="21" t="s">
        <v>105</v>
      </c>
      <c r="C123" s="22" t="s">
        <v>437</v>
      </c>
      <c r="D123" s="11" t="s">
        <v>14</v>
      </c>
      <c r="E123" s="11" t="s">
        <v>29</v>
      </c>
      <c r="F123" s="10"/>
      <c r="G123" s="10"/>
      <c r="H123" s="11"/>
      <c r="I123" s="21" t="s">
        <v>105</v>
      </c>
      <c r="J123" s="22" t="s">
        <v>438</v>
      </c>
      <c r="K123" s="11" t="s">
        <v>14</v>
      </c>
      <c r="L123" s="11" t="s">
        <v>29</v>
      </c>
      <c r="M123" s="22" t="s">
        <v>439</v>
      </c>
      <c r="N123" s="11" t="s">
        <v>14</v>
      </c>
      <c r="O123" s="11" t="s">
        <v>29</v>
      </c>
      <c r="P123" s="21" t="s">
        <v>105</v>
      </c>
      <c r="Q123" s="22" t="s">
        <v>440</v>
      </c>
      <c r="R123" s="11" t="s">
        <v>14</v>
      </c>
      <c r="S123" s="11" t="s">
        <v>29</v>
      </c>
      <c r="T123" s="11" t="s">
        <v>441</v>
      </c>
      <c r="U123" s="11" t="s">
        <v>14</v>
      </c>
      <c r="V123" s="11" t="s">
        <v>23</v>
      </c>
      <c r="W123" s="21" t="s">
        <v>105</v>
      </c>
      <c r="X123" s="22" t="s">
        <v>442</v>
      </c>
      <c r="Y123" s="11" t="s">
        <v>14</v>
      </c>
      <c r="Z123" s="11" t="s">
        <v>29</v>
      </c>
      <c r="AA123" s="10"/>
      <c r="AB123" s="10"/>
      <c r="AC123" s="11"/>
      <c r="AD123" s="21" t="s">
        <v>105</v>
      </c>
      <c r="AE123" s="22" t="s">
        <v>443</v>
      </c>
      <c r="AF123" s="11" t="s">
        <v>14</v>
      </c>
      <c r="AG123" s="11" t="s">
        <v>21</v>
      </c>
      <c r="AH123" s="22" t="s">
        <v>444</v>
      </c>
      <c r="AI123" s="11" t="s">
        <v>14</v>
      </c>
      <c r="AJ123" s="11" t="s">
        <v>29</v>
      </c>
      <c r="AK123" s="21" t="s">
        <v>105</v>
      </c>
      <c r="AL123" s="22" t="s">
        <v>445</v>
      </c>
      <c r="AM123" s="11" t="s">
        <v>14</v>
      </c>
      <c r="AN123" s="11" t="s">
        <v>29</v>
      </c>
      <c r="AO123" s="10"/>
      <c r="AP123" s="11" t="s">
        <v>18</v>
      </c>
      <c r="AQ123" s="11"/>
      <c r="AR123" s="14">
        <f t="shared" si="16"/>
        <v>9</v>
      </c>
      <c r="AS123" s="14">
        <f t="shared" si="17"/>
        <v>0</v>
      </c>
      <c r="AT123" s="14">
        <f t="shared" si="18"/>
        <v>0</v>
      </c>
      <c r="AU123" s="14">
        <f t="shared" si="19"/>
        <v>0</v>
      </c>
      <c r="AV123" s="14">
        <f t="shared" si="20"/>
        <v>1</v>
      </c>
      <c r="AW123" s="21" t="s">
        <v>105</v>
      </c>
    </row>
    <row r="124">
      <c r="A124" s="14">
        <v>15.0</v>
      </c>
      <c r="B124" s="21" t="s">
        <v>24</v>
      </c>
      <c r="C124" s="11" t="s">
        <v>446</v>
      </c>
      <c r="D124" s="11" t="s">
        <v>14</v>
      </c>
      <c r="E124" s="11" t="s">
        <v>21</v>
      </c>
      <c r="F124" s="10"/>
      <c r="G124" s="10"/>
      <c r="H124" s="11"/>
      <c r="I124" s="21" t="s">
        <v>24</v>
      </c>
      <c r="J124" s="22" t="s">
        <v>447</v>
      </c>
      <c r="K124" s="11" t="s">
        <v>14</v>
      </c>
      <c r="L124" s="11" t="s">
        <v>29</v>
      </c>
      <c r="M124" s="22" t="s">
        <v>448</v>
      </c>
      <c r="N124" s="11" t="s">
        <v>14</v>
      </c>
      <c r="O124" s="11" t="s">
        <v>29</v>
      </c>
      <c r="P124" s="21" t="s">
        <v>24</v>
      </c>
      <c r="Q124" s="22" t="s">
        <v>448</v>
      </c>
      <c r="R124" s="11" t="s">
        <v>14</v>
      </c>
      <c r="S124" s="11" t="s">
        <v>29</v>
      </c>
      <c r="T124" s="11" t="s">
        <v>449</v>
      </c>
      <c r="U124" s="11" t="s">
        <v>14</v>
      </c>
      <c r="V124" s="11" t="s">
        <v>23</v>
      </c>
      <c r="W124" s="21" t="s">
        <v>24</v>
      </c>
      <c r="X124" s="22" t="s">
        <v>450</v>
      </c>
      <c r="Y124" s="11" t="s">
        <v>14</v>
      </c>
      <c r="Z124" s="11" t="s">
        <v>29</v>
      </c>
      <c r="AA124" s="10"/>
      <c r="AB124" s="10"/>
      <c r="AC124" s="11"/>
      <c r="AD124" s="21" t="s">
        <v>24</v>
      </c>
      <c r="AE124" s="22" t="s">
        <v>451</v>
      </c>
      <c r="AF124" s="11" t="s">
        <v>14</v>
      </c>
      <c r="AG124" s="11" t="s">
        <v>21</v>
      </c>
      <c r="AH124" s="22" t="s">
        <v>452</v>
      </c>
      <c r="AI124" s="11" t="s">
        <v>14</v>
      </c>
      <c r="AJ124" s="11" t="s">
        <v>29</v>
      </c>
      <c r="AK124" s="21" t="s">
        <v>24</v>
      </c>
      <c r="AL124" s="22" t="s">
        <v>453</v>
      </c>
      <c r="AM124" s="11" t="s">
        <v>14</v>
      </c>
      <c r="AN124" s="11" t="s">
        <v>29</v>
      </c>
      <c r="AO124" s="10"/>
      <c r="AP124" s="11" t="s">
        <v>18</v>
      </c>
      <c r="AQ124" s="11"/>
      <c r="AR124" s="14">
        <f t="shared" si="16"/>
        <v>9</v>
      </c>
      <c r="AS124" s="14">
        <f t="shared" si="17"/>
        <v>0</v>
      </c>
      <c r="AT124" s="14">
        <f t="shared" si="18"/>
        <v>0</v>
      </c>
      <c r="AU124" s="14">
        <f t="shared" si="19"/>
        <v>0</v>
      </c>
      <c r="AV124" s="14">
        <f t="shared" si="20"/>
        <v>1</v>
      </c>
      <c r="AW124" s="21" t="s">
        <v>24</v>
      </c>
    </row>
    <row r="125">
      <c r="A125" s="14">
        <v>16.0</v>
      </c>
      <c r="B125" s="21" t="s">
        <v>43</v>
      </c>
      <c r="C125" s="22" t="s">
        <v>454</v>
      </c>
      <c r="D125" s="11" t="s">
        <v>14</v>
      </c>
      <c r="E125" s="11" t="s">
        <v>29</v>
      </c>
      <c r="F125" s="11" t="s">
        <v>455</v>
      </c>
      <c r="G125" s="11"/>
      <c r="H125" s="11"/>
      <c r="I125" s="21" t="s">
        <v>43</v>
      </c>
      <c r="J125" s="22" t="s">
        <v>456</v>
      </c>
      <c r="K125" s="11" t="s">
        <v>14</v>
      </c>
      <c r="L125" s="11"/>
      <c r="M125" s="22" t="s">
        <v>457</v>
      </c>
      <c r="N125" s="11" t="s">
        <v>14</v>
      </c>
      <c r="O125" s="11" t="s">
        <v>29</v>
      </c>
      <c r="P125" s="21" t="s">
        <v>43</v>
      </c>
      <c r="Q125" s="22" t="s">
        <v>458</v>
      </c>
      <c r="R125" s="11" t="s">
        <v>14</v>
      </c>
      <c r="S125" s="11" t="s">
        <v>29</v>
      </c>
      <c r="T125" s="11" t="s">
        <v>459</v>
      </c>
      <c r="U125" s="11" t="s">
        <v>14</v>
      </c>
      <c r="V125" s="11" t="s">
        <v>23</v>
      </c>
      <c r="W125" s="21" t="s">
        <v>43</v>
      </c>
      <c r="X125" s="22" t="s">
        <v>460</v>
      </c>
      <c r="Y125" s="11" t="s">
        <v>14</v>
      </c>
      <c r="Z125" s="11" t="s">
        <v>29</v>
      </c>
      <c r="AA125" s="11" t="s">
        <v>461</v>
      </c>
      <c r="AB125" s="11" t="s">
        <v>14</v>
      </c>
      <c r="AC125" s="11" t="s">
        <v>23</v>
      </c>
      <c r="AD125" s="21" t="s">
        <v>43</v>
      </c>
      <c r="AE125" s="22" t="s">
        <v>462</v>
      </c>
      <c r="AF125" s="10"/>
      <c r="AG125" s="11"/>
      <c r="AH125" s="22" t="s">
        <v>463</v>
      </c>
      <c r="AI125" s="11" t="s">
        <v>14</v>
      </c>
      <c r="AJ125" s="11" t="s">
        <v>29</v>
      </c>
      <c r="AK125" s="21" t="s">
        <v>43</v>
      </c>
      <c r="AL125" s="22" t="s">
        <v>464</v>
      </c>
      <c r="AM125" s="11" t="s">
        <v>14</v>
      </c>
      <c r="AN125" s="11" t="s">
        <v>29</v>
      </c>
      <c r="AO125" s="11" t="s">
        <v>465</v>
      </c>
      <c r="AP125" s="11" t="s">
        <v>14</v>
      </c>
      <c r="AQ125" s="11" t="s">
        <v>23</v>
      </c>
      <c r="AR125" s="14">
        <f t="shared" si="16"/>
        <v>10</v>
      </c>
      <c r="AS125" s="14">
        <f t="shared" si="17"/>
        <v>0</v>
      </c>
      <c r="AT125" s="14">
        <f t="shared" si="18"/>
        <v>0</v>
      </c>
      <c r="AU125" s="14">
        <f t="shared" si="19"/>
        <v>0</v>
      </c>
      <c r="AV125" s="14">
        <f t="shared" si="20"/>
        <v>0</v>
      </c>
      <c r="AW125" s="21" t="s">
        <v>43</v>
      </c>
    </row>
    <row r="126">
      <c r="A126" s="14">
        <v>17.0</v>
      </c>
      <c r="B126" s="21" t="s">
        <v>61</v>
      </c>
      <c r="C126" s="22" t="s">
        <v>466</v>
      </c>
      <c r="D126" s="11" t="s">
        <v>14</v>
      </c>
      <c r="E126" s="11" t="s">
        <v>29</v>
      </c>
      <c r="F126" s="10"/>
      <c r="G126" s="10"/>
      <c r="H126" s="11"/>
      <c r="I126" s="21" t="s">
        <v>61</v>
      </c>
      <c r="J126" s="22" t="s">
        <v>467</v>
      </c>
      <c r="K126" s="11" t="s">
        <v>14</v>
      </c>
      <c r="L126" s="11" t="s">
        <v>29</v>
      </c>
      <c r="M126" s="22" t="s">
        <v>468</v>
      </c>
      <c r="N126" s="11" t="s">
        <v>14</v>
      </c>
      <c r="O126" s="11" t="s">
        <v>29</v>
      </c>
      <c r="P126" s="21" t="s">
        <v>61</v>
      </c>
      <c r="Q126" s="22" t="s">
        <v>469</v>
      </c>
      <c r="R126" s="11" t="s">
        <v>14</v>
      </c>
      <c r="S126" s="11" t="s">
        <v>29</v>
      </c>
      <c r="T126" s="11" t="s">
        <v>470</v>
      </c>
      <c r="U126" s="11" t="s">
        <v>14</v>
      </c>
      <c r="V126" s="11" t="s">
        <v>23</v>
      </c>
      <c r="W126" s="21" t="s">
        <v>61</v>
      </c>
      <c r="X126" s="22" t="s">
        <v>471</v>
      </c>
      <c r="Y126" s="11" t="s">
        <v>14</v>
      </c>
      <c r="Z126" s="11" t="s">
        <v>29</v>
      </c>
      <c r="AA126" s="11" t="s">
        <v>472</v>
      </c>
      <c r="AB126" s="11" t="s">
        <v>14</v>
      </c>
      <c r="AC126" s="11" t="s">
        <v>23</v>
      </c>
      <c r="AD126" s="21" t="s">
        <v>61</v>
      </c>
      <c r="AE126" s="22" t="s">
        <v>473</v>
      </c>
      <c r="AF126" s="11" t="s">
        <v>14</v>
      </c>
      <c r="AG126" s="11" t="s">
        <v>21</v>
      </c>
      <c r="AH126" s="22" t="s">
        <v>474</v>
      </c>
      <c r="AI126" s="11" t="s">
        <v>14</v>
      </c>
      <c r="AJ126" s="11" t="s">
        <v>29</v>
      </c>
      <c r="AK126" s="21" t="s">
        <v>61</v>
      </c>
      <c r="AL126" s="22" t="s">
        <v>475</v>
      </c>
      <c r="AM126" s="11" t="s">
        <v>14</v>
      </c>
      <c r="AN126" s="11" t="s">
        <v>29</v>
      </c>
      <c r="AO126" s="11" t="s">
        <v>476</v>
      </c>
      <c r="AP126" s="11" t="s">
        <v>14</v>
      </c>
      <c r="AQ126" s="11" t="s">
        <v>23</v>
      </c>
      <c r="AR126" s="14">
        <f t="shared" si="16"/>
        <v>11</v>
      </c>
      <c r="AS126" s="14">
        <f t="shared" si="17"/>
        <v>0</v>
      </c>
      <c r="AT126" s="14">
        <f t="shared" si="18"/>
        <v>0</v>
      </c>
      <c r="AU126" s="14">
        <f t="shared" si="19"/>
        <v>0</v>
      </c>
      <c r="AV126" s="14">
        <f t="shared" si="20"/>
        <v>0</v>
      </c>
      <c r="AW126" s="21" t="s">
        <v>61</v>
      </c>
    </row>
    <row r="127">
      <c r="A127" s="14">
        <v>18.0</v>
      </c>
      <c r="B127" s="21" t="s">
        <v>128</v>
      </c>
      <c r="C127" s="22" t="s">
        <v>477</v>
      </c>
      <c r="D127" s="11" t="s">
        <v>14</v>
      </c>
      <c r="E127" s="11" t="s">
        <v>29</v>
      </c>
      <c r="F127" s="10"/>
      <c r="G127" s="10"/>
      <c r="H127" s="11"/>
      <c r="I127" s="21" t="s">
        <v>128</v>
      </c>
      <c r="J127" s="22" t="s">
        <v>478</v>
      </c>
      <c r="K127" s="11" t="s">
        <v>14</v>
      </c>
      <c r="L127" s="11" t="s">
        <v>29</v>
      </c>
      <c r="M127" s="22" t="s">
        <v>479</v>
      </c>
      <c r="N127" s="11" t="s">
        <v>14</v>
      </c>
      <c r="O127" s="11" t="s">
        <v>29</v>
      </c>
      <c r="P127" s="21" t="s">
        <v>128</v>
      </c>
      <c r="Q127" s="11" t="s">
        <v>480</v>
      </c>
      <c r="R127" s="11" t="s">
        <v>16</v>
      </c>
      <c r="S127" s="11" t="s">
        <v>23</v>
      </c>
      <c r="T127" s="10"/>
      <c r="U127" s="10"/>
      <c r="V127" s="11"/>
      <c r="W127" s="21" t="s">
        <v>128</v>
      </c>
      <c r="X127" s="22" t="s">
        <v>481</v>
      </c>
      <c r="Y127" s="11" t="s">
        <v>14</v>
      </c>
      <c r="Z127" s="11" t="s">
        <v>29</v>
      </c>
      <c r="AA127" s="11" t="s">
        <v>482</v>
      </c>
      <c r="AB127" s="11" t="s">
        <v>14</v>
      </c>
      <c r="AC127" s="11" t="s">
        <v>23</v>
      </c>
      <c r="AD127" s="21" t="s">
        <v>128</v>
      </c>
      <c r="AE127" s="10"/>
      <c r="AF127" s="10"/>
      <c r="AG127" s="11"/>
      <c r="AH127" s="22" t="s">
        <v>483</v>
      </c>
      <c r="AI127" s="11" t="s">
        <v>14</v>
      </c>
      <c r="AJ127" s="11" t="s">
        <v>29</v>
      </c>
      <c r="AK127" s="21" t="s">
        <v>128</v>
      </c>
      <c r="AL127" s="22" t="s">
        <v>478</v>
      </c>
      <c r="AM127" s="11" t="s">
        <v>14</v>
      </c>
      <c r="AN127" s="11" t="s">
        <v>29</v>
      </c>
      <c r="AO127" s="11" t="s">
        <v>484</v>
      </c>
      <c r="AP127" s="11" t="s">
        <v>14</v>
      </c>
      <c r="AQ127" s="11" t="s">
        <v>23</v>
      </c>
      <c r="AR127" s="14">
        <f t="shared" si="16"/>
        <v>8</v>
      </c>
      <c r="AS127" s="14">
        <f t="shared" si="17"/>
        <v>0</v>
      </c>
      <c r="AT127" s="14">
        <f t="shared" si="18"/>
        <v>1</v>
      </c>
      <c r="AU127" s="14">
        <f t="shared" si="19"/>
        <v>0</v>
      </c>
      <c r="AV127" s="14">
        <f t="shared" si="20"/>
        <v>0</v>
      </c>
      <c r="AW127" s="21" t="s">
        <v>128</v>
      </c>
    </row>
    <row r="128">
      <c r="A128" s="14">
        <v>19.0</v>
      </c>
      <c r="B128" s="24" t="s">
        <v>485</v>
      </c>
      <c r="C128" s="11" t="s">
        <v>486</v>
      </c>
      <c r="D128" s="11" t="s">
        <v>14</v>
      </c>
      <c r="E128" s="11" t="s">
        <v>21</v>
      </c>
      <c r="F128" s="10"/>
      <c r="G128" s="10"/>
      <c r="H128" s="10"/>
      <c r="I128" s="24" t="s">
        <v>487</v>
      </c>
      <c r="J128" s="22" t="s">
        <v>488</v>
      </c>
      <c r="K128" s="11" t="s">
        <v>14</v>
      </c>
      <c r="L128" s="11" t="s">
        <v>21</v>
      </c>
      <c r="M128" s="22" t="s">
        <v>489</v>
      </c>
      <c r="N128" s="11" t="s">
        <v>14</v>
      </c>
      <c r="O128" s="11" t="s">
        <v>29</v>
      </c>
      <c r="P128" s="24" t="s">
        <v>490</v>
      </c>
      <c r="Q128" s="10"/>
      <c r="R128" s="11" t="s">
        <v>14</v>
      </c>
      <c r="S128" s="11" t="s">
        <v>21</v>
      </c>
      <c r="T128" s="20" t="s">
        <v>491</v>
      </c>
      <c r="U128" s="11" t="s">
        <v>14</v>
      </c>
      <c r="V128" s="11" t="s">
        <v>23</v>
      </c>
      <c r="W128" s="24" t="s">
        <v>487</v>
      </c>
      <c r="X128" s="22" t="s">
        <v>492</v>
      </c>
      <c r="Y128" s="11" t="s">
        <v>14</v>
      </c>
      <c r="Z128" s="11" t="s">
        <v>29</v>
      </c>
      <c r="AA128" s="11" t="s">
        <v>493</v>
      </c>
      <c r="AB128" s="11" t="s">
        <v>14</v>
      </c>
      <c r="AC128" s="11" t="s">
        <v>23</v>
      </c>
      <c r="AD128" s="24" t="s">
        <v>485</v>
      </c>
      <c r="AE128" s="10"/>
      <c r="AF128" s="10"/>
      <c r="AG128" s="10"/>
      <c r="AH128" s="22" t="s">
        <v>494</v>
      </c>
      <c r="AI128" s="11" t="s">
        <v>14</v>
      </c>
      <c r="AJ128" s="11" t="s">
        <v>29</v>
      </c>
      <c r="AK128" s="24" t="s">
        <v>487</v>
      </c>
      <c r="AL128" s="22" t="s">
        <v>495</v>
      </c>
      <c r="AM128" s="11" t="s">
        <v>14</v>
      </c>
      <c r="AN128" s="11" t="s">
        <v>29</v>
      </c>
      <c r="AO128" s="11" t="s">
        <v>496</v>
      </c>
      <c r="AP128" s="11" t="s">
        <v>14</v>
      </c>
      <c r="AQ128" s="11" t="s">
        <v>23</v>
      </c>
      <c r="AR128" s="14">
        <f t="shared" si="16"/>
        <v>10</v>
      </c>
      <c r="AS128" s="14">
        <f t="shared" si="17"/>
        <v>0</v>
      </c>
      <c r="AT128" s="14">
        <f t="shared" si="18"/>
        <v>0</v>
      </c>
      <c r="AU128" s="14">
        <f t="shared" si="19"/>
        <v>0</v>
      </c>
      <c r="AV128" s="14">
        <f t="shared" si="20"/>
        <v>0</v>
      </c>
      <c r="AW128" s="10"/>
    </row>
    <row r="129">
      <c r="A129" s="14">
        <v>20.0</v>
      </c>
      <c r="B129" s="26" t="s">
        <v>135</v>
      </c>
      <c r="C129" s="13"/>
      <c r="D129" s="11" t="s">
        <v>283</v>
      </c>
      <c r="E129" s="11"/>
      <c r="F129" s="10"/>
      <c r="G129" s="10"/>
      <c r="H129" s="11"/>
      <c r="I129" s="26" t="s">
        <v>135</v>
      </c>
      <c r="J129" s="11" t="s">
        <v>497</v>
      </c>
      <c r="K129" s="11" t="s">
        <v>14</v>
      </c>
      <c r="L129" s="11" t="s">
        <v>21</v>
      </c>
      <c r="M129" s="10"/>
      <c r="N129" s="11"/>
      <c r="O129" s="11"/>
      <c r="P129" s="26" t="s">
        <v>135</v>
      </c>
      <c r="Q129" s="10"/>
      <c r="R129" s="11" t="s">
        <v>14</v>
      </c>
      <c r="S129" s="11" t="s">
        <v>21</v>
      </c>
      <c r="T129" s="10"/>
      <c r="U129" s="10"/>
      <c r="V129" s="11"/>
      <c r="W129" s="26" t="s">
        <v>135</v>
      </c>
      <c r="X129" s="10"/>
      <c r="Y129" s="10"/>
      <c r="Z129" s="11"/>
      <c r="AA129" s="10"/>
      <c r="AB129" s="10"/>
      <c r="AC129" s="11"/>
      <c r="AD129" s="26" t="s">
        <v>135</v>
      </c>
      <c r="AE129" s="10"/>
      <c r="AF129" s="10"/>
      <c r="AG129" s="11"/>
      <c r="AH129" s="10"/>
      <c r="AI129" s="10"/>
      <c r="AJ129" s="11"/>
      <c r="AK129" s="26" t="s">
        <v>135</v>
      </c>
      <c r="AL129" s="22" t="s">
        <v>498</v>
      </c>
      <c r="AM129" s="11" t="s">
        <v>14</v>
      </c>
      <c r="AN129" s="11" t="s">
        <v>21</v>
      </c>
      <c r="AO129" s="10"/>
      <c r="AP129" s="10"/>
      <c r="AQ129" s="11"/>
      <c r="AR129" s="14">
        <f t="shared" si="16"/>
        <v>3</v>
      </c>
      <c r="AS129" s="14">
        <f t="shared" si="17"/>
        <v>0</v>
      </c>
      <c r="AT129" s="14">
        <f t="shared" si="18"/>
        <v>0</v>
      </c>
      <c r="AU129" s="14">
        <f t="shared" si="19"/>
        <v>0</v>
      </c>
      <c r="AV129" s="14">
        <f t="shared" si="20"/>
        <v>0</v>
      </c>
      <c r="AW129" s="15" t="s">
        <v>135</v>
      </c>
    </row>
    <row r="130">
      <c r="A130" s="14">
        <v>21.0</v>
      </c>
      <c r="B130" s="13" t="s">
        <v>138</v>
      </c>
      <c r="C130" s="11" t="s">
        <v>499</v>
      </c>
      <c r="D130" s="11" t="s">
        <v>14</v>
      </c>
      <c r="E130" s="11" t="s">
        <v>21</v>
      </c>
      <c r="F130" s="10"/>
      <c r="G130" s="10"/>
      <c r="H130" s="11"/>
      <c r="I130" s="13" t="s">
        <v>138</v>
      </c>
      <c r="J130" s="11" t="s">
        <v>500</v>
      </c>
      <c r="K130" s="11" t="s">
        <v>14</v>
      </c>
      <c r="L130" s="11" t="s">
        <v>21</v>
      </c>
      <c r="M130" s="10"/>
      <c r="N130" s="11"/>
      <c r="O130" s="11"/>
      <c r="P130" s="13" t="s">
        <v>138</v>
      </c>
      <c r="Q130" s="10"/>
      <c r="R130" s="11" t="s">
        <v>14</v>
      </c>
      <c r="S130" s="11" t="s">
        <v>21</v>
      </c>
      <c r="T130" s="10"/>
      <c r="U130" s="10"/>
      <c r="V130" s="11"/>
      <c r="W130" s="13" t="s">
        <v>138</v>
      </c>
      <c r="X130" s="10"/>
      <c r="Y130" s="11" t="s">
        <v>14</v>
      </c>
      <c r="Z130" s="11" t="s">
        <v>21</v>
      </c>
      <c r="AA130" s="10"/>
      <c r="AB130" s="10"/>
      <c r="AC130" s="11"/>
      <c r="AD130" s="13" t="s">
        <v>138</v>
      </c>
      <c r="AE130" s="10"/>
      <c r="AF130" s="10"/>
      <c r="AG130" s="11"/>
      <c r="AH130" s="10"/>
      <c r="AI130" s="10"/>
      <c r="AJ130" s="11"/>
      <c r="AK130" s="13" t="s">
        <v>138</v>
      </c>
      <c r="AL130" s="10"/>
      <c r="AM130" s="10"/>
      <c r="AN130" s="11"/>
      <c r="AO130" s="10"/>
      <c r="AP130" s="10"/>
      <c r="AQ130" s="11"/>
      <c r="AR130" s="14">
        <f t="shared" si="16"/>
        <v>4</v>
      </c>
      <c r="AS130" s="14">
        <f t="shared" si="17"/>
        <v>0</v>
      </c>
      <c r="AT130" s="14">
        <f t="shared" si="18"/>
        <v>0</v>
      </c>
      <c r="AU130" s="14">
        <f t="shared" si="19"/>
        <v>0</v>
      </c>
      <c r="AV130" s="14">
        <f t="shared" si="20"/>
        <v>0</v>
      </c>
      <c r="AW130" s="13" t="s">
        <v>138</v>
      </c>
    </row>
    <row r="131">
      <c r="A131" s="14">
        <v>22.0</v>
      </c>
      <c r="B131" s="13" t="s">
        <v>139</v>
      </c>
      <c r="C131" s="10"/>
      <c r="D131" s="11"/>
      <c r="E131" s="11"/>
      <c r="F131" s="10"/>
      <c r="G131" s="10"/>
      <c r="H131" s="11"/>
      <c r="I131" s="13" t="s">
        <v>139</v>
      </c>
      <c r="J131" s="10"/>
      <c r="K131" s="11" t="s">
        <v>17</v>
      </c>
      <c r="L131" s="11"/>
      <c r="M131" s="10"/>
      <c r="N131" s="10"/>
      <c r="O131" s="11"/>
      <c r="P131" s="13" t="s">
        <v>139</v>
      </c>
      <c r="Q131" s="10"/>
      <c r="R131" s="10"/>
      <c r="S131" s="11"/>
      <c r="T131" s="10"/>
      <c r="U131" s="10"/>
      <c r="V131" s="11"/>
      <c r="W131" s="13" t="s">
        <v>139</v>
      </c>
      <c r="X131" s="10"/>
      <c r="Y131" s="10"/>
      <c r="Z131" s="11"/>
      <c r="AA131" s="10"/>
      <c r="AB131" s="10"/>
      <c r="AC131" s="11"/>
      <c r="AD131" s="13" t="s">
        <v>139</v>
      </c>
      <c r="AE131" s="10"/>
      <c r="AF131" s="10"/>
      <c r="AG131" s="11"/>
      <c r="AH131" s="10"/>
      <c r="AI131" s="10"/>
      <c r="AJ131" s="11"/>
      <c r="AK131" s="13" t="s">
        <v>139</v>
      </c>
      <c r="AL131" s="10"/>
      <c r="AM131" s="10"/>
      <c r="AN131" s="11"/>
      <c r="AO131" s="10"/>
      <c r="AP131" s="10"/>
      <c r="AQ131" s="11"/>
      <c r="AR131" s="14">
        <f t="shared" si="16"/>
        <v>0</v>
      </c>
      <c r="AS131" s="14">
        <f t="shared" si="17"/>
        <v>0</v>
      </c>
      <c r="AT131" s="14">
        <f t="shared" si="18"/>
        <v>0</v>
      </c>
      <c r="AU131" s="14">
        <f t="shared" si="19"/>
        <v>1</v>
      </c>
      <c r="AV131" s="14">
        <f t="shared" si="20"/>
        <v>0</v>
      </c>
      <c r="AW131" s="13" t="s">
        <v>139</v>
      </c>
    </row>
    <row r="132">
      <c r="A132" s="14">
        <v>23.0</v>
      </c>
      <c r="B132" s="13" t="s">
        <v>141</v>
      </c>
      <c r="C132" s="10"/>
      <c r="D132" s="11" t="s">
        <v>283</v>
      </c>
      <c r="E132" s="11"/>
      <c r="F132" s="10"/>
      <c r="G132" s="10"/>
      <c r="H132" s="11"/>
      <c r="I132" s="13" t="s">
        <v>141</v>
      </c>
      <c r="J132" s="10"/>
      <c r="K132" s="11" t="s">
        <v>18</v>
      </c>
      <c r="L132" s="11"/>
      <c r="M132" s="10"/>
      <c r="N132" s="10"/>
      <c r="O132" s="11"/>
      <c r="P132" s="13" t="s">
        <v>141</v>
      </c>
      <c r="Q132" s="10"/>
      <c r="R132" s="10"/>
      <c r="S132" s="11"/>
      <c r="T132" s="10"/>
      <c r="U132" s="10"/>
      <c r="V132" s="11"/>
      <c r="W132" s="13" t="s">
        <v>141</v>
      </c>
      <c r="X132" s="10"/>
      <c r="Y132" s="10"/>
      <c r="Z132" s="11"/>
      <c r="AA132" s="10"/>
      <c r="AB132" s="10"/>
      <c r="AC132" s="11"/>
      <c r="AD132" s="13" t="s">
        <v>141</v>
      </c>
      <c r="AE132" s="10"/>
      <c r="AF132" s="10"/>
      <c r="AG132" s="11"/>
      <c r="AH132" s="10"/>
      <c r="AI132" s="10"/>
      <c r="AJ132" s="11"/>
      <c r="AK132" s="13" t="s">
        <v>501</v>
      </c>
      <c r="AL132" s="22" t="s">
        <v>502</v>
      </c>
      <c r="AM132" s="11" t="s">
        <v>14</v>
      </c>
      <c r="AN132" s="11" t="s">
        <v>21</v>
      </c>
      <c r="AO132" s="10"/>
      <c r="AP132" s="10"/>
      <c r="AQ132" s="11"/>
      <c r="AR132" s="14">
        <f t="shared" si="16"/>
        <v>1</v>
      </c>
      <c r="AS132" s="14">
        <f t="shared" si="17"/>
        <v>0</v>
      </c>
      <c r="AT132" s="14">
        <f t="shared" si="18"/>
        <v>0</v>
      </c>
      <c r="AU132" s="14">
        <f t="shared" si="19"/>
        <v>0</v>
      </c>
      <c r="AV132" s="14">
        <f t="shared" si="20"/>
        <v>1</v>
      </c>
      <c r="AW132" s="13" t="s">
        <v>141</v>
      </c>
    </row>
    <row r="133">
      <c r="A133" s="14">
        <v>24.0</v>
      </c>
      <c r="B133" s="13" t="s">
        <v>142</v>
      </c>
      <c r="C133" s="10"/>
      <c r="D133" s="11" t="s">
        <v>283</v>
      </c>
      <c r="E133" s="11"/>
      <c r="F133" s="10"/>
      <c r="G133" s="10"/>
      <c r="H133" s="11"/>
      <c r="I133" s="13" t="s">
        <v>142</v>
      </c>
      <c r="J133" s="10"/>
      <c r="K133" s="11" t="s">
        <v>16</v>
      </c>
      <c r="L133" s="11"/>
      <c r="M133" s="10"/>
      <c r="N133" s="10"/>
      <c r="O133" s="11"/>
      <c r="P133" s="13" t="s">
        <v>142</v>
      </c>
      <c r="Q133" s="10"/>
      <c r="R133" s="10"/>
      <c r="S133" s="11"/>
      <c r="T133" s="10"/>
      <c r="U133" s="10"/>
      <c r="V133" s="11"/>
      <c r="W133" s="13" t="s">
        <v>142</v>
      </c>
      <c r="X133" s="10"/>
      <c r="Y133" s="10"/>
      <c r="Z133" s="11"/>
      <c r="AA133" s="10"/>
      <c r="AB133" s="10"/>
      <c r="AC133" s="11"/>
      <c r="AD133" s="13" t="s">
        <v>142</v>
      </c>
      <c r="AE133" s="10"/>
      <c r="AF133" s="10"/>
      <c r="AG133" s="11"/>
      <c r="AH133" s="10"/>
      <c r="AI133" s="10"/>
      <c r="AJ133" s="11"/>
      <c r="AK133" s="13" t="s">
        <v>142</v>
      </c>
      <c r="AL133" s="10"/>
      <c r="AM133" s="10"/>
      <c r="AN133" s="11"/>
      <c r="AO133" s="10"/>
      <c r="AP133" s="10"/>
      <c r="AQ133" s="11"/>
      <c r="AR133" s="14">
        <f t="shared" si="16"/>
        <v>0</v>
      </c>
      <c r="AS133" s="14">
        <f t="shared" si="17"/>
        <v>0</v>
      </c>
      <c r="AT133" s="14">
        <f t="shared" si="18"/>
        <v>1</v>
      </c>
      <c r="AU133" s="14">
        <f t="shared" si="19"/>
        <v>0</v>
      </c>
      <c r="AV133" s="14">
        <f t="shared" si="20"/>
        <v>0</v>
      </c>
      <c r="AW133" s="13" t="s">
        <v>142</v>
      </c>
    </row>
    <row r="134">
      <c r="A134" s="14">
        <v>25.0</v>
      </c>
      <c r="B134" s="13" t="s">
        <v>143</v>
      </c>
      <c r="C134" s="10"/>
      <c r="D134" s="11" t="s">
        <v>16</v>
      </c>
      <c r="E134" s="11"/>
      <c r="F134" s="10"/>
      <c r="G134" s="10"/>
      <c r="H134" s="11"/>
      <c r="I134" s="13" t="s">
        <v>143</v>
      </c>
      <c r="J134" s="10"/>
      <c r="K134" s="11" t="s">
        <v>16</v>
      </c>
      <c r="L134" s="11"/>
      <c r="M134" s="10"/>
      <c r="N134" s="10"/>
      <c r="O134" s="11"/>
      <c r="P134" s="13" t="s">
        <v>143</v>
      </c>
      <c r="Q134" s="10"/>
      <c r="R134" s="10"/>
      <c r="S134" s="11"/>
      <c r="T134" s="10"/>
      <c r="U134" s="10"/>
      <c r="V134" s="11"/>
      <c r="W134" s="13" t="s">
        <v>143</v>
      </c>
      <c r="X134" s="10"/>
      <c r="Y134" s="10"/>
      <c r="Z134" s="11"/>
      <c r="AA134" s="10"/>
      <c r="AB134" s="10"/>
      <c r="AC134" s="11"/>
      <c r="AD134" s="13" t="s">
        <v>143</v>
      </c>
      <c r="AE134" s="10"/>
      <c r="AF134" s="10"/>
      <c r="AG134" s="11"/>
      <c r="AH134" s="10"/>
      <c r="AI134" s="10"/>
      <c r="AJ134" s="11"/>
      <c r="AK134" s="13" t="s">
        <v>143</v>
      </c>
      <c r="AL134" s="10"/>
      <c r="AM134" s="10"/>
      <c r="AN134" s="11"/>
      <c r="AO134" s="10"/>
      <c r="AP134" s="10"/>
      <c r="AQ134" s="11"/>
      <c r="AR134" s="14">
        <f t="shared" si="16"/>
        <v>0</v>
      </c>
      <c r="AS134" s="14">
        <f t="shared" si="17"/>
        <v>0</v>
      </c>
      <c r="AT134" s="14">
        <f t="shared" si="18"/>
        <v>2</v>
      </c>
      <c r="AU134" s="14">
        <f t="shared" si="19"/>
        <v>0</v>
      </c>
      <c r="AV134" s="14">
        <f t="shared" si="20"/>
        <v>0</v>
      </c>
      <c r="AW134" s="13" t="s">
        <v>143</v>
      </c>
    </row>
    <row r="135">
      <c r="B135" s="27" t="s">
        <v>227</v>
      </c>
      <c r="C135" s="20" t="s">
        <v>503</v>
      </c>
      <c r="P135" s="20" t="s">
        <v>504</v>
      </c>
      <c r="R135" s="16"/>
      <c r="AR135" s="14">
        <f t="shared" si="16"/>
        <v>0</v>
      </c>
      <c r="AS135" s="14">
        <f t="shared" si="17"/>
        <v>0</v>
      </c>
      <c r="AT135" s="14">
        <f t="shared" si="18"/>
        <v>0</v>
      </c>
      <c r="AU135" s="14">
        <f t="shared" si="19"/>
        <v>0</v>
      </c>
      <c r="AV135" s="14">
        <f t="shared" si="20"/>
        <v>0</v>
      </c>
      <c r="AW135" s="14"/>
    </row>
    <row r="136">
      <c r="P136" s="20" t="s">
        <v>490</v>
      </c>
      <c r="R136" s="20"/>
      <c r="U136" s="28"/>
      <c r="V136" s="20"/>
      <c r="AR136" s="14">
        <f t="shared" si="16"/>
        <v>0</v>
      </c>
      <c r="AS136" s="14">
        <f t="shared" si="17"/>
        <v>0</v>
      </c>
      <c r="AT136" s="14">
        <f t="shared" si="18"/>
        <v>0</v>
      </c>
      <c r="AU136" s="14">
        <f t="shared" si="19"/>
        <v>0</v>
      </c>
      <c r="AV136" s="14">
        <f t="shared" si="20"/>
        <v>0</v>
      </c>
      <c r="AW136" s="14"/>
    </row>
    <row r="137">
      <c r="R137" s="16"/>
    </row>
    <row r="138">
      <c r="R138" s="16"/>
    </row>
    <row r="139">
      <c r="R139" s="16"/>
    </row>
    <row r="140">
      <c r="R140" s="16"/>
    </row>
    <row r="141">
      <c r="R141" s="16"/>
    </row>
    <row r="142">
      <c r="R142" s="16"/>
    </row>
    <row r="143">
      <c r="R143" s="16"/>
    </row>
    <row r="144">
      <c r="R144" s="16"/>
    </row>
    <row r="145">
      <c r="A145" s="24" t="s">
        <v>353</v>
      </c>
      <c r="AQ145" s="24"/>
      <c r="AR145" s="24"/>
      <c r="AS145" s="24"/>
      <c r="AT145" s="24"/>
      <c r="AU145" s="24"/>
      <c r="AV145" s="24"/>
      <c r="AW145" s="24"/>
    </row>
    <row r="146">
      <c r="A146" s="25" t="s">
        <v>2</v>
      </c>
      <c r="B146" s="25" t="s">
        <v>3</v>
      </c>
      <c r="C146" s="17" t="s">
        <v>354</v>
      </c>
      <c r="I146" s="17"/>
      <c r="J146" s="17" t="s">
        <v>355</v>
      </c>
      <c r="P146" s="17"/>
      <c r="Q146" s="17" t="s">
        <v>356</v>
      </c>
      <c r="W146" s="17"/>
      <c r="X146" s="17" t="s">
        <v>357</v>
      </c>
      <c r="AD146" s="17"/>
      <c r="AE146" s="17" t="s">
        <v>358</v>
      </c>
      <c r="AK146" s="17"/>
      <c r="AL146" s="17" t="s">
        <v>359</v>
      </c>
      <c r="AR146" s="5" t="s">
        <v>10</v>
      </c>
      <c r="AW146" s="5"/>
    </row>
    <row r="147">
      <c r="B147" s="25"/>
      <c r="C147" s="6" t="s">
        <v>11</v>
      </c>
      <c r="E147" s="7" t="s">
        <v>12</v>
      </c>
      <c r="F147" s="6" t="s">
        <v>13</v>
      </c>
      <c r="H147" s="7" t="s">
        <v>12</v>
      </c>
      <c r="I147" s="6"/>
      <c r="J147" s="6" t="s">
        <v>11</v>
      </c>
      <c r="L147" s="7" t="s">
        <v>12</v>
      </c>
      <c r="M147" s="6" t="s">
        <v>13</v>
      </c>
      <c r="O147" s="7" t="s">
        <v>12</v>
      </c>
      <c r="P147" s="6"/>
      <c r="Q147" s="6" t="s">
        <v>11</v>
      </c>
      <c r="S147" s="7" t="s">
        <v>12</v>
      </c>
      <c r="T147" s="6" t="s">
        <v>13</v>
      </c>
      <c r="V147" s="7" t="s">
        <v>12</v>
      </c>
      <c r="W147" s="6"/>
      <c r="X147" s="6" t="s">
        <v>11</v>
      </c>
      <c r="Z147" s="7" t="s">
        <v>12</v>
      </c>
      <c r="AA147" s="6" t="s">
        <v>13</v>
      </c>
      <c r="AC147" s="7" t="s">
        <v>12</v>
      </c>
      <c r="AD147" s="6"/>
      <c r="AE147" s="6" t="s">
        <v>11</v>
      </c>
      <c r="AG147" s="7" t="s">
        <v>12</v>
      </c>
      <c r="AH147" s="6" t="s">
        <v>13</v>
      </c>
      <c r="AJ147" s="7" t="s">
        <v>12</v>
      </c>
      <c r="AK147" s="6"/>
      <c r="AL147" s="6" t="s">
        <v>11</v>
      </c>
      <c r="AN147" s="7" t="s">
        <v>12</v>
      </c>
      <c r="AO147" s="6" t="s">
        <v>13</v>
      </c>
      <c r="AQ147" s="7" t="s">
        <v>12</v>
      </c>
      <c r="AR147" s="8" t="s">
        <v>14</v>
      </c>
      <c r="AS147" s="8" t="s">
        <v>15</v>
      </c>
      <c r="AT147" s="8" t="s">
        <v>16</v>
      </c>
      <c r="AU147" s="8" t="s">
        <v>17</v>
      </c>
      <c r="AV147" s="8" t="s">
        <v>18</v>
      </c>
      <c r="AW147" s="8"/>
    </row>
    <row r="148">
      <c r="A148" s="14">
        <v>1.0</v>
      </c>
      <c r="B148" s="21" t="s">
        <v>87</v>
      </c>
      <c r="C148" s="11"/>
      <c r="D148" s="11" t="s">
        <v>16</v>
      </c>
      <c r="E148" s="12"/>
      <c r="F148" s="10"/>
      <c r="G148" s="11" t="s">
        <v>14</v>
      </c>
      <c r="H148" s="11"/>
      <c r="I148" s="21" t="s">
        <v>87</v>
      </c>
      <c r="J148" s="10"/>
      <c r="K148" s="10"/>
      <c r="L148" s="11"/>
      <c r="M148" s="10"/>
      <c r="N148" s="11"/>
      <c r="O148" s="11"/>
      <c r="P148" s="21" t="s">
        <v>87</v>
      </c>
      <c r="Q148" s="10"/>
      <c r="R148" s="10"/>
      <c r="S148" s="11"/>
      <c r="T148" s="10"/>
      <c r="U148" s="10"/>
      <c r="V148" s="11"/>
      <c r="W148" s="21" t="s">
        <v>87</v>
      </c>
      <c r="X148" s="10"/>
      <c r="Y148" s="10"/>
      <c r="Z148" s="11"/>
      <c r="AA148" s="10"/>
      <c r="AB148" s="10"/>
      <c r="AC148" s="11"/>
      <c r="AD148" s="21" t="s">
        <v>87</v>
      </c>
      <c r="AE148" s="10"/>
      <c r="AF148" s="10"/>
      <c r="AG148" s="11"/>
      <c r="AH148" s="10"/>
      <c r="AI148" s="10"/>
      <c r="AJ148" s="11"/>
      <c r="AK148" s="21" t="s">
        <v>87</v>
      </c>
      <c r="AL148" s="10"/>
      <c r="AM148" s="11"/>
      <c r="AN148" s="11"/>
      <c r="AO148" s="10"/>
      <c r="AP148" s="11"/>
      <c r="AQ148" s="11"/>
      <c r="AR148" s="14">
        <f t="shared" ref="AR148:AR172" si="21">COUNTIF(G148:AK148,"H")</f>
        <v>1</v>
      </c>
      <c r="AS148" s="14">
        <f t="shared" ref="AS148:AS172" si="22">COUNTIF(G148:AK148,"I")</f>
        <v>0</v>
      </c>
      <c r="AT148" s="14">
        <f t="shared" ref="AT148:AT172" si="23">COUNTIF(G148:AK148,"TD")</f>
        <v>0</v>
      </c>
      <c r="AU148" s="14">
        <f t="shared" ref="AU148:AU172" si="24">COUNTIF(G148:AK148,"S")</f>
        <v>0</v>
      </c>
      <c r="AV148" s="14">
        <f t="shared" ref="AV148:AV172" si="25">COUNTIF(G148:AK148,"A")</f>
        <v>0</v>
      </c>
      <c r="AW148" s="21" t="s">
        <v>87</v>
      </c>
    </row>
    <row r="149">
      <c r="A149" s="14">
        <v>2.0</v>
      </c>
      <c r="B149" s="21" t="s">
        <v>19</v>
      </c>
      <c r="C149" s="10"/>
      <c r="D149" s="11"/>
      <c r="E149" s="11"/>
      <c r="F149" s="10"/>
      <c r="G149" s="10"/>
      <c r="H149" s="11"/>
      <c r="I149" s="21" t="s">
        <v>19</v>
      </c>
      <c r="J149" s="10"/>
      <c r="K149" s="10"/>
      <c r="L149" s="11"/>
      <c r="M149" s="10"/>
      <c r="N149" s="11"/>
      <c r="O149" s="11"/>
      <c r="P149" s="21" t="s">
        <v>19</v>
      </c>
      <c r="Q149" s="10"/>
      <c r="R149" s="11"/>
      <c r="S149" s="11"/>
      <c r="T149" s="10"/>
      <c r="U149" s="10"/>
      <c r="V149" s="11"/>
      <c r="W149" s="21" t="s">
        <v>19</v>
      </c>
      <c r="X149" s="10"/>
      <c r="Y149" s="11"/>
      <c r="Z149" s="11"/>
      <c r="AA149" s="10"/>
      <c r="AB149" s="10"/>
      <c r="AC149" s="11"/>
      <c r="AD149" s="21" t="s">
        <v>19</v>
      </c>
      <c r="AE149" s="10"/>
      <c r="AF149" s="10"/>
      <c r="AG149" s="11"/>
      <c r="AH149" s="10"/>
      <c r="AI149" s="10"/>
      <c r="AJ149" s="11"/>
      <c r="AK149" s="21" t="s">
        <v>19</v>
      </c>
      <c r="AL149" s="10"/>
      <c r="AM149" s="11"/>
      <c r="AN149" s="11"/>
      <c r="AO149" s="10"/>
      <c r="AP149" s="11"/>
      <c r="AQ149" s="11"/>
      <c r="AR149" s="14">
        <f t="shared" si="21"/>
        <v>0</v>
      </c>
      <c r="AS149" s="14">
        <f t="shared" si="22"/>
        <v>0</v>
      </c>
      <c r="AT149" s="14">
        <f t="shared" si="23"/>
        <v>0</v>
      </c>
      <c r="AU149" s="14">
        <f t="shared" si="24"/>
        <v>0</v>
      </c>
      <c r="AV149" s="14">
        <f t="shared" si="25"/>
        <v>0</v>
      </c>
      <c r="AW149" s="21" t="s">
        <v>19</v>
      </c>
    </row>
    <row r="150">
      <c r="A150" s="14">
        <v>3.0</v>
      </c>
      <c r="B150" s="21" t="s">
        <v>75</v>
      </c>
      <c r="C150" s="11" t="s">
        <v>505</v>
      </c>
      <c r="D150" s="11" t="s">
        <v>14</v>
      </c>
      <c r="E150" s="11" t="s">
        <v>29</v>
      </c>
      <c r="F150" s="10"/>
      <c r="G150" s="11" t="s">
        <v>14</v>
      </c>
      <c r="H150" s="11"/>
      <c r="I150" s="21" t="s">
        <v>75</v>
      </c>
      <c r="J150" s="22"/>
      <c r="K150" s="11"/>
      <c r="L150" s="11"/>
      <c r="M150" s="22"/>
      <c r="N150" s="11"/>
      <c r="O150" s="11"/>
      <c r="P150" s="21" t="s">
        <v>75</v>
      </c>
      <c r="Q150" s="10"/>
      <c r="R150" s="11"/>
      <c r="S150" s="11"/>
      <c r="T150" s="10"/>
      <c r="U150" s="10"/>
      <c r="V150" s="11"/>
      <c r="W150" s="21" t="s">
        <v>75</v>
      </c>
      <c r="X150" s="22"/>
      <c r="Y150" s="11"/>
      <c r="Z150" s="11"/>
      <c r="AA150" s="10"/>
      <c r="AB150" s="10"/>
      <c r="AC150" s="11"/>
      <c r="AD150" s="21" t="s">
        <v>75</v>
      </c>
      <c r="AE150" s="22"/>
      <c r="AF150" s="11"/>
      <c r="AG150" s="11"/>
      <c r="AH150" s="22"/>
      <c r="AI150" s="11"/>
      <c r="AJ150" s="11"/>
      <c r="AK150" s="21" t="s">
        <v>75</v>
      </c>
      <c r="AL150" s="10"/>
      <c r="AM150" s="11"/>
      <c r="AN150" s="11"/>
      <c r="AO150" s="11"/>
      <c r="AP150" s="11"/>
      <c r="AQ150" s="11"/>
      <c r="AR150" s="14">
        <f t="shared" si="21"/>
        <v>1</v>
      </c>
      <c r="AS150" s="14">
        <f t="shared" si="22"/>
        <v>0</v>
      </c>
      <c r="AT150" s="14">
        <f t="shared" si="23"/>
        <v>0</v>
      </c>
      <c r="AU150" s="14">
        <f t="shared" si="24"/>
        <v>0</v>
      </c>
      <c r="AV150" s="14">
        <f t="shared" si="25"/>
        <v>0</v>
      </c>
      <c r="AW150" s="21" t="s">
        <v>75</v>
      </c>
    </row>
    <row r="151">
      <c r="A151" s="14">
        <v>4.0</v>
      </c>
      <c r="B151" s="21" t="s">
        <v>49</v>
      </c>
      <c r="C151" s="11"/>
      <c r="D151" s="11"/>
      <c r="E151" s="11"/>
      <c r="F151" s="10"/>
      <c r="G151" s="10"/>
      <c r="H151" s="11"/>
      <c r="I151" s="21" t="s">
        <v>49</v>
      </c>
      <c r="J151" s="10"/>
      <c r="K151" s="11"/>
      <c r="L151" s="11"/>
      <c r="M151" s="10"/>
      <c r="N151" s="11"/>
      <c r="O151" s="11"/>
      <c r="P151" s="21" t="s">
        <v>49</v>
      </c>
      <c r="Q151" s="10"/>
      <c r="R151" s="11"/>
      <c r="S151" s="11"/>
      <c r="T151" s="10"/>
      <c r="U151" s="10"/>
      <c r="V151" s="11"/>
      <c r="W151" s="21" t="s">
        <v>49</v>
      </c>
      <c r="X151" s="10"/>
      <c r="Y151" s="11"/>
      <c r="Z151" s="11"/>
      <c r="AA151" s="10"/>
      <c r="AB151" s="10"/>
      <c r="AC151" s="11"/>
      <c r="AD151" s="21" t="s">
        <v>49</v>
      </c>
      <c r="AE151" s="10"/>
      <c r="AF151" s="10"/>
      <c r="AG151" s="11"/>
      <c r="AH151" s="10"/>
      <c r="AI151" s="10"/>
      <c r="AJ151" s="11"/>
      <c r="AK151" s="21" t="s">
        <v>49</v>
      </c>
      <c r="AL151" s="10"/>
      <c r="AM151" s="11"/>
      <c r="AN151" s="11"/>
      <c r="AO151" s="10"/>
      <c r="AP151" s="11"/>
      <c r="AQ151" s="11"/>
      <c r="AR151" s="14">
        <f t="shared" si="21"/>
        <v>0</v>
      </c>
      <c r="AS151" s="14">
        <f t="shared" si="22"/>
        <v>0</v>
      </c>
      <c r="AT151" s="14">
        <f t="shared" si="23"/>
        <v>0</v>
      </c>
      <c r="AU151" s="14">
        <f t="shared" si="24"/>
        <v>0</v>
      </c>
      <c r="AV151" s="14">
        <f t="shared" si="25"/>
        <v>0</v>
      </c>
      <c r="AW151" s="21" t="s">
        <v>49</v>
      </c>
    </row>
    <row r="152">
      <c r="A152" s="14">
        <v>5.0</v>
      </c>
      <c r="B152" s="21" t="s">
        <v>122</v>
      </c>
      <c r="C152" s="11" t="s">
        <v>506</v>
      </c>
      <c r="D152" s="11" t="s">
        <v>14</v>
      </c>
      <c r="E152" s="11" t="s">
        <v>29</v>
      </c>
      <c r="F152" s="10"/>
      <c r="G152" s="11" t="s">
        <v>18</v>
      </c>
      <c r="H152" s="11"/>
      <c r="I152" s="21" t="s">
        <v>122</v>
      </c>
      <c r="J152" s="22" t="s">
        <v>507</v>
      </c>
      <c r="K152" s="11" t="s">
        <v>14</v>
      </c>
      <c r="L152" s="11" t="s">
        <v>29</v>
      </c>
      <c r="M152" s="10"/>
      <c r="N152" s="11"/>
      <c r="O152" s="11"/>
      <c r="P152" s="21" t="s">
        <v>122</v>
      </c>
      <c r="Q152" s="22"/>
      <c r="R152" s="11"/>
      <c r="S152" s="11"/>
      <c r="T152" s="10"/>
      <c r="U152" s="10"/>
      <c r="V152" s="11"/>
      <c r="W152" s="21" t="s">
        <v>122</v>
      </c>
      <c r="X152" s="22"/>
      <c r="Y152" s="11"/>
      <c r="Z152" s="11"/>
      <c r="AA152" s="10"/>
      <c r="AB152" s="10"/>
      <c r="AC152" s="11"/>
      <c r="AD152" s="21" t="s">
        <v>122</v>
      </c>
      <c r="AE152" s="22"/>
      <c r="AF152" s="10"/>
      <c r="AG152" s="11"/>
      <c r="AH152" s="10"/>
      <c r="AI152" s="10"/>
      <c r="AJ152" s="11"/>
      <c r="AK152" s="21" t="s">
        <v>122</v>
      </c>
      <c r="AL152" s="22"/>
      <c r="AM152" s="11"/>
      <c r="AN152" s="11"/>
      <c r="AO152" s="11"/>
      <c r="AP152" s="11"/>
      <c r="AQ152" s="11"/>
      <c r="AR152" s="14">
        <f t="shared" si="21"/>
        <v>1</v>
      </c>
      <c r="AS152" s="14">
        <f t="shared" si="22"/>
        <v>0</v>
      </c>
      <c r="AT152" s="14">
        <f t="shared" si="23"/>
        <v>0</v>
      </c>
      <c r="AU152" s="14">
        <f t="shared" si="24"/>
        <v>0</v>
      </c>
      <c r="AV152" s="14">
        <f t="shared" si="25"/>
        <v>1</v>
      </c>
      <c r="AW152" s="21" t="s">
        <v>122</v>
      </c>
    </row>
    <row r="153">
      <c r="A153" s="14">
        <v>6.0</v>
      </c>
      <c r="B153" s="21" t="s">
        <v>70</v>
      </c>
      <c r="C153" s="11" t="s">
        <v>508</v>
      </c>
      <c r="D153" s="11" t="s">
        <v>14</v>
      </c>
      <c r="E153" s="11" t="s">
        <v>23</v>
      </c>
      <c r="F153" s="10"/>
      <c r="G153" s="11" t="s">
        <v>14</v>
      </c>
      <c r="H153" s="11"/>
      <c r="I153" s="21" t="s">
        <v>70</v>
      </c>
      <c r="J153" s="22" t="s">
        <v>509</v>
      </c>
      <c r="K153" s="11" t="s">
        <v>14</v>
      </c>
      <c r="L153" s="11" t="s">
        <v>29</v>
      </c>
      <c r="M153" s="11" t="s">
        <v>510</v>
      </c>
      <c r="N153" s="11" t="s">
        <v>14</v>
      </c>
      <c r="O153" s="11" t="s">
        <v>23</v>
      </c>
      <c r="P153" s="21" t="s">
        <v>70</v>
      </c>
      <c r="Q153" s="22"/>
      <c r="R153" s="11"/>
      <c r="S153" s="11"/>
      <c r="T153" s="11"/>
      <c r="U153" s="11"/>
      <c r="V153" s="11"/>
      <c r="W153" s="21" t="s">
        <v>70</v>
      </c>
      <c r="X153" s="22"/>
      <c r="Y153" s="11"/>
      <c r="Z153" s="11"/>
      <c r="AA153" s="11"/>
      <c r="AB153" s="11"/>
      <c r="AC153" s="11"/>
      <c r="AD153" s="21" t="s">
        <v>70</v>
      </c>
      <c r="AE153" s="22"/>
      <c r="AF153" s="11"/>
      <c r="AG153" s="11"/>
      <c r="AH153" s="10"/>
      <c r="AI153" s="10"/>
      <c r="AJ153" s="11"/>
      <c r="AK153" s="21" t="s">
        <v>70</v>
      </c>
      <c r="AL153" s="22"/>
      <c r="AM153" s="11"/>
      <c r="AN153" s="11"/>
      <c r="AO153" s="11"/>
      <c r="AP153" s="11"/>
      <c r="AQ153" s="11"/>
      <c r="AR153" s="14">
        <f t="shared" si="21"/>
        <v>3</v>
      </c>
      <c r="AS153" s="14">
        <f t="shared" si="22"/>
        <v>0</v>
      </c>
      <c r="AT153" s="14">
        <f t="shared" si="23"/>
        <v>0</v>
      </c>
      <c r="AU153" s="14">
        <f t="shared" si="24"/>
        <v>0</v>
      </c>
      <c r="AV153" s="14">
        <f t="shared" si="25"/>
        <v>0</v>
      </c>
      <c r="AW153" s="21" t="s">
        <v>70</v>
      </c>
    </row>
    <row r="154">
      <c r="A154" s="14">
        <v>7.0</v>
      </c>
      <c r="B154" s="21" t="s">
        <v>50</v>
      </c>
      <c r="C154" s="11" t="s">
        <v>511</v>
      </c>
      <c r="D154" s="11" t="s">
        <v>14</v>
      </c>
      <c r="E154" s="11" t="s">
        <v>29</v>
      </c>
      <c r="F154" s="11" t="s">
        <v>512</v>
      </c>
      <c r="G154" s="11" t="s">
        <v>14</v>
      </c>
      <c r="H154" s="11" t="s">
        <v>23</v>
      </c>
      <c r="I154" s="21" t="s">
        <v>50</v>
      </c>
      <c r="J154" s="11"/>
      <c r="K154" s="11"/>
      <c r="L154" s="11"/>
      <c r="M154" s="10"/>
      <c r="N154" s="11"/>
      <c r="O154" s="11"/>
      <c r="P154" s="21" t="s">
        <v>50</v>
      </c>
      <c r="Q154" s="10"/>
      <c r="R154" s="11"/>
      <c r="S154" s="11"/>
      <c r="T154" s="10"/>
      <c r="U154" s="10"/>
      <c r="V154" s="11"/>
      <c r="W154" s="21" t="s">
        <v>50</v>
      </c>
      <c r="X154" s="22"/>
      <c r="Y154" s="11"/>
      <c r="Z154" s="11"/>
      <c r="AA154" s="11"/>
      <c r="AB154" s="11"/>
      <c r="AC154" s="11"/>
      <c r="AD154" s="21" t="s">
        <v>50</v>
      </c>
      <c r="AE154" s="10"/>
      <c r="AF154" s="10"/>
      <c r="AG154" s="11"/>
      <c r="AH154" s="22"/>
      <c r="AI154" s="11"/>
      <c r="AJ154" s="11"/>
      <c r="AK154" s="21" t="s">
        <v>50</v>
      </c>
      <c r="AL154" s="10"/>
      <c r="AM154" s="11"/>
      <c r="AN154" s="11"/>
      <c r="AO154" s="11"/>
      <c r="AP154" s="11"/>
      <c r="AQ154" s="11"/>
      <c r="AR154" s="14">
        <f t="shared" si="21"/>
        <v>1</v>
      </c>
      <c r="AS154" s="14">
        <f t="shared" si="22"/>
        <v>0</v>
      </c>
      <c r="AT154" s="14">
        <f t="shared" si="23"/>
        <v>0</v>
      </c>
      <c r="AU154" s="14">
        <f t="shared" si="24"/>
        <v>0</v>
      </c>
      <c r="AV154" s="14">
        <f t="shared" si="25"/>
        <v>0</v>
      </c>
      <c r="AW154" s="21" t="s">
        <v>50</v>
      </c>
    </row>
    <row r="155">
      <c r="A155" s="14">
        <v>8.0</v>
      </c>
      <c r="B155" s="21" t="s">
        <v>90</v>
      </c>
      <c r="C155" s="11" t="s">
        <v>513</v>
      </c>
      <c r="D155" s="11" t="s">
        <v>14</v>
      </c>
      <c r="E155" s="11" t="s">
        <v>29</v>
      </c>
      <c r="F155" s="10"/>
      <c r="G155" s="11" t="s">
        <v>14</v>
      </c>
      <c r="H155" s="11"/>
      <c r="I155" s="21" t="s">
        <v>90</v>
      </c>
      <c r="J155" s="10"/>
      <c r="K155" s="11"/>
      <c r="L155" s="11"/>
      <c r="M155" s="10"/>
      <c r="N155" s="11"/>
      <c r="O155" s="11"/>
      <c r="P155" s="21" t="s">
        <v>90</v>
      </c>
      <c r="Q155" s="22"/>
      <c r="R155" s="11"/>
      <c r="S155" s="11"/>
      <c r="T155" s="10"/>
      <c r="U155" s="10"/>
      <c r="V155" s="11"/>
      <c r="W155" s="21" t="s">
        <v>90</v>
      </c>
      <c r="X155" s="22"/>
      <c r="Y155" s="11"/>
      <c r="Z155" s="11"/>
      <c r="AA155" s="11"/>
      <c r="AB155" s="11"/>
      <c r="AC155" s="11"/>
      <c r="AD155" s="21" t="s">
        <v>90</v>
      </c>
      <c r="AE155" s="10"/>
      <c r="AF155" s="10"/>
      <c r="AG155" s="11"/>
      <c r="AH155" s="10"/>
      <c r="AI155" s="10"/>
      <c r="AJ155" s="11"/>
      <c r="AK155" s="21" t="s">
        <v>90</v>
      </c>
      <c r="AL155" s="22"/>
      <c r="AM155" s="11"/>
      <c r="AN155" s="11"/>
      <c r="AO155" s="11"/>
      <c r="AP155" s="11"/>
      <c r="AQ155" s="11"/>
      <c r="AR155" s="14">
        <f t="shared" si="21"/>
        <v>1</v>
      </c>
      <c r="AS155" s="14">
        <f t="shared" si="22"/>
        <v>0</v>
      </c>
      <c r="AT155" s="14">
        <f t="shared" si="23"/>
        <v>0</v>
      </c>
      <c r="AU155" s="14">
        <f t="shared" si="24"/>
        <v>0</v>
      </c>
      <c r="AV155" s="14">
        <f t="shared" si="25"/>
        <v>0</v>
      </c>
      <c r="AW155" s="21" t="s">
        <v>90</v>
      </c>
    </row>
    <row r="156">
      <c r="A156" s="14">
        <v>9.0</v>
      </c>
      <c r="B156" s="21" t="s">
        <v>83</v>
      </c>
      <c r="C156" s="11" t="s">
        <v>514</v>
      </c>
      <c r="D156" s="11" t="s">
        <v>14</v>
      </c>
      <c r="E156" s="11" t="s">
        <v>23</v>
      </c>
      <c r="F156" s="10"/>
      <c r="G156" s="11" t="s">
        <v>18</v>
      </c>
      <c r="H156" s="11"/>
      <c r="I156" s="21" t="s">
        <v>83</v>
      </c>
      <c r="J156" s="22" t="s">
        <v>515</v>
      </c>
      <c r="K156" s="11" t="s">
        <v>14</v>
      </c>
      <c r="L156" s="11" t="s">
        <v>29</v>
      </c>
      <c r="M156" s="10"/>
      <c r="N156" s="11"/>
      <c r="O156" s="11"/>
      <c r="P156" s="21" t="s">
        <v>83</v>
      </c>
      <c r="Q156" s="10"/>
      <c r="R156" s="10"/>
      <c r="S156" s="11"/>
      <c r="T156" s="10"/>
      <c r="U156" s="10"/>
      <c r="V156" s="11"/>
      <c r="W156" s="21" t="s">
        <v>83</v>
      </c>
      <c r="X156" s="22"/>
      <c r="Y156" s="11"/>
      <c r="Z156" s="11"/>
      <c r="AA156" s="11"/>
      <c r="AB156" s="11"/>
      <c r="AC156" s="11"/>
      <c r="AD156" s="21" t="s">
        <v>83</v>
      </c>
      <c r="AE156" s="10"/>
      <c r="AF156" s="10"/>
      <c r="AG156" s="11"/>
      <c r="AH156" s="22"/>
      <c r="AI156" s="11"/>
      <c r="AJ156" s="11"/>
      <c r="AK156" s="21" t="s">
        <v>83</v>
      </c>
      <c r="AL156" s="22"/>
      <c r="AM156" s="11"/>
      <c r="AN156" s="11"/>
      <c r="AO156" s="11"/>
      <c r="AP156" s="11"/>
      <c r="AQ156" s="11"/>
      <c r="AR156" s="14">
        <f t="shared" si="21"/>
        <v>1</v>
      </c>
      <c r="AS156" s="14">
        <f t="shared" si="22"/>
        <v>0</v>
      </c>
      <c r="AT156" s="14">
        <f t="shared" si="23"/>
        <v>0</v>
      </c>
      <c r="AU156" s="14">
        <f t="shared" si="24"/>
        <v>0</v>
      </c>
      <c r="AV156" s="14">
        <f t="shared" si="25"/>
        <v>1</v>
      </c>
      <c r="AW156" s="21" t="s">
        <v>83</v>
      </c>
    </row>
    <row r="157">
      <c r="A157" s="14">
        <v>10.0</v>
      </c>
      <c r="B157" s="21" t="s">
        <v>39</v>
      </c>
      <c r="C157" s="11" t="s">
        <v>516</v>
      </c>
      <c r="D157" s="11" t="s">
        <v>14</v>
      </c>
      <c r="E157" s="11" t="s">
        <v>23</v>
      </c>
      <c r="F157" s="10"/>
      <c r="G157" s="11" t="s">
        <v>14</v>
      </c>
      <c r="H157" s="11"/>
      <c r="I157" s="21" t="s">
        <v>39</v>
      </c>
      <c r="J157" s="22"/>
      <c r="K157" s="11"/>
      <c r="L157" s="11"/>
      <c r="M157" s="10"/>
      <c r="N157" s="11"/>
      <c r="O157" s="11"/>
      <c r="P157" s="21" t="s">
        <v>39</v>
      </c>
      <c r="Q157" s="10"/>
      <c r="R157" s="11"/>
      <c r="S157" s="11"/>
      <c r="T157" s="11"/>
      <c r="U157" s="11"/>
      <c r="V157" s="11"/>
      <c r="W157" s="21" t="s">
        <v>39</v>
      </c>
      <c r="X157" s="22"/>
      <c r="Y157" s="11"/>
      <c r="Z157" s="11"/>
      <c r="AA157" s="10"/>
      <c r="AB157" s="10"/>
      <c r="AC157" s="11"/>
      <c r="AD157" s="21" t="s">
        <v>39</v>
      </c>
      <c r="AE157" s="22"/>
      <c r="AF157" s="11"/>
      <c r="AG157" s="11"/>
      <c r="AH157" s="22"/>
      <c r="AI157" s="11"/>
      <c r="AJ157" s="11"/>
      <c r="AK157" s="21" t="s">
        <v>39</v>
      </c>
      <c r="AL157" s="22"/>
      <c r="AM157" s="11"/>
      <c r="AN157" s="11"/>
      <c r="AO157" s="11"/>
      <c r="AP157" s="11"/>
      <c r="AQ157" s="11"/>
      <c r="AR157" s="14">
        <f t="shared" si="21"/>
        <v>1</v>
      </c>
      <c r="AS157" s="14">
        <f t="shared" si="22"/>
        <v>0</v>
      </c>
      <c r="AT157" s="14">
        <f t="shared" si="23"/>
        <v>0</v>
      </c>
      <c r="AU157" s="14">
        <f t="shared" si="24"/>
        <v>0</v>
      </c>
      <c r="AV157" s="14">
        <f t="shared" si="25"/>
        <v>0</v>
      </c>
      <c r="AW157" s="21" t="s">
        <v>39</v>
      </c>
    </row>
    <row r="158">
      <c r="A158" s="14">
        <v>11.0</v>
      </c>
      <c r="B158" s="21" t="s">
        <v>34</v>
      </c>
      <c r="C158" s="11" t="s">
        <v>517</v>
      </c>
      <c r="D158" s="11" t="s">
        <v>14</v>
      </c>
      <c r="E158" s="11"/>
      <c r="F158" s="10"/>
      <c r="G158" s="11" t="s">
        <v>14</v>
      </c>
      <c r="H158" s="11"/>
      <c r="I158" s="21" t="s">
        <v>34</v>
      </c>
      <c r="J158" s="10"/>
      <c r="K158" s="11"/>
      <c r="L158" s="11"/>
      <c r="M158" s="10"/>
      <c r="N158" s="11"/>
      <c r="O158" s="11"/>
      <c r="P158" s="21" t="s">
        <v>34</v>
      </c>
      <c r="Q158" s="22"/>
      <c r="R158" s="11"/>
      <c r="S158" s="11"/>
      <c r="T158" s="11"/>
      <c r="U158" s="11"/>
      <c r="V158" s="11"/>
      <c r="W158" s="21" t="s">
        <v>34</v>
      </c>
      <c r="X158" s="22"/>
      <c r="Y158" s="11"/>
      <c r="Z158" s="11"/>
      <c r="AA158" s="11"/>
      <c r="AB158" s="11"/>
      <c r="AC158" s="11"/>
      <c r="AD158" s="21" t="s">
        <v>34</v>
      </c>
      <c r="AE158" s="22"/>
      <c r="AF158" s="11"/>
      <c r="AG158" s="11"/>
      <c r="AH158" s="22"/>
      <c r="AI158" s="11"/>
      <c r="AJ158" s="11"/>
      <c r="AK158" s="21" t="s">
        <v>34</v>
      </c>
      <c r="AL158" s="10"/>
      <c r="AM158" s="11"/>
      <c r="AN158" s="11"/>
      <c r="AO158" s="11"/>
      <c r="AP158" s="11"/>
      <c r="AQ158" s="11"/>
      <c r="AR158" s="14">
        <f t="shared" si="21"/>
        <v>1</v>
      </c>
      <c r="AS158" s="14">
        <f t="shared" si="22"/>
        <v>0</v>
      </c>
      <c r="AT158" s="14">
        <f t="shared" si="23"/>
        <v>0</v>
      </c>
      <c r="AU158" s="14">
        <f t="shared" si="24"/>
        <v>0</v>
      </c>
      <c r="AV158" s="14">
        <f t="shared" si="25"/>
        <v>0</v>
      </c>
      <c r="AW158" s="21" t="s">
        <v>34</v>
      </c>
    </row>
    <row r="159">
      <c r="A159" s="14">
        <v>12.0</v>
      </c>
      <c r="B159" s="21" t="s">
        <v>113</v>
      </c>
      <c r="C159" s="29" t="s">
        <v>518</v>
      </c>
      <c r="D159" s="11" t="s">
        <v>14</v>
      </c>
      <c r="E159" s="11" t="s">
        <v>23</v>
      </c>
      <c r="F159" s="11"/>
      <c r="G159" s="11" t="s">
        <v>18</v>
      </c>
      <c r="H159" s="11"/>
      <c r="I159" s="21" t="s">
        <v>113</v>
      </c>
      <c r="J159" s="22" t="s">
        <v>519</v>
      </c>
      <c r="K159" s="11" t="s">
        <v>14</v>
      </c>
      <c r="L159" s="11" t="s">
        <v>29</v>
      </c>
      <c r="M159" s="22"/>
      <c r="N159" s="11"/>
      <c r="O159" s="11"/>
      <c r="P159" s="21" t="s">
        <v>113</v>
      </c>
      <c r="Q159" s="10"/>
      <c r="R159" s="11"/>
      <c r="S159" s="11"/>
      <c r="T159" s="11"/>
      <c r="U159" s="11"/>
      <c r="V159" s="11"/>
      <c r="W159" s="21" t="s">
        <v>113</v>
      </c>
      <c r="X159" s="22"/>
      <c r="Y159" s="11"/>
      <c r="Z159" s="11"/>
      <c r="AA159" s="10"/>
      <c r="AB159" s="10"/>
      <c r="AC159" s="11"/>
      <c r="AD159" s="21" t="s">
        <v>113</v>
      </c>
      <c r="AE159" s="22"/>
      <c r="AF159" s="11"/>
      <c r="AG159" s="11"/>
      <c r="AH159" s="22"/>
      <c r="AI159" s="11"/>
      <c r="AJ159" s="11"/>
      <c r="AK159" s="21" t="s">
        <v>113</v>
      </c>
      <c r="AL159" s="22"/>
      <c r="AM159" s="11"/>
      <c r="AN159" s="11"/>
      <c r="AO159" s="10"/>
      <c r="AP159" s="11"/>
      <c r="AQ159" s="11"/>
      <c r="AR159" s="14">
        <f t="shared" si="21"/>
        <v>1</v>
      </c>
      <c r="AS159" s="14">
        <f t="shared" si="22"/>
        <v>0</v>
      </c>
      <c r="AT159" s="14">
        <f t="shared" si="23"/>
        <v>0</v>
      </c>
      <c r="AU159" s="14">
        <f t="shared" si="24"/>
        <v>0</v>
      </c>
      <c r="AV159" s="14">
        <f t="shared" si="25"/>
        <v>1</v>
      </c>
      <c r="AW159" s="21" t="s">
        <v>113</v>
      </c>
    </row>
    <row r="160">
      <c r="A160" s="14">
        <v>13.0</v>
      </c>
      <c r="B160" s="21" t="s">
        <v>94</v>
      </c>
      <c r="C160" s="11" t="s">
        <v>520</v>
      </c>
      <c r="D160" s="11" t="s">
        <v>14</v>
      </c>
      <c r="E160" s="11" t="s">
        <v>23</v>
      </c>
      <c r="F160" s="11" t="s">
        <v>521</v>
      </c>
      <c r="G160" s="11" t="s">
        <v>14</v>
      </c>
      <c r="H160" s="11" t="s">
        <v>23</v>
      </c>
      <c r="I160" s="21" t="s">
        <v>94</v>
      </c>
      <c r="J160" s="22" t="s">
        <v>522</v>
      </c>
      <c r="K160" s="11" t="s">
        <v>14</v>
      </c>
      <c r="L160" s="11" t="s">
        <v>29</v>
      </c>
      <c r="M160" s="11" t="s">
        <v>523</v>
      </c>
      <c r="N160" s="11" t="s">
        <v>14</v>
      </c>
      <c r="O160" s="11" t="s">
        <v>23</v>
      </c>
      <c r="P160" s="21" t="s">
        <v>94</v>
      </c>
      <c r="Q160" s="22"/>
      <c r="R160" s="11"/>
      <c r="S160" s="11"/>
      <c r="T160" s="11"/>
      <c r="U160" s="11"/>
      <c r="V160" s="11"/>
      <c r="W160" s="21" t="s">
        <v>94</v>
      </c>
      <c r="X160" s="22"/>
      <c r="Y160" s="11"/>
      <c r="Z160" s="11"/>
      <c r="AA160" s="11"/>
      <c r="AB160" s="11"/>
      <c r="AC160" s="11"/>
      <c r="AD160" s="21" t="s">
        <v>94</v>
      </c>
      <c r="AE160" s="22"/>
      <c r="AF160" s="10"/>
      <c r="AG160" s="11"/>
      <c r="AH160" s="22"/>
      <c r="AI160" s="11"/>
      <c r="AJ160" s="11"/>
      <c r="AK160" s="21" t="s">
        <v>94</v>
      </c>
      <c r="AL160" s="22"/>
      <c r="AM160" s="11"/>
      <c r="AN160" s="11"/>
      <c r="AO160" s="11"/>
      <c r="AP160" s="11"/>
      <c r="AQ160" s="11"/>
      <c r="AR160" s="14">
        <f t="shared" si="21"/>
        <v>3</v>
      </c>
      <c r="AS160" s="14">
        <f t="shared" si="22"/>
        <v>0</v>
      </c>
      <c r="AT160" s="14">
        <f t="shared" si="23"/>
        <v>0</v>
      </c>
      <c r="AU160" s="14">
        <f t="shared" si="24"/>
        <v>0</v>
      </c>
      <c r="AV160" s="14">
        <f t="shared" si="25"/>
        <v>0</v>
      </c>
      <c r="AW160" s="21" t="s">
        <v>94</v>
      </c>
    </row>
    <row r="161">
      <c r="A161" s="14">
        <v>14.0</v>
      </c>
      <c r="B161" s="21" t="s">
        <v>105</v>
      </c>
      <c r="C161" s="11" t="s">
        <v>524</v>
      </c>
      <c r="D161" s="11" t="s">
        <v>14</v>
      </c>
      <c r="E161" s="11" t="s">
        <v>23</v>
      </c>
      <c r="F161" s="10"/>
      <c r="G161" s="11" t="s">
        <v>18</v>
      </c>
      <c r="H161" s="11"/>
      <c r="I161" s="21" t="s">
        <v>105</v>
      </c>
      <c r="J161" s="22" t="s">
        <v>525</v>
      </c>
      <c r="K161" s="11" t="s">
        <v>14</v>
      </c>
      <c r="L161" s="11" t="s">
        <v>29</v>
      </c>
      <c r="M161" s="22"/>
      <c r="N161" s="11"/>
      <c r="O161" s="11"/>
      <c r="P161" s="21" t="s">
        <v>105</v>
      </c>
      <c r="Q161" s="22"/>
      <c r="R161" s="11"/>
      <c r="S161" s="11"/>
      <c r="T161" s="11"/>
      <c r="U161" s="11"/>
      <c r="V161" s="11"/>
      <c r="W161" s="21" t="s">
        <v>105</v>
      </c>
      <c r="X161" s="22"/>
      <c r="Y161" s="11"/>
      <c r="Z161" s="11"/>
      <c r="AA161" s="10"/>
      <c r="AB161" s="10"/>
      <c r="AC161" s="11"/>
      <c r="AD161" s="21" t="s">
        <v>105</v>
      </c>
      <c r="AE161" s="22"/>
      <c r="AF161" s="11"/>
      <c r="AG161" s="11"/>
      <c r="AH161" s="22"/>
      <c r="AI161" s="11"/>
      <c r="AJ161" s="11"/>
      <c r="AK161" s="21" t="s">
        <v>105</v>
      </c>
      <c r="AL161" s="22"/>
      <c r="AM161" s="11"/>
      <c r="AN161" s="11"/>
      <c r="AO161" s="10"/>
      <c r="AP161" s="11"/>
      <c r="AQ161" s="11"/>
      <c r="AR161" s="14">
        <f t="shared" si="21"/>
        <v>1</v>
      </c>
      <c r="AS161" s="14">
        <f t="shared" si="22"/>
        <v>0</v>
      </c>
      <c r="AT161" s="14">
        <f t="shared" si="23"/>
        <v>0</v>
      </c>
      <c r="AU161" s="14">
        <f t="shared" si="24"/>
        <v>0</v>
      </c>
      <c r="AV161" s="14">
        <f t="shared" si="25"/>
        <v>1</v>
      </c>
      <c r="AW161" s="21" t="s">
        <v>105</v>
      </c>
    </row>
    <row r="162">
      <c r="A162" s="14">
        <v>15.0</v>
      </c>
      <c r="B162" s="21" t="s">
        <v>24</v>
      </c>
      <c r="C162" s="11" t="s">
        <v>526</v>
      </c>
      <c r="D162" s="11" t="s">
        <v>14</v>
      </c>
      <c r="E162" s="11"/>
      <c r="F162" s="10"/>
      <c r="G162" s="11" t="s">
        <v>18</v>
      </c>
      <c r="H162" s="11"/>
      <c r="I162" s="21" t="s">
        <v>24</v>
      </c>
      <c r="J162" s="22" t="s">
        <v>527</v>
      </c>
      <c r="K162" s="11" t="s">
        <v>14</v>
      </c>
      <c r="L162" s="11" t="s">
        <v>29</v>
      </c>
      <c r="M162" s="22"/>
      <c r="N162" s="11"/>
      <c r="O162" s="11"/>
      <c r="P162" s="21" t="s">
        <v>24</v>
      </c>
      <c r="Q162" s="22"/>
      <c r="R162" s="11"/>
      <c r="S162" s="11"/>
      <c r="T162" s="11"/>
      <c r="U162" s="11"/>
      <c r="V162" s="11"/>
      <c r="W162" s="21" t="s">
        <v>24</v>
      </c>
      <c r="X162" s="22"/>
      <c r="Y162" s="11"/>
      <c r="Z162" s="11"/>
      <c r="AA162" s="10"/>
      <c r="AB162" s="10"/>
      <c r="AC162" s="11"/>
      <c r="AD162" s="21" t="s">
        <v>24</v>
      </c>
      <c r="AE162" s="22"/>
      <c r="AF162" s="11"/>
      <c r="AG162" s="11"/>
      <c r="AH162" s="22"/>
      <c r="AI162" s="11"/>
      <c r="AJ162" s="11"/>
      <c r="AK162" s="21" t="s">
        <v>24</v>
      </c>
      <c r="AL162" s="22"/>
      <c r="AM162" s="11"/>
      <c r="AN162" s="11"/>
      <c r="AO162" s="10"/>
      <c r="AP162" s="11"/>
      <c r="AQ162" s="11"/>
      <c r="AR162" s="14">
        <f t="shared" si="21"/>
        <v>1</v>
      </c>
      <c r="AS162" s="14">
        <f t="shared" si="22"/>
        <v>0</v>
      </c>
      <c r="AT162" s="14">
        <f t="shared" si="23"/>
        <v>0</v>
      </c>
      <c r="AU162" s="14">
        <f t="shared" si="24"/>
        <v>0</v>
      </c>
      <c r="AV162" s="14">
        <f t="shared" si="25"/>
        <v>1</v>
      </c>
      <c r="AW162" s="21" t="s">
        <v>24</v>
      </c>
    </row>
    <row r="163">
      <c r="A163" s="14">
        <v>16.0</v>
      </c>
      <c r="B163" s="21" t="s">
        <v>43</v>
      </c>
      <c r="C163" s="11" t="s">
        <v>528</v>
      </c>
      <c r="D163" s="11" t="s">
        <v>14</v>
      </c>
      <c r="E163" s="11" t="s">
        <v>29</v>
      </c>
      <c r="F163" s="11"/>
      <c r="G163" s="11" t="s">
        <v>18</v>
      </c>
      <c r="H163" s="11"/>
      <c r="I163" s="21" t="s">
        <v>43</v>
      </c>
      <c r="J163" s="22" t="s">
        <v>529</v>
      </c>
      <c r="K163" s="11" t="s">
        <v>14</v>
      </c>
      <c r="L163" s="11" t="s">
        <v>29</v>
      </c>
      <c r="M163" s="11" t="s">
        <v>530</v>
      </c>
      <c r="N163" s="11" t="s">
        <v>14</v>
      </c>
      <c r="O163" s="11" t="s">
        <v>23</v>
      </c>
      <c r="P163" s="21" t="s">
        <v>43</v>
      </c>
      <c r="Q163" s="22"/>
      <c r="R163" s="11"/>
      <c r="S163" s="11"/>
      <c r="T163" s="11"/>
      <c r="U163" s="11"/>
      <c r="V163" s="11"/>
      <c r="W163" s="21" t="s">
        <v>43</v>
      </c>
      <c r="X163" s="22"/>
      <c r="Y163" s="11"/>
      <c r="Z163" s="11"/>
      <c r="AA163" s="11"/>
      <c r="AB163" s="11"/>
      <c r="AC163" s="11"/>
      <c r="AD163" s="21" t="s">
        <v>43</v>
      </c>
      <c r="AE163" s="22"/>
      <c r="AF163" s="10"/>
      <c r="AG163" s="11"/>
      <c r="AH163" s="22"/>
      <c r="AI163" s="11"/>
      <c r="AJ163" s="11"/>
      <c r="AK163" s="21" t="s">
        <v>43</v>
      </c>
      <c r="AL163" s="22"/>
      <c r="AM163" s="11"/>
      <c r="AN163" s="11"/>
      <c r="AO163" s="11"/>
      <c r="AP163" s="11"/>
      <c r="AQ163" s="11"/>
      <c r="AR163" s="14">
        <f t="shared" si="21"/>
        <v>2</v>
      </c>
      <c r="AS163" s="14">
        <f t="shared" si="22"/>
        <v>0</v>
      </c>
      <c r="AT163" s="14">
        <f t="shared" si="23"/>
        <v>0</v>
      </c>
      <c r="AU163" s="14">
        <f t="shared" si="24"/>
        <v>0</v>
      </c>
      <c r="AV163" s="14">
        <f t="shared" si="25"/>
        <v>1</v>
      </c>
      <c r="AW163" s="21" t="s">
        <v>43</v>
      </c>
    </row>
    <row r="164">
      <c r="A164" s="14">
        <v>17.0</v>
      </c>
      <c r="B164" s="21" t="s">
        <v>61</v>
      </c>
      <c r="C164" s="11" t="s">
        <v>531</v>
      </c>
      <c r="D164" s="11" t="s">
        <v>14</v>
      </c>
      <c r="E164" s="11" t="s">
        <v>29</v>
      </c>
      <c r="F164" s="11" t="s">
        <v>532</v>
      </c>
      <c r="G164" s="11" t="s">
        <v>14</v>
      </c>
      <c r="H164" s="11" t="s">
        <v>23</v>
      </c>
      <c r="I164" s="21" t="s">
        <v>61</v>
      </c>
      <c r="J164" s="22" t="s">
        <v>533</v>
      </c>
      <c r="K164" s="11" t="s">
        <v>14</v>
      </c>
      <c r="L164" s="11" t="s">
        <v>29</v>
      </c>
      <c r="M164" s="22"/>
      <c r="N164" s="11"/>
      <c r="O164" s="11"/>
      <c r="P164" s="21" t="s">
        <v>61</v>
      </c>
      <c r="Q164" s="22"/>
      <c r="R164" s="11"/>
      <c r="S164" s="11"/>
      <c r="T164" s="11"/>
      <c r="U164" s="11"/>
      <c r="V164" s="11"/>
      <c r="W164" s="21" t="s">
        <v>61</v>
      </c>
      <c r="X164" s="22"/>
      <c r="Y164" s="11"/>
      <c r="Z164" s="11"/>
      <c r="AA164" s="11"/>
      <c r="AB164" s="11"/>
      <c r="AC164" s="11"/>
      <c r="AD164" s="21" t="s">
        <v>61</v>
      </c>
      <c r="AE164" s="22"/>
      <c r="AF164" s="11"/>
      <c r="AG164" s="11"/>
      <c r="AH164" s="22"/>
      <c r="AI164" s="11"/>
      <c r="AJ164" s="11"/>
      <c r="AK164" s="21" t="s">
        <v>61</v>
      </c>
      <c r="AL164" s="22"/>
      <c r="AM164" s="11"/>
      <c r="AN164" s="11"/>
      <c r="AO164" s="11"/>
      <c r="AP164" s="11"/>
      <c r="AQ164" s="11"/>
      <c r="AR164" s="14">
        <f t="shared" si="21"/>
        <v>2</v>
      </c>
      <c r="AS164" s="14">
        <f t="shared" si="22"/>
        <v>0</v>
      </c>
      <c r="AT164" s="14">
        <f t="shared" si="23"/>
        <v>0</v>
      </c>
      <c r="AU164" s="14">
        <f t="shared" si="24"/>
        <v>0</v>
      </c>
      <c r="AV164" s="14">
        <f t="shared" si="25"/>
        <v>0</v>
      </c>
      <c r="AW164" s="21" t="s">
        <v>61</v>
      </c>
    </row>
    <row r="165">
      <c r="A165" s="14">
        <v>18.0</v>
      </c>
      <c r="B165" s="21" t="s">
        <v>128</v>
      </c>
      <c r="C165" s="11" t="s">
        <v>534</v>
      </c>
      <c r="D165" s="11" t="s">
        <v>14</v>
      </c>
      <c r="E165" s="11" t="s">
        <v>23</v>
      </c>
      <c r="F165" s="11" t="s">
        <v>535</v>
      </c>
      <c r="G165" s="11" t="s">
        <v>14</v>
      </c>
      <c r="H165" s="11" t="s">
        <v>23</v>
      </c>
      <c r="I165" s="21" t="s">
        <v>128</v>
      </c>
      <c r="J165" s="22" t="s">
        <v>536</v>
      </c>
      <c r="K165" s="11" t="s">
        <v>14</v>
      </c>
      <c r="L165" s="11" t="s">
        <v>29</v>
      </c>
      <c r="M165" s="22"/>
      <c r="N165" s="11"/>
      <c r="O165" s="11"/>
      <c r="P165" s="21" t="s">
        <v>128</v>
      </c>
      <c r="Q165" s="11"/>
      <c r="R165" s="11"/>
      <c r="S165" s="11"/>
      <c r="T165" s="10"/>
      <c r="U165" s="10"/>
      <c r="V165" s="11"/>
      <c r="W165" s="21" t="s">
        <v>128</v>
      </c>
      <c r="X165" s="22"/>
      <c r="Y165" s="11"/>
      <c r="Z165" s="11"/>
      <c r="AA165" s="11"/>
      <c r="AB165" s="11"/>
      <c r="AC165" s="11"/>
      <c r="AD165" s="21" t="s">
        <v>128</v>
      </c>
      <c r="AE165" s="10"/>
      <c r="AF165" s="10"/>
      <c r="AG165" s="11"/>
      <c r="AH165" s="22"/>
      <c r="AI165" s="11"/>
      <c r="AJ165" s="11"/>
      <c r="AK165" s="21" t="s">
        <v>128</v>
      </c>
      <c r="AL165" s="22"/>
      <c r="AM165" s="11"/>
      <c r="AN165" s="11"/>
      <c r="AO165" s="11"/>
      <c r="AP165" s="11"/>
      <c r="AQ165" s="11"/>
      <c r="AR165" s="14">
        <f t="shared" si="21"/>
        <v>2</v>
      </c>
      <c r="AS165" s="14">
        <f t="shared" si="22"/>
        <v>0</v>
      </c>
      <c r="AT165" s="14">
        <f t="shared" si="23"/>
        <v>0</v>
      </c>
      <c r="AU165" s="14">
        <f t="shared" si="24"/>
        <v>0</v>
      </c>
      <c r="AV165" s="14">
        <f t="shared" si="25"/>
        <v>0</v>
      </c>
      <c r="AW165" s="21" t="s">
        <v>128</v>
      </c>
    </row>
    <row r="166">
      <c r="A166" s="14">
        <v>19.0</v>
      </c>
      <c r="B166" s="24" t="s">
        <v>485</v>
      </c>
      <c r="C166" s="11" t="s">
        <v>537</v>
      </c>
      <c r="D166" s="11" t="s">
        <v>14</v>
      </c>
      <c r="E166" s="11"/>
      <c r="F166" s="11" t="s">
        <v>538</v>
      </c>
      <c r="G166" s="11" t="s">
        <v>14</v>
      </c>
      <c r="H166" s="11" t="s">
        <v>23</v>
      </c>
      <c r="I166" s="24" t="s">
        <v>485</v>
      </c>
      <c r="J166" s="22" t="s">
        <v>539</v>
      </c>
      <c r="K166" s="11" t="s">
        <v>14</v>
      </c>
      <c r="L166" s="11" t="s">
        <v>29</v>
      </c>
      <c r="M166" s="11" t="s">
        <v>540</v>
      </c>
      <c r="N166" s="11" t="s">
        <v>14</v>
      </c>
      <c r="O166" s="11" t="s">
        <v>23</v>
      </c>
      <c r="P166" s="24" t="s">
        <v>490</v>
      </c>
      <c r="Q166" s="10"/>
      <c r="R166" s="11"/>
      <c r="S166" s="11"/>
      <c r="U166" s="11"/>
      <c r="V166" s="11"/>
      <c r="W166" s="24" t="s">
        <v>487</v>
      </c>
      <c r="X166" s="22"/>
      <c r="Y166" s="11"/>
      <c r="Z166" s="11"/>
      <c r="AA166" s="11"/>
      <c r="AB166" s="11"/>
      <c r="AC166" s="11"/>
      <c r="AD166" s="24" t="s">
        <v>485</v>
      </c>
      <c r="AE166" s="10"/>
      <c r="AF166" s="10"/>
      <c r="AG166" s="10"/>
      <c r="AH166" s="22"/>
      <c r="AI166" s="11"/>
      <c r="AJ166" s="11"/>
      <c r="AK166" s="24" t="s">
        <v>487</v>
      </c>
      <c r="AL166" s="22"/>
      <c r="AM166" s="11"/>
      <c r="AN166" s="11"/>
      <c r="AO166" s="11"/>
      <c r="AP166" s="11"/>
      <c r="AQ166" s="11"/>
      <c r="AR166" s="14">
        <f t="shared" si="21"/>
        <v>3</v>
      </c>
      <c r="AS166" s="14">
        <f t="shared" si="22"/>
        <v>0</v>
      </c>
      <c r="AT166" s="14">
        <f t="shared" si="23"/>
        <v>0</v>
      </c>
      <c r="AU166" s="14">
        <f t="shared" si="24"/>
        <v>0</v>
      </c>
      <c r="AV166" s="14">
        <f t="shared" si="25"/>
        <v>0</v>
      </c>
      <c r="AW166" s="10"/>
    </row>
    <row r="167">
      <c r="A167" s="14">
        <v>20.0</v>
      </c>
      <c r="B167" s="26" t="s">
        <v>135</v>
      </c>
      <c r="C167" s="13" t="s">
        <v>541</v>
      </c>
      <c r="D167" s="11" t="s">
        <v>14</v>
      </c>
      <c r="E167" s="11" t="s">
        <v>29</v>
      </c>
      <c r="F167" s="10"/>
      <c r="G167" s="10"/>
      <c r="H167" s="11"/>
      <c r="I167" s="26" t="s">
        <v>135</v>
      </c>
      <c r="J167" s="11"/>
      <c r="K167" s="11"/>
      <c r="L167" s="11"/>
      <c r="M167" s="10"/>
      <c r="N167" s="11"/>
      <c r="O167" s="11"/>
      <c r="P167" s="26" t="s">
        <v>135</v>
      </c>
      <c r="Q167" s="10"/>
      <c r="R167" s="11"/>
      <c r="S167" s="11"/>
      <c r="T167" s="10"/>
      <c r="U167" s="10"/>
      <c r="V167" s="11"/>
      <c r="W167" s="26" t="s">
        <v>135</v>
      </c>
      <c r="X167" s="10"/>
      <c r="Y167" s="10"/>
      <c r="Z167" s="11"/>
      <c r="AA167" s="10"/>
      <c r="AB167" s="10"/>
      <c r="AC167" s="11"/>
      <c r="AD167" s="26" t="s">
        <v>135</v>
      </c>
      <c r="AE167" s="10"/>
      <c r="AF167" s="10"/>
      <c r="AG167" s="11"/>
      <c r="AH167" s="10"/>
      <c r="AI167" s="10"/>
      <c r="AJ167" s="11"/>
      <c r="AK167" s="26" t="s">
        <v>135</v>
      </c>
      <c r="AL167" s="22"/>
      <c r="AM167" s="11"/>
      <c r="AN167" s="11"/>
      <c r="AO167" s="10"/>
      <c r="AP167" s="10"/>
      <c r="AQ167" s="11"/>
      <c r="AR167" s="14">
        <f t="shared" si="21"/>
        <v>0</v>
      </c>
      <c r="AS167" s="14">
        <f t="shared" si="22"/>
        <v>0</v>
      </c>
      <c r="AT167" s="14">
        <f t="shared" si="23"/>
        <v>0</v>
      </c>
      <c r="AU167" s="14">
        <f t="shared" si="24"/>
        <v>0</v>
      </c>
      <c r="AV167" s="14">
        <f t="shared" si="25"/>
        <v>0</v>
      </c>
      <c r="AW167" s="15" t="s">
        <v>135</v>
      </c>
    </row>
    <row r="168">
      <c r="A168" s="14">
        <v>21.0</v>
      </c>
      <c r="B168" s="13" t="s">
        <v>138</v>
      </c>
      <c r="C168" s="11"/>
      <c r="D168" s="11"/>
      <c r="E168" s="11"/>
      <c r="F168" s="10"/>
      <c r="G168" s="10"/>
      <c r="H168" s="11"/>
      <c r="I168" s="13" t="s">
        <v>138</v>
      </c>
      <c r="J168" s="11"/>
      <c r="K168" s="11"/>
      <c r="L168" s="11"/>
      <c r="M168" s="10"/>
      <c r="N168" s="11"/>
      <c r="O168" s="11"/>
      <c r="P168" s="13" t="s">
        <v>138</v>
      </c>
      <c r="Q168" s="10"/>
      <c r="R168" s="11"/>
      <c r="S168" s="11"/>
      <c r="T168" s="10"/>
      <c r="U168" s="10"/>
      <c r="V168" s="11"/>
      <c r="W168" s="13" t="s">
        <v>138</v>
      </c>
      <c r="X168" s="10"/>
      <c r="Y168" s="11"/>
      <c r="Z168" s="11"/>
      <c r="AA168" s="10"/>
      <c r="AB168" s="10"/>
      <c r="AC168" s="11"/>
      <c r="AD168" s="13" t="s">
        <v>138</v>
      </c>
      <c r="AE168" s="10"/>
      <c r="AF168" s="10"/>
      <c r="AG168" s="11"/>
      <c r="AH168" s="10"/>
      <c r="AI168" s="10"/>
      <c r="AJ168" s="11"/>
      <c r="AK168" s="13" t="s">
        <v>138</v>
      </c>
      <c r="AL168" s="10"/>
      <c r="AM168" s="10"/>
      <c r="AN168" s="11"/>
      <c r="AO168" s="10"/>
      <c r="AP168" s="10"/>
      <c r="AQ168" s="11"/>
      <c r="AR168" s="14">
        <f t="shared" si="21"/>
        <v>0</v>
      </c>
      <c r="AS168" s="14">
        <f t="shared" si="22"/>
        <v>0</v>
      </c>
      <c r="AT168" s="14">
        <f t="shared" si="23"/>
        <v>0</v>
      </c>
      <c r="AU168" s="14">
        <f t="shared" si="24"/>
        <v>0</v>
      </c>
      <c r="AV168" s="14">
        <f t="shared" si="25"/>
        <v>0</v>
      </c>
      <c r="AW168" s="13" t="s">
        <v>138</v>
      </c>
    </row>
    <row r="169">
      <c r="A169" s="14">
        <v>22.0</v>
      </c>
      <c r="B169" s="13" t="s">
        <v>139</v>
      </c>
      <c r="C169" s="10"/>
      <c r="D169" s="11"/>
      <c r="E169" s="11"/>
      <c r="F169" s="10"/>
      <c r="G169" s="10"/>
      <c r="H169" s="11"/>
      <c r="I169" s="13" t="s">
        <v>139</v>
      </c>
      <c r="J169" s="10"/>
      <c r="K169" s="11"/>
      <c r="L169" s="11"/>
      <c r="M169" s="10"/>
      <c r="N169" s="10"/>
      <c r="O169" s="11"/>
      <c r="P169" s="13" t="s">
        <v>139</v>
      </c>
      <c r="Q169" s="10"/>
      <c r="R169" s="10"/>
      <c r="S169" s="11"/>
      <c r="T169" s="10"/>
      <c r="U169" s="10"/>
      <c r="V169" s="11"/>
      <c r="W169" s="13" t="s">
        <v>139</v>
      </c>
      <c r="X169" s="10"/>
      <c r="Y169" s="10"/>
      <c r="Z169" s="11"/>
      <c r="AA169" s="10"/>
      <c r="AB169" s="10"/>
      <c r="AC169" s="11"/>
      <c r="AD169" s="13" t="s">
        <v>139</v>
      </c>
      <c r="AE169" s="10"/>
      <c r="AF169" s="10"/>
      <c r="AG169" s="11"/>
      <c r="AH169" s="10"/>
      <c r="AI169" s="10"/>
      <c r="AJ169" s="11"/>
      <c r="AK169" s="13" t="s">
        <v>139</v>
      </c>
      <c r="AL169" s="10"/>
      <c r="AM169" s="10"/>
      <c r="AN169" s="11"/>
      <c r="AO169" s="10"/>
      <c r="AP169" s="10"/>
      <c r="AQ169" s="11"/>
      <c r="AR169" s="14">
        <f t="shared" si="21"/>
        <v>0</v>
      </c>
      <c r="AS169" s="14">
        <f t="shared" si="22"/>
        <v>0</v>
      </c>
      <c r="AT169" s="14">
        <f t="shared" si="23"/>
        <v>0</v>
      </c>
      <c r="AU169" s="14">
        <f t="shared" si="24"/>
        <v>0</v>
      </c>
      <c r="AV169" s="14">
        <f t="shared" si="25"/>
        <v>0</v>
      </c>
      <c r="AW169" s="13" t="s">
        <v>139</v>
      </c>
    </row>
    <row r="170">
      <c r="A170" s="14">
        <v>23.0</v>
      </c>
      <c r="B170" s="13" t="s">
        <v>141</v>
      </c>
      <c r="C170" s="10"/>
      <c r="D170" s="11"/>
      <c r="E170" s="11"/>
      <c r="F170" s="10"/>
      <c r="G170" s="10"/>
      <c r="H170" s="11"/>
      <c r="I170" s="13" t="s">
        <v>141</v>
      </c>
      <c r="J170" s="10"/>
      <c r="K170" s="11"/>
      <c r="L170" s="11"/>
      <c r="M170" s="10"/>
      <c r="N170" s="10"/>
      <c r="O170" s="11"/>
      <c r="P170" s="13" t="s">
        <v>141</v>
      </c>
      <c r="Q170" s="10"/>
      <c r="R170" s="10"/>
      <c r="S170" s="11"/>
      <c r="T170" s="10"/>
      <c r="U170" s="10"/>
      <c r="V170" s="11"/>
      <c r="W170" s="13" t="s">
        <v>141</v>
      </c>
      <c r="X170" s="10"/>
      <c r="Y170" s="10"/>
      <c r="Z170" s="11"/>
      <c r="AA170" s="10"/>
      <c r="AB170" s="10"/>
      <c r="AC170" s="11"/>
      <c r="AD170" s="13" t="s">
        <v>141</v>
      </c>
      <c r="AE170" s="10"/>
      <c r="AF170" s="10"/>
      <c r="AG170" s="11"/>
      <c r="AH170" s="10"/>
      <c r="AI170" s="10"/>
      <c r="AJ170" s="11"/>
      <c r="AK170" s="13" t="s">
        <v>501</v>
      </c>
      <c r="AL170" s="22"/>
      <c r="AM170" s="11"/>
      <c r="AN170" s="11"/>
      <c r="AO170" s="10"/>
      <c r="AP170" s="10"/>
      <c r="AQ170" s="11"/>
      <c r="AR170" s="14">
        <f t="shared" si="21"/>
        <v>0</v>
      </c>
      <c r="AS170" s="14">
        <f t="shared" si="22"/>
        <v>0</v>
      </c>
      <c r="AT170" s="14">
        <f t="shared" si="23"/>
        <v>0</v>
      </c>
      <c r="AU170" s="14">
        <f t="shared" si="24"/>
        <v>0</v>
      </c>
      <c r="AV170" s="14">
        <f t="shared" si="25"/>
        <v>0</v>
      </c>
      <c r="AW170" s="13" t="s">
        <v>141</v>
      </c>
    </row>
    <row r="171">
      <c r="A171" s="14">
        <v>24.0</v>
      </c>
      <c r="B171" s="13" t="s">
        <v>142</v>
      </c>
      <c r="C171" s="10"/>
      <c r="D171" s="11"/>
      <c r="E171" s="11"/>
      <c r="F171" s="10"/>
      <c r="G171" s="10"/>
      <c r="H171" s="11"/>
      <c r="I171" s="13" t="s">
        <v>142</v>
      </c>
      <c r="J171" s="10"/>
      <c r="K171" s="11"/>
      <c r="L171" s="11"/>
      <c r="M171" s="10"/>
      <c r="N171" s="10"/>
      <c r="O171" s="11"/>
      <c r="P171" s="13" t="s">
        <v>142</v>
      </c>
      <c r="Q171" s="10"/>
      <c r="R171" s="10"/>
      <c r="S171" s="11"/>
      <c r="T171" s="10"/>
      <c r="U171" s="10"/>
      <c r="V171" s="11"/>
      <c r="W171" s="13" t="s">
        <v>142</v>
      </c>
      <c r="X171" s="10"/>
      <c r="Y171" s="10"/>
      <c r="Z171" s="11"/>
      <c r="AA171" s="10"/>
      <c r="AB171" s="10"/>
      <c r="AC171" s="11"/>
      <c r="AD171" s="13" t="s">
        <v>142</v>
      </c>
      <c r="AE171" s="10"/>
      <c r="AF171" s="10"/>
      <c r="AG171" s="11"/>
      <c r="AH171" s="10"/>
      <c r="AI171" s="10"/>
      <c r="AJ171" s="11"/>
      <c r="AK171" s="13" t="s">
        <v>142</v>
      </c>
      <c r="AL171" s="10"/>
      <c r="AM171" s="10"/>
      <c r="AN171" s="11"/>
      <c r="AO171" s="10"/>
      <c r="AP171" s="10"/>
      <c r="AQ171" s="11"/>
      <c r="AR171" s="14">
        <f t="shared" si="21"/>
        <v>0</v>
      </c>
      <c r="AS171" s="14">
        <f t="shared" si="22"/>
        <v>0</v>
      </c>
      <c r="AT171" s="14">
        <f t="shared" si="23"/>
        <v>0</v>
      </c>
      <c r="AU171" s="14">
        <f t="shared" si="24"/>
        <v>0</v>
      </c>
      <c r="AV171" s="14">
        <f t="shared" si="25"/>
        <v>0</v>
      </c>
      <c r="AW171" s="13" t="s">
        <v>142</v>
      </c>
    </row>
    <row r="172">
      <c r="A172" s="14">
        <v>25.0</v>
      </c>
      <c r="B172" s="13" t="s">
        <v>143</v>
      </c>
      <c r="C172" s="10"/>
      <c r="D172" s="11"/>
      <c r="E172" s="11"/>
      <c r="F172" s="10"/>
      <c r="G172" s="10"/>
      <c r="H172" s="11"/>
      <c r="I172" s="13" t="s">
        <v>143</v>
      </c>
      <c r="J172" s="10"/>
      <c r="K172" s="11"/>
      <c r="L172" s="11"/>
      <c r="M172" s="10"/>
      <c r="N172" s="10"/>
      <c r="O172" s="11"/>
      <c r="P172" s="13" t="s">
        <v>143</v>
      </c>
      <c r="Q172" s="10"/>
      <c r="R172" s="10"/>
      <c r="S172" s="11"/>
      <c r="T172" s="10"/>
      <c r="U172" s="10"/>
      <c r="V172" s="11"/>
      <c r="W172" s="13" t="s">
        <v>143</v>
      </c>
      <c r="X172" s="10"/>
      <c r="Y172" s="10"/>
      <c r="Z172" s="11"/>
      <c r="AA172" s="10"/>
      <c r="AB172" s="10"/>
      <c r="AC172" s="11"/>
      <c r="AD172" s="13" t="s">
        <v>143</v>
      </c>
      <c r="AE172" s="10"/>
      <c r="AF172" s="10"/>
      <c r="AG172" s="11"/>
      <c r="AH172" s="10"/>
      <c r="AI172" s="10"/>
      <c r="AJ172" s="11"/>
      <c r="AK172" s="13" t="s">
        <v>143</v>
      </c>
      <c r="AL172" s="10"/>
      <c r="AM172" s="10"/>
      <c r="AN172" s="11"/>
      <c r="AO172" s="10"/>
      <c r="AP172" s="10"/>
      <c r="AQ172" s="11"/>
      <c r="AR172" s="14">
        <f t="shared" si="21"/>
        <v>0</v>
      </c>
      <c r="AS172" s="14">
        <f t="shared" si="22"/>
        <v>0</v>
      </c>
      <c r="AT172" s="14">
        <f t="shared" si="23"/>
        <v>0</v>
      </c>
      <c r="AU172" s="14">
        <f t="shared" si="24"/>
        <v>0</v>
      </c>
      <c r="AV172" s="14">
        <f t="shared" si="25"/>
        <v>0</v>
      </c>
      <c r="AW172" s="13" t="s">
        <v>143</v>
      </c>
    </row>
    <row r="173">
      <c r="B173" s="27" t="s">
        <v>227</v>
      </c>
      <c r="I173" s="27" t="s">
        <v>227</v>
      </c>
      <c r="M173" s="30"/>
      <c r="P173" s="20" t="s">
        <v>504</v>
      </c>
      <c r="R173" s="16"/>
      <c r="AR173" s="14">
        <f>COUNTIF(G173:AP173,"H")</f>
        <v>0</v>
      </c>
      <c r="AS173" s="14">
        <f>COUNTIF(G173:AP173,"I")</f>
        <v>0</v>
      </c>
      <c r="AT173" s="14">
        <f>COUNTIF(G173:AP173,"TD")</f>
        <v>0</v>
      </c>
      <c r="AU173" s="14">
        <f>COUNTIF(G173:AP173,"S")</f>
        <v>0</v>
      </c>
      <c r="AV173" s="14">
        <f>COUNTIF(G173:AP173,"A")</f>
        <v>0</v>
      </c>
      <c r="AW173" s="14"/>
    </row>
    <row r="174">
      <c r="P174" s="20" t="s">
        <v>490</v>
      </c>
      <c r="R174" s="20"/>
      <c r="U174" s="28"/>
      <c r="V174" s="20"/>
      <c r="AR174" s="14">
        <f>COUNTIF(D174:AP174,"H")</f>
        <v>0</v>
      </c>
      <c r="AS174" s="14">
        <f>COUNTIF(D174:AP174,"I")</f>
        <v>0</v>
      </c>
      <c r="AT174" s="14">
        <f>COUNTIF(D174:AP174,"TD")</f>
        <v>0</v>
      </c>
      <c r="AU174" s="14">
        <f>COUNTIF(D174:AP174,"S")</f>
        <v>0</v>
      </c>
      <c r="AV174" s="14">
        <f>COUNTIF(D174:AP174,"A")</f>
        <v>0</v>
      </c>
      <c r="AW174" s="14"/>
    </row>
    <row r="175">
      <c r="R175" s="16"/>
    </row>
    <row r="176">
      <c r="R176" s="16"/>
    </row>
    <row r="177">
      <c r="R177" s="16"/>
    </row>
    <row r="178">
      <c r="R178" s="16"/>
    </row>
    <row r="179">
      <c r="R179" s="16"/>
    </row>
    <row r="180">
      <c r="R180" s="16"/>
    </row>
    <row r="181">
      <c r="R181" s="16"/>
    </row>
    <row r="182">
      <c r="R182" s="16"/>
    </row>
    <row r="183">
      <c r="R183" s="16"/>
    </row>
    <row r="184">
      <c r="R184" s="16"/>
    </row>
    <row r="185">
      <c r="R185" s="16"/>
    </row>
    <row r="186">
      <c r="R186" s="16"/>
    </row>
    <row r="187">
      <c r="R187" s="16"/>
    </row>
    <row r="188">
      <c r="R188" s="16"/>
    </row>
    <row r="189">
      <c r="R189" s="16"/>
    </row>
    <row r="190">
      <c r="R190" s="16"/>
    </row>
    <row r="191">
      <c r="R191" s="16"/>
    </row>
    <row r="192">
      <c r="R192" s="16"/>
    </row>
    <row r="193">
      <c r="R193" s="16"/>
    </row>
    <row r="194">
      <c r="R194" s="16"/>
    </row>
    <row r="195">
      <c r="R195" s="16"/>
    </row>
    <row r="196">
      <c r="R196" s="16"/>
    </row>
    <row r="197">
      <c r="R197" s="16"/>
    </row>
    <row r="198">
      <c r="R198" s="16"/>
    </row>
    <row r="199">
      <c r="R199" s="16"/>
    </row>
    <row r="200">
      <c r="R200" s="16"/>
    </row>
    <row r="201">
      <c r="R201" s="16"/>
    </row>
    <row r="202">
      <c r="R202" s="16"/>
    </row>
    <row r="203">
      <c r="R203" s="16"/>
    </row>
    <row r="204">
      <c r="R204" s="16"/>
    </row>
    <row r="205">
      <c r="R205" s="16"/>
    </row>
    <row r="206">
      <c r="R206" s="16"/>
    </row>
    <row r="207">
      <c r="R207" s="16"/>
    </row>
    <row r="208">
      <c r="R208" s="16"/>
    </row>
    <row r="209">
      <c r="R209" s="16"/>
    </row>
    <row r="210">
      <c r="R210" s="16"/>
    </row>
    <row r="211">
      <c r="R211" s="16"/>
    </row>
    <row r="212">
      <c r="R212" s="16"/>
    </row>
    <row r="213">
      <c r="R213" s="16"/>
    </row>
    <row r="214">
      <c r="R214" s="16"/>
    </row>
    <row r="215">
      <c r="R215" s="16"/>
    </row>
    <row r="216">
      <c r="R216" s="16"/>
    </row>
    <row r="217">
      <c r="R217" s="16"/>
    </row>
    <row r="218">
      <c r="R218" s="16"/>
    </row>
    <row r="219">
      <c r="R219" s="16"/>
    </row>
    <row r="220">
      <c r="R220" s="16"/>
    </row>
    <row r="221">
      <c r="R221" s="16"/>
    </row>
    <row r="222">
      <c r="R222" s="16"/>
    </row>
    <row r="223">
      <c r="R223" s="16"/>
    </row>
    <row r="224">
      <c r="R224" s="16"/>
    </row>
    <row r="225">
      <c r="R225" s="16"/>
    </row>
    <row r="226">
      <c r="R226" s="16"/>
    </row>
    <row r="227">
      <c r="R227" s="16"/>
    </row>
    <row r="228">
      <c r="R228" s="16"/>
    </row>
    <row r="229">
      <c r="R229" s="16"/>
    </row>
    <row r="230">
      <c r="R230" s="16"/>
    </row>
    <row r="231">
      <c r="R231" s="16"/>
    </row>
    <row r="232">
      <c r="R232" s="16"/>
    </row>
    <row r="233">
      <c r="R233" s="16"/>
    </row>
    <row r="234">
      <c r="R234" s="16"/>
    </row>
    <row r="235">
      <c r="R235" s="16"/>
    </row>
    <row r="236">
      <c r="R236" s="16"/>
    </row>
    <row r="237">
      <c r="R237" s="16"/>
    </row>
    <row r="238">
      <c r="R238" s="16"/>
    </row>
    <row r="239">
      <c r="R239" s="16"/>
    </row>
    <row r="240">
      <c r="R240" s="16"/>
    </row>
    <row r="241">
      <c r="R241" s="16"/>
    </row>
    <row r="242">
      <c r="R242" s="16"/>
    </row>
    <row r="243">
      <c r="R243" s="16"/>
    </row>
    <row r="244">
      <c r="R244" s="16"/>
    </row>
    <row r="245">
      <c r="R245" s="16"/>
    </row>
    <row r="246">
      <c r="R246" s="16"/>
    </row>
    <row r="247">
      <c r="R247" s="16"/>
    </row>
    <row r="248">
      <c r="R248" s="16"/>
    </row>
    <row r="249">
      <c r="R249" s="16"/>
    </row>
    <row r="250">
      <c r="R250" s="16"/>
    </row>
    <row r="251">
      <c r="R251" s="16"/>
    </row>
    <row r="252">
      <c r="R252" s="16"/>
    </row>
    <row r="253">
      <c r="R253" s="16"/>
    </row>
    <row r="254">
      <c r="R254" s="16"/>
    </row>
    <row r="255">
      <c r="R255" s="16"/>
    </row>
    <row r="256">
      <c r="R256" s="16"/>
    </row>
    <row r="257">
      <c r="R257" s="16"/>
    </row>
    <row r="258">
      <c r="R258" s="16"/>
    </row>
    <row r="259">
      <c r="R259" s="16"/>
    </row>
    <row r="260">
      <c r="R260" s="16"/>
    </row>
    <row r="261">
      <c r="R261" s="16"/>
    </row>
    <row r="262">
      <c r="R262" s="16"/>
    </row>
    <row r="263">
      <c r="R263" s="16"/>
    </row>
    <row r="264">
      <c r="R264" s="16"/>
    </row>
    <row r="265">
      <c r="R265" s="16"/>
    </row>
    <row r="266">
      <c r="R266" s="16"/>
    </row>
    <row r="267">
      <c r="R267" s="16"/>
    </row>
    <row r="268">
      <c r="R268" s="16"/>
    </row>
    <row r="269">
      <c r="R269" s="16"/>
    </row>
    <row r="270">
      <c r="R270" s="16"/>
    </row>
    <row r="271">
      <c r="R271" s="16"/>
    </row>
    <row r="272">
      <c r="R272" s="16"/>
    </row>
    <row r="273">
      <c r="R273" s="16"/>
    </row>
    <row r="274">
      <c r="R274" s="16"/>
    </row>
    <row r="275">
      <c r="R275" s="16"/>
    </row>
    <row r="276">
      <c r="R276" s="16"/>
    </row>
    <row r="277">
      <c r="R277" s="16"/>
    </row>
    <row r="278">
      <c r="R278" s="16"/>
    </row>
    <row r="279">
      <c r="R279" s="16"/>
    </row>
    <row r="280">
      <c r="R280" s="16"/>
    </row>
    <row r="281">
      <c r="R281" s="16"/>
    </row>
    <row r="282">
      <c r="R282" s="16"/>
    </row>
    <row r="283">
      <c r="R283" s="16"/>
    </row>
    <row r="284">
      <c r="R284" s="16"/>
    </row>
    <row r="285">
      <c r="R285" s="16"/>
    </row>
    <row r="286">
      <c r="R286" s="16"/>
    </row>
    <row r="287">
      <c r="R287" s="16"/>
    </row>
    <row r="288">
      <c r="R288" s="16"/>
    </row>
    <row r="289">
      <c r="R289" s="16"/>
    </row>
    <row r="290">
      <c r="R290" s="16"/>
    </row>
    <row r="291">
      <c r="R291" s="16"/>
    </row>
    <row r="292">
      <c r="R292" s="16"/>
    </row>
    <row r="293">
      <c r="R293" s="16"/>
    </row>
    <row r="294">
      <c r="R294" s="16"/>
    </row>
    <row r="295">
      <c r="R295" s="16"/>
    </row>
    <row r="296">
      <c r="R296" s="16"/>
    </row>
    <row r="297">
      <c r="R297" s="16"/>
    </row>
    <row r="298">
      <c r="R298" s="16"/>
    </row>
    <row r="299">
      <c r="R299" s="16"/>
    </row>
    <row r="300">
      <c r="R300" s="16"/>
    </row>
    <row r="301">
      <c r="R301" s="16"/>
    </row>
    <row r="302">
      <c r="R302" s="16"/>
    </row>
    <row r="303">
      <c r="R303" s="16"/>
    </row>
    <row r="304">
      <c r="R304" s="16"/>
    </row>
    <row r="305">
      <c r="R305" s="16"/>
    </row>
    <row r="306">
      <c r="R306" s="16"/>
    </row>
    <row r="307">
      <c r="R307" s="16"/>
    </row>
    <row r="308">
      <c r="R308" s="16"/>
    </row>
    <row r="309">
      <c r="R309" s="16"/>
    </row>
    <row r="310">
      <c r="R310" s="16"/>
    </row>
    <row r="311">
      <c r="R311" s="16"/>
    </row>
    <row r="312">
      <c r="R312" s="16"/>
    </row>
    <row r="313">
      <c r="R313" s="16"/>
    </row>
    <row r="314">
      <c r="R314" s="16"/>
    </row>
    <row r="315">
      <c r="R315" s="16"/>
    </row>
    <row r="316">
      <c r="R316" s="16"/>
    </row>
    <row r="317">
      <c r="R317" s="16"/>
    </row>
    <row r="318">
      <c r="R318" s="16"/>
    </row>
    <row r="319">
      <c r="R319" s="16"/>
    </row>
    <row r="320">
      <c r="R320" s="16"/>
    </row>
    <row r="321">
      <c r="R321" s="16"/>
    </row>
    <row r="322">
      <c r="R322" s="16"/>
    </row>
    <row r="323">
      <c r="R323" s="16"/>
    </row>
    <row r="324">
      <c r="R324" s="16"/>
    </row>
    <row r="325">
      <c r="R325" s="16"/>
    </row>
    <row r="326">
      <c r="R326" s="16"/>
    </row>
    <row r="327">
      <c r="R327" s="16"/>
    </row>
    <row r="328">
      <c r="R328" s="16"/>
    </row>
    <row r="329">
      <c r="R329" s="16"/>
    </row>
    <row r="330">
      <c r="R330" s="16"/>
    </row>
    <row r="331">
      <c r="R331" s="16"/>
    </row>
    <row r="332">
      <c r="R332" s="16"/>
    </row>
    <row r="333">
      <c r="R333" s="16"/>
    </row>
    <row r="334">
      <c r="R334" s="16"/>
    </row>
    <row r="335">
      <c r="R335" s="16"/>
    </row>
    <row r="336">
      <c r="R336" s="16"/>
    </row>
    <row r="337">
      <c r="R337" s="16"/>
    </row>
    <row r="338">
      <c r="R338" s="16"/>
    </row>
    <row r="339">
      <c r="R339" s="16"/>
    </row>
    <row r="340">
      <c r="R340" s="16"/>
    </row>
    <row r="341">
      <c r="R341" s="16"/>
    </row>
    <row r="342">
      <c r="R342" s="16"/>
    </row>
    <row r="343">
      <c r="R343" s="16"/>
    </row>
    <row r="344">
      <c r="R344" s="16"/>
    </row>
    <row r="345">
      <c r="R345" s="16"/>
    </row>
    <row r="346">
      <c r="R346" s="16"/>
    </row>
    <row r="347">
      <c r="R347" s="16"/>
    </row>
    <row r="348">
      <c r="R348" s="16"/>
    </row>
    <row r="349">
      <c r="R349" s="16"/>
    </row>
    <row r="350">
      <c r="R350" s="16"/>
    </row>
    <row r="351">
      <c r="R351" s="16"/>
    </row>
    <row r="352">
      <c r="R352" s="16"/>
    </row>
    <row r="353">
      <c r="R353" s="16"/>
    </row>
    <row r="354">
      <c r="R354" s="16"/>
    </row>
    <row r="355">
      <c r="R355" s="16"/>
    </row>
    <row r="356">
      <c r="R356" s="16"/>
    </row>
    <row r="357">
      <c r="R357" s="16"/>
    </row>
    <row r="358">
      <c r="R358" s="16"/>
    </row>
    <row r="359">
      <c r="R359" s="16"/>
    </row>
    <row r="360">
      <c r="R360" s="16"/>
    </row>
    <row r="361">
      <c r="R361" s="16"/>
    </row>
    <row r="362">
      <c r="R362" s="16"/>
    </row>
    <row r="363">
      <c r="R363" s="16"/>
    </row>
    <row r="364">
      <c r="R364" s="16"/>
    </row>
    <row r="365">
      <c r="R365" s="16"/>
    </row>
    <row r="366">
      <c r="R366" s="16"/>
    </row>
    <row r="367">
      <c r="R367" s="16"/>
    </row>
    <row r="368">
      <c r="R368" s="16"/>
    </row>
    <row r="369">
      <c r="R369" s="16"/>
    </row>
    <row r="370">
      <c r="R370" s="16"/>
    </row>
    <row r="371">
      <c r="R371" s="16"/>
    </row>
    <row r="372">
      <c r="R372" s="16"/>
    </row>
    <row r="373">
      <c r="R373" s="16"/>
    </row>
    <row r="374">
      <c r="R374" s="16"/>
    </row>
    <row r="375">
      <c r="R375" s="16"/>
    </row>
    <row r="376">
      <c r="R376" s="16"/>
    </row>
    <row r="377">
      <c r="R377" s="16"/>
    </row>
    <row r="378">
      <c r="R378" s="16"/>
    </row>
    <row r="379">
      <c r="R379" s="16"/>
    </row>
    <row r="380">
      <c r="R380" s="16"/>
    </row>
    <row r="381">
      <c r="R381" s="16"/>
    </row>
    <row r="382">
      <c r="R382" s="16"/>
    </row>
    <row r="383">
      <c r="R383" s="16"/>
    </row>
    <row r="384">
      <c r="R384" s="16"/>
    </row>
    <row r="385">
      <c r="R385" s="16"/>
    </row>
    <row r="386">
      <c r="R386" s="16"/>
    </row>
    <row r="387">
      <c r="R387" s="16"/>
    </row>
    <row r="388">
      <c r="R388" s="16"/>
    </row>
    <row r="389">
      <c r="R389" s="16"/>
    </row>
    <row r="390">
      <c r="R390" s="16"/>
    </row>
    <row r="391">
      <c r="R391" s="16"/>
    </row>
    <row r="392">
      <c r="R392" s="16"/>
    </row>
    <row r="393">
      <c r="R393" s="16"/>
    </row>
    <row r="394">
      <c r="R394" s="16"/>
    </row>
    <row r="395">
      <c r="R395" s="16"/>
    </row>
    <row r="396">
      <c r="R396" s="16"/>
    </row>
    <row r="397">
      <c r="R397" s="16"/>
    </row>
    <row r="398">
      <c r="R398" s="16"/>
    </row>
    <row r="399">
      <c r="R399" s="16"/>
    </row>
    <row r="400">
      <c r="R400" s="16"/>
    </row>
    <row r="401">
      <c r="R401" s="16"/>
    </row>
    <row r="402">
      <c r="R402" s="16"/>
    </row>
    <row r="403">
      <c r="R403" s="16"/>
    </row>
    <row r="404">
      <c r="R404" s="16"/>
    </row>
    <row r="405">
      <c r="R405" s="16"/>
    </row>
    <row r="406">
      <c r="R406" s="16"/>
    </row>
    <row r="407">
      <c r="R407" s="16"/>
    </row>
    <row r="408">
      <c r="R408" s="16"/>
    </row>
    <row r="409">
      <c r="R409" s="16"/>
    </row>
    <row r="410">
      <c r="R410" s="16"/>
    </row>
    <row r="411">
      <c r="R411" s="16"/>
    </row>
    <row r="412">
      <c r="R412" s="16"/>
    </row>
    <row r="413">
      <c r="R413" s="16"/>
    </row>
    <row r="414">
      <c r="R414" s="16"/>
    </row>
    <row r="415">
      <c r="R415" s="16"/>
    </row>
    <row r="416">
      <c r="R416" s="16"/>
    </row>
    <row r="417">
      <c r="R417" s="16"/>
    </row>
    <row r="418">
      <c r="R418" s="16"/>
    </row>
    <row r="419">
      <c r="R419" s="16"/>
    </row>
    <row r="420">
      <c r="R420" s="16"/>
    </row>
    <row r="421">
      <c r="R421" s="16"/>
    </row>
    <row r="422">
      <c r="R422" s="16"/>
    </row>
    <row r="423">
      <c r="R423" s="16"/>
    </row>
    <row r="424">
      <c r="R424" s="16"/>
    </row>
    <row r="425">
      <c r="R425" s="16"/>
    </row>
    <row r="426">
      <c r="R426" s="16"/>
    </row>
    <row r="427">
      <c r="R427" s="16"/>
    </row>
    <row r="428">
      <c r="R428" s="16"/>
    </row>
    <row r="429">
      <c r="R429" s="16"/>
    </row>
    <row r="430">
      <c r="R430" s="16"/>
    </row>
    <row r="431">
      <c r="R431" s="16"/>
    </row>
    <row r="432">
      <c r="R432" s="16"/>
    </row>
    <row r="433">
      <c r="R433" s="16"/>
    </row>
    <row r="434">
      <c r="R434" s="16"/>
    </row>
    <row r="435">
      <c r="R435" s="16"/>
    </row>
    <row r="436">
      <c r="R436" s="16"/>
    </row>
    <row r="437">
      <c r="R437" s="16"/>
    </row>
    <row r="438">
      <c r="R438" s="16"/>
    </row>
    <row r="439">
      <c r="R439" s="16"/>
    </row>
    <row r="440">
      <c r="R440" s="16"/>
    </row>
    <row r="441">
      <c r="R441" s="16"/>
    </row>
    <row r="442">
      <c r="R442" s="16"/>
    </row>
    <row r="443">
      <c r="R443" s="16"/>
    </row>
    <row r="444">
      <c r="R444" s="16"/>
    </row>
    <row r="445">
      <c r="R445" s="16"/>
    </row>
    <row r="446">
      <c r="R446" s="16"/>
    </row>
    <row r="447">
      <c r="R447" s="16"/>
    </row>
    <row r="448">
      <c r="R448" s="16"/>
    </row>
    <row r="449">
      <c r="R449" s="16"/>
    </row>
    <row r="450">
      <c r="R450" s="16"/>
    </row>
    <row r="451">
      <c r="R451" s="16"/>
    </row>
    <row r="452">
      <c r="R452" s="16"/>
    </row>
    <row r="453">
      <c r="R453" s="16"/>
    </row>
    <row r="454">
      <c r="R454" s="16"/>
    </row>
    <row r="455">
      <c r="R455" s="16"/>
    </row>
    <row r="456">
      <c r="R456" s="16"/>
    </row>
    <row r="457">
      <c r="R457" s="16"/>
    </row>
    <row r="458">
      <c r="R458" s="16"/>
    </row>
    <row r="459">
      <c r="R459" s="16"/>
    </row>
    <row r="460">
      <c r="R460" s="16"/>
    </row>
    <row r="461">
      <c r="R461" s="16"/>
    </row>
    <row r="462">
      <c r="R462" s="16"/>
    </row>
    <row r="463">
      <c r="R463" s="16"/>
    </row>
    <row r="464">
      <c r="R464" s="16"/>
    </row>
    <row r="465">
      <c r="R465" s="16"/>
    </row>
    <row r="466">
      <c r="R466" s="16"/>
    </row>
    <row r="467">
      <c r="R467" s="16"/>
    </row>
    <row r="468">
      <c r="R468" s="16"/>
    </row>
    <row r="469">
      <c r="R469" s="16"/>
    </row>
    <row r="470">
      <c r="R470" s="16"/>
    </row>
    <row r="471">
      <c r="R471" s="16"/>
    </row>
    <row r="472">
      <c r="R472" s="16"/>
    </row>
    <row r="473">
      <c r="R473" s="16"/>
    </row>
    <row r="474">
      <c r="R474" s="16"/>
    </row>
    <row r="475">
      <c r="R475" s="16"/>
    </row>
    <row r="476">
      <c r="R476" s="16"/>
    </row>
    <row r="477">
      <c r="R477" s="16"/>
    </row>
    <row r="478">
      <c r="R478" s="16"/>
    </row>
    <row r="479">
      <c r="R479" s="16"/>
    </row>
    <row r="480">
      <c r="R480" s="16"/>
    </row>
    <row r="481">
      <c r="R481" s="16"/>
    </row>
    <row r="482">
      <c r="R482" s="16"/>
    </row>
    <row r="483">
      <c r="R483" s="16"/>
    </row>
    <row r="484">
      <c r="R484" s="16"/>
    </row>
    <row r="485">
      <c r="R485" s="16"/>
    </row>
    <row r="486">
      <c r="R486" s="16"/>
    </row>
    <row r="487">
      <c r="R487" s="16"/>
    </row>
    <row r="488">
      <c r="R488" s="16"/>
    </row>
    <row r="489">
      <c r="R489" s="16"/>
    </row>
    <row r="490">
      <c r="R490" s="16"/>
    </row>
    <row r="491">
      <c r="R491" s="16"/>
    </row>
    <row r="492">
      <c r="R492" s="16"/>
    </row>
    <row r="493">
      <c r="R493" s="16"/>
    </row>
    <row r="494">
      <c r="R494" s="16"/>
    </row>
    <row r="495">
      <c r="R495" s="16"/>
    </row>
    <row r="496">
      <c r="R496" s="16"/>
    </row>
    <row r="497">
      <c r="R497" s="16"/>
    </row>
    <row r="498">
      <c r="R498" s="16"/>
    </row>
    <row r="499">
      <c r="R499" s="16"/>
    </row>
    <row r="500">
      <c r="R500" s="16"/>
    </row>
    <row r="501">
      <c r="R501" s="16"/>
    </row>
    <row r="502">
      <c r="R502" s="16"/>
    </row>
    <row r="503">
      <c r="R503" s="16"/>
    </row>
    <row r="504">
      <c r="R504" s="16"/>
    </row>
    <row r="505">
      <c r="R505" s="16"/>
    </row>
    <row r="506">
      <c r="R506" s="16"/>
    </row>
    <row r="507">
      <c r="R507" s="16"/>
    </row>
    <row r="508">
      <c r="R508" s="16"/>
    </row>
    <row r="509">
      <c r="R509" s="16"/>
    </row>
    <row r="510">
      <c r="R510" s="16"/>
    </row>
    <row r="511">
      <c r="R511" s="16"/>
    </row>
    <row r="512">
      <c r="R512" s="16"/>
    </row>
    <row r="513">
      <c r="R513" s="16"/>
    </row>
    <row r="514">
      <c r="R514" s="16"/>
    </row>
    <row r="515">
      <c r="R515" s="16"/>
    </row>
    <row r="516">
      <c r="R516" s="16"/>
    </row>
    <row r="517">
      <c r="R517" s="16"/>
    </row>
    <row r="518">
      <c r="R518" s="16"/>
    </row>
    <row r="519">
      <c r="R519" s="16"/>
    </row>
    <row r="520">
      <c r="R520" s="16"/>
    </row>
    <row r="521">
      <c r="R521" s="16"/>
    </row>
    <row r="522">
      <c r="R522" s="16"/>
    </row>
    <row r="523">
      <c r="R523" s="16"/>
    </row>
    <row r="524">
      <c r="R524" s="16"/>
    </row>
    <row r="525">
      <c r="R525" s="16"/>
    </row>
    <row r="526">
      <c r="R526" s="16"/>
    </row>
    <row r="527">
      <c r="R527" s="16"/>
    </row>
    <row r="528">
      <c r="R528" s="16"/>
    </row>
    <row r="529">
      <c r="R529" s="16"/>
    </row>
    <row r="530">
      <c r="R530" s="16"/>
    </row>
    <row r="531">
      <c r="R531" s="16"/>
    </row>
    <row r="532">
      <c r="R532" s="16"/>
    </row>
    <row r="533">
      <c r="R533" s="16"/>
    </row>
    <row r="534">
      <c r="R534" s="16"/>
    </row>
    <row r="535">
      <c r="R535" s="16"/>
    </row>
    <row r="536">
      <c r="R536" s="16"/>
    </row>
    <row r="537">
      <c r="R537" s="16"/>
    </row>
    <row r="538">
      <c r="R538" s="16"/>
    </row>
    <row r="539">
      <c r="R539" s="16"/>
    </row>
    <row r="540">
      <c r="R540" s="16"/>
    </row>
    <row r="541">
      <c r="R541" s="16"/>
    </row>
    <row r="542">
      <c r="R542" s="16"/>
    </row>
    <row r="543">
      <c r="R543" s="16"/>
    </row>
    <row r="544">
      <c r="R544" s="16"/>
    </row>
    <row r="545">
      <c r="R545" s="16"/>
    </row>
    <row r="546">
      <c r="R546" s="16"/>
    </row>
    <row r="547">
      <c r="R547" s="16"/>
    </row>
    <row r="548">
      <c r="R548" s="16"/>
    </row>
    <row r="549">
      <c r="R549" s="16"/>
    </row>
    <row r="550">
      <c r="R550" s="16"/>
    </row>
    <row r="551">
      <c r="R551" s="16"/>
    </row>
    <row r="552">
      <c r="R552" s="16"/>
    </row>
    <row r="553">
      <c r="R553" s="16"/>
    </row>
    <row r="554">
      <c r="R554" s="16"/>
    </row>
    <row r="555">
      <c r="R555" s="16"/>
    </row>
    <row r="556">
      <c r="R556" s="16"/>
    </row>
    <row r="557">
      <c r="R557" s="16"/>
    </row>
    <row r="558">
      <c r="R558" s="16"/>
    </row>
    <row r="559">
      <c r="R559" s="16"/>
    </row>
    <row r="560">
      <c r="R560" s="16"/>
    </row>
    <row r="561">
      <c r="R561" s="16"/>
    </row>
    <row r="562">
      <c r="R562" s="16"/>
    </row>
    <row r="563">
      <c r="R563" s="16"/>
    </row>
    <row r="564">
      <c r="R564" s="16"/>
    </row>
    <row r="565">
      <c r="R565" s="16"/>
    </row>
    <row r="566">
      <c r="R566" s="16"/>
    </row>
    <row r="567">
      <c r="R567" s="16"/>
    </row>
    <row r="568">
      <c r="R568" s="16"/>
    </row>
    <row r="569">
      <c r="R569" s="16"/>
    </row>
    <row r="570">
      <c r="R570" s="16"/>
    </row>
    <row r="571">
      <c r="R571" s="16"/>
    </row>
    <row r="572">
      <c r="R572" s="16"/>
    </row>
    <row r="573">
      <c r="R573" s="16"/>
    </row>
    <row r="574">
      <c r="R574" s="16"/>
    </row>
    <row r="575">
      <c r="R575" s="16"/>
    </row>
    <row r="576">
      <c r="R576" s="16"/>
    </row>
    <row r="577">
      <c r="R577" s="16"/>
    </row>
    <row r="578">
      <c r="R578" s="16"/>
    </row>
    <row r="579">
      <c r="R579" s="16"/>
    </row>
    <row r="580">
      <c r="R580" s="16"/>
    </row>
    <row r="581">
      <c r="R581" s="16"/>
    </row>
    <row r="582">
      <c r="R582" s="16"/>
    </row>
    <row r="583">
      <c r="R583" s="16"/>
    </row>
    <row r="584">
      <c r="R584" s="16"/>
    </row>
    <row r="585">
      <c r="R585" s="16"/>
    </row>
    <row r="586">
      <c r="R586" s="16"/>
    </row>
    <row r="587">
      <c r="R587" s="16"/>
    </row>
    <row r="588">
      <c r="R588" s="16"/>
    </row>
    <row r="589">
      <c r="R589" s="16"/>
    </row>
    <row r="590">
      <c r="R590" s="16"/>
    </row>
    <row r="591">
      <c r="R591" s="16"/>
    </row>
    <row r="592">
      <c r="R592" s="16"/>
    </row>
    <row r="593">
      <c r="R593" s="16"/>
    </row>
    <row r="594">
      <c r="R594" s="16"/>
    </row>
    <row r="595">
      <c r="R595" s="16"/>
    </row>
    <row r="596">
      <c r="R596" s="16"/>
    </row>
    <row r="597">
      <c r="R597" s="16"/>
    </row>
    <row r="598">
      <c r="R598" s="16"/>
    </row>
    <row r="599">
      <c r="R599" s="16"/>
    </row>
    <row r="600">
      <c r="R600" s="16"/>
    </row>
    <row r="601">
      <c r="R601" s="16"/>
    </row>
    <row r="602">
      <c r="R602" s="16"/>
    </row>
    <row r="603">
      <c r="R603" s="16"/>
    </row>
    <row r="604">
      <c r="R604" s="16"/>
    </row>
    <row r="605">
      <c r="R605" s="16"/>
    </row>
    <row r="606">
      <c r="R606" s="16"/>
    </row>
    <row r="607">
      <c r="R607" s="16"/>
    </row>
    <row r="608">
      <c r="R608" s="16"/>
    </row>
    <row r="609">
      <c r="R609" s="16"/>
    </row>
    <row r="610">
      <c r="R610" s="16"/>
    </row>
    <row r="611">
      <c r="R611" s="16"/>
    </row>
    <row r="612">
      <c r="R612" s="16"/>
    </row>
    <row r="613">
      <c r="R613" s="16"/>
    </row>
    <row r="614">
      <c r="R614" s="16"/>
    </row>
    <row r="615">
      <c r="R615" s="16"/>
    </row>
    <row r="616">
      <c r="R616" s="16"/>
    </row>
    <row r="617">
      <c r="R617" s="16"/>
    </row>
    <row r="618">
      <c r="R618" s="16"/>
    </row>
    <row r="619">
      <c r="R619" s="16"/>
    </row>
    <row r="620">
      <c r="R620" s="16"/>
    </row>
    <row r="621">
      <c r="R621" s="16"/>
    </row>
    <row r="622">
      <c r="R622" s="16"/>
    </row>
    <row r="623">
      <c r="R623" s="16"/>
    </row>
    <row r="624">
      <c r="R624" s="16"/>
    </row>
    <row r="625">
      <c r="R625" s="16"/>
    </row>
    <row r="626">
      <c r="R626" s="16"/>
    </row>
    <row r="627">
      <c r="R627" s="16"/>
    </row>
    <row r="628">
      <c r="R628" s="16"/>
    </row>
    <row r="629">
      <c r="R629" s="16"/>
    </row>
    <row r="630">
      <c r="R630" s="16"/>
    </row>
    <row r="631">
      <c r="R631" s="16"/>
    </row>
    <row r="632">
      <c r="R632" s="16"/>
    </row>
    <row r="633">
      <c r="R633" s="16"/>
    </row>
    <row r="634">
      <c r="R634" s="16"/>
    </row>
    <row r="635">
      <c r="R635" s="16"/>
    </row>
    <row r="636">
      <c r="R636" s="16"/>
    </row>
    <row r="637">
      <c r="R637" s="16"/>
    </row>
    <row r="638">
      <c r="R638" s="16"/>
    </row>
    <row r="639">
      <c r="R639" s="16"/>
    </row>
    <row r="640">
      <c r="R640" s="16"/>
    </row>
    <row r="641">
      <c r="R641" s="16"/>
    </row>
    <row r="642">
      <c r="R642" s="16"/>
    </row>
    <row r="643">
      <c r="R643" s="16"/>
    </row>
    <row r="644">
      <c r="R644" s="16"/>
    </row>
    <row r="645">
      <c r="R645" s="16"/>
    </row>
    <row r="646">
      <c r="R646" s="16"/>
    </row>
    <row r="647">
      <c r="R647" s="16"/>
    </row>
    <row r="648">
      <c r="R648" s="16"/>
    </row>
    <row r="649">
      <c r="R649" s="16"/>
    </row>
    <row r="650">
      <c r="R650" s="16"/>
    </row>
    <row r="651">
      <c r="R651" s="16"/>
    </row>
    <row r="652">
      <c r="R652" s="16"/>
    </row>
    <row r="653">
      <c r="R653" s="16"/>
    </row>
    <row r="654">
      <c r="R654" s="16"/>
    </row>
    <row r="655">
      <c r="R655" s="16"/>
    </row>
    <row r="656">
      <c r="R656" s="16"/>
    </row>
    <row r="657">
      <c r="R657" s="16"/>
    </row>
    <row r="658">
      <c r="R658" s="16"/>
    </row>
    <row r="659">
      <c r="R659" s="16"/>
    </row>
    <row r="660">
      <c r="R660" s="16"/>
    </row>
    <row r="661">
      <c r="R661" s="16"/>
    </row>
    <row r="662">
      <c r="R662" s="16"/>
    </row>
    <row r="663">
      <c r="R663" s="16"/>
    </row>
    <row r="664">
      <c r="R664" s="16"/>
    </row>
    <row r="665">
      <c r="R665" s="16"/>
    </row>
    <row r="666">
      <c r="R666" s="16"/>
    </row>
    <row r="667">
      <c r="R667" s="16"/>
    </row>
    <row r="668">
      <c r="R668" s="16"/>
    </row>
    <row r="669">
      <c r="R669" s="16"/>
    </row>
    <row r="670">
      <c r="R670" s="16"/>
    </row>
    <row r="671">
      <c r="R671" s="16"/>
    </row>
    <row r="672">
      <c r="R672" s="16"/>
    </row>
    <row r="673">
      <c r="R673" s="16"/>
    </row>
    <row r="674">
      <c r="R674" s="16"/>
    </row>
    <row r="675">
      <c r="R675" s="16"/>
    </row>
    <row r="676">
      <c r="R676" s="16"/>
    </row>
    <row r="677">
      <c r="R677" s="16"/>
    </row>
    <row r="678">
      <c r="R678" s="16"/>
    </row>
    <row r="679">
      <c r="R679" s="16"/>
    </row>
    <row r="680">
      <c r="R680" s="16"/>
    </row>
    <row r="681">
      <c r="R681" s="16"/>
    </row>
    <row r="682">
      <c r="R682" s="16"/>
    </row>
    <row r="683">
      <c r="R683" s="16"/>
    </row>
    <row r="684">
      <c r="R684" s="16"/>
    </row>
    <row r="685">
      <c r="R685" s="16"/>
    </row>
    <row r="686">
      <c r="R686" s="16"/>
    </row>
    <row r="687">
      <c r="R687" s="16"/>
    </row>
    <row r="688">
      <c r="R688" s="16"/>
    </row>
    <row r="689">
      <c r="R689" s="16"/>
    </row>
    <row r="690">
      <c r="R690" s="16"/>
    </row>
    <row r="691">
      <c r="R691" s="16"/>
    </row>
    <row r="692">
      <c r="R692" s="16"/>
    </row>
    <row r="693">
      <c r="R693" s="16"/>
    </row>
    <row r="694">
      <c r="R694" s="16"/>
    </row>
    <row r="695">
      <c r="R695" s="16"/>
    </row>
    <row r="696">
      <c r="R696" s="16"/>
    </row>
    <row r="697">
      <c r="R697" s="16"/>
    </row>
    <row r="698">
      <c r="R698" s="16"/>
    </row>
    <row r="699">
      <c r="R699" s="16"/>
    </row>
    <row r="700">
      <c r="R700" s="16"/>
    </row>
    <row r="701">
      <c r="R701" s="16"/>
    </row>
    <row r="702">
      <c r="R702" s="16"/>
    </row>
    <row r="703">
      <c r="R703" s="16"/>
    </row>
    <row r="704">
      <c r="R704" s="16"/>
    </row>
    <row r="705">
      <c r="R705" s="16"/>
    </row>
    <row r="706">
      <c r="R706" s="16"/>
    </row>
    <row r="707">
      <c r="R707" s="16"/>
    </row>
    <row r="708">
      <c r="R708" s="16"/>
    </row>
    <row r="709">
      <c r="R709" s="16"/>
    </row>
    <row r="710">
      <c r="R710" s="16"/>
    </row>
    <row r="711">
      <c r="R711" s="16"/>
    </row>
    <row r="712">
      <c r="R712" s="16"/>
    </row>
    <row r="713">
      <c r="R713" s="16"/>
    </row>
    <row r="714">
      <c r="R714" s="16"/>
    </row>
    <row r="715">
      <c r="R715" s="16"/>
    </row>
    <row r="716">
      <c r="R716" s="16"/>
    </row>
    <row r="717">
      <c r="R717" s="16"/>
    </row>
    <row r="718">
      <c r="R718" s="16"/>
    </row>
    <row r="719">
      <c r="R719" s="16"/>
    </row>
    <row r="720">
      <c r="R720" s="16"/>
    </row>
    <row r="721">
      <c r="R721" s="16"/>
    </row>
    <row r="722">
      <c r="R722" s="16"/>
    </row>
    <row r="723">
      <c r="R723" s="16"/>
    </row>
    <row r="724">
      <c r="R724" s="16"/>
    </row>
    <row r="725">
      <c r="R725" s="16"/>
    </row>
    <row r="726">
      <c r="R726" s="16"/>
    </row>
    <row r="727">
      <c r="R727" s="16"/>
    </row>
    <row r="728">
      <c r="R728" s="16"/>
    </row>
    <row r="729">
      <c r="R729" s="16"/>
    </row>
    <row r="730">
      <c r="R730" s="16"/>
    </row>
    <row r="731">
      <c r="R731" s="16"/>
    </row>
    <row r="732">
      <c r="R732" s="16"/>
    </row>
    <row r="733">
      <c r="R733" s="16"/>
    </row>
    <row r="734">
      <c r="R734" s="16"/>
    </row>
    <row r="735">
      <c r="R735" s="16"/>
    </row>
    <row r="736">
      <c r="R736" s="16"/>
    </row>
    <row r="737">
      <c r="R737" s="16"/>
    </row>
    <row r="738">
      <c r="R738" s="16"/>
    </row>
    <row r="739">
      <c r="R739" s="16"/>
    </row>
    <row r="740">
      <c r="R740" s="16"/>
    </row>
    <row r="741">
      <c r="R741" s="16"/>
    </row>
    <row r="742">
      <c r="R742" s="16"/>
    </row>
    <row r="743">
      <c r="R743" s="16"/>
    </row>
    <row r="744">
      <c r="R744" s="16"/>
    </row>
    <row r="745">
      <c r="R745" s="16"/>
    </row>
    <row r="746">
      <c r="R746" s="16"/>
    </row>
    <row r="747">
      <c r="R747" s="16"/>
    </row>
    <row r="748">
      <c r="R748" s="16"/>
    </row>
    <row r="749">
      <c r="R749" s="16"/>
    </row>
    <row r="750">
      <c r="R750" s="16"/>
    </row>
    <row r="751">
      <c r="R751" s="16"/>
    </row>
    <row r="752">
      <c r="R752" s="16"/>
    </row>
    <row r="753">
      <c r="R753" s="16"/>
    </row>
    <row r="754">
      <c r="R754" s="16"/>
    </row>
    <row r="755">
      <c r="R755" s="16"/>
    </row>
    <row r="756">
      <c r="R756" s="16"/>
    </row>
    <row r="757">
      <c r="R757" s="16"/>
    </row>
    <row r="758">
      <c r="R758" s="16"/>
    </row>
    <row r="759">
      <c r="R759" s="16"/>
    </row>
    <row r="760">
      <c r="R760" s="16"/>
    </row>
    <row r="761">
      <c r="R761" s="16"/>
    </row>
    <row r="762">
      <c r="R762" s="16"/>
    </row>
    <row r="763">
      <c r="R763" s="16"/>
    </row>
    <row r="764">
      <c r="R764" s="16"/>
    </row>
    <row r="765">
      <c r="R765" s="16"/>
    </row>
    <row r="766">
      <c r="R766" s="16"/>
    </row>
    <row r="767">
      <c r="R767" s="16"/>
    </row>
    <row r="768">
      <c r="R768" s="16"/>
    </row>
    <row r="769">
      <c r="R769" s="16"/>
    </row>
    <row r="770">
      <c r="R770" s="16"/>
    </row>
    <row r="771">
      <c r="R771" s="16"/>
    </row>
    <row r="772">
      <c r="R772" s="16"/>
    </row>
    <row r="773">
      <c r="R773" s="16"/>
    </row>
    <row r="774">
      <c r="R774" s="16"/>
    </row>
    <row r="775">
      <c r="R775" s="16"/>
    </row>
    <row r="776">
      <c r="R776" s="16"/>
    </row>
    <row r="777">
      <c r="R777" s="16"/>
    </row>
    <row r="778">
      <c r="R778" s="16"/>
    </row>
    <row r="779">
      <c r="R779" s="16"/>
    </row>
    <row r="780">
      <c r="R780" s="16"/>
    </row>
    <row r="781">
      <c r="R781" s="16"/>
    </row>
    <row r="782">
      <c r="R782" s="16"/>
    </row>
    <row r="783">
      <c r="R783" s="16"/>
    </row>
    <row r="784">
      <c r="R784" s="16"/>
    </row>
    <row r="785">
      <c r="R785" s="16"/>
    </row>
    <row r="786">
      <c r="R786" s="16"/>
    </row>
    <row r="787">
      <c r="R787" s="16"/>
    </row>
    <row r="788">
      <c r="R788" s="16"/>
    </row>
    <row r="789">
      <c r="R789" s="16"/>
    </row>
    <row r="790">
      <c r="R790" s="16"/>
    </row>
    <row r="791">
      <c r="R791" s="16"/>
    </row>
    <row r="792">
      <c r="R792" s="16"/>
    </row>
    <row r="793">
      <c r="R793" s="16"/>
    </row>
    <row r="794">
      <c r="R794" s="16"/>
    </row>
    <row r="795">
      <c r="R795" s="16"/>
    </row>
    <row r="796">
      <c r="R796" s="16"/>
    </row>
    <row r="797">
      <c r="R797" s="16"/>
    </row>
    <row r="798">
      <c r="R798" s="16"/>
    </row>
    <row r="799">
      <c r="R799" s="16"/>
    </row>
    <row r="800">
      <c r="R800" s="16"/>
    </row>
    <row r="801">
      <c r="R801" s="16"/>
    </row>
    <row r="802">
      <c r="R802" s="16"/>
    </row>
    <row r="803">
      <c r="R803" s="16"/>
    </row>
    <row r="804">
      <c r="R804" s="16"/>
    </row>
    <row r="805">
      <c r="R805" s="16"/>
    </row>
    <row r="806">
      <c r="R806" s="16"/>
    </row>
    <row r="807">
      <c r="R807" s="16"/>
    </row>
    <row r="808">
      <c r="R808" s="16"/>
    </row>
    <row r="809">
      <c r="R809" s="16"/>
    </row>
    <row r="810">
      <c r="R810" s="16"/>
    </row>
    <row r="811">
      <c r="R811" s="16"/>
    </row>
    <row r="812">
      <c r="R812" s="16"/>
    </row>
    <row r="813">
      <c r="R813" s="16"/>
    </row>
    <row r="814">
      <c r="R814" s="16"/>
    </row>
    <row r="815">
      <c r="R815" s="16"/>
    </row>
    <row r="816">
      <c r="R816" s="16"/>
    </row>
    <row r="817">
      <c r="R817" s="16"/>
    </row>
    <row r="818">
      <c r="R818" s="16"/>
    </row>
    <row r="819">
      <c r="R819" s="16"/>
    </row>
    <row r="820">
      <c r="R820" s="16"/>
    </row>
    <row r="821">
      <c r="R821" s="16"/>
    </row>
    <row r="822">
      <c r="R822" s="16"/>
    </row>
    <row r="823">
      <c r="R823" s="16"/>
    </row>
    <row r="824">
      <c r="R824" s="16"/>
    </row>
    <row r="825">
      <c r="R825" s="16"/>
    </row>
    <row r="826">
      <c r="R826" s="16"/>
    </row>
    <row r="827">
      <c r="R827" s="16"/>
    </row>
    <row r="828">
      <c r="R828" s="16"/>
    </row>
    <row r="829">
      <c r="R829" s="16"/>
    </row>
    <row r="830">
      <c r="R830" s="16"/>
    </row>
    <row r="831">
      <c r="R831" s="16"/>
    </row>
    <row r="832">
      <c r="R832" s="16"/>
    </row>
    <row r="833">
      <c r="R833" s="16"/>
    </row>
    <row r="834">
      <c r="R834" s="16"/>
    </row>
    <row r="835">
      <c r="R835" s="16"/>
    </row>
    <row r="836">
      <c r="R836" s="16"/>
    </row>
    <row r="837">
      <c r="R837" s="16"/>
    </row>
    <row r="838">
      <c r="R838" s="16"/>
    </row>
    <row r="839">
      <c r="R839" s="16"/>
    </row>
    <row r="840">
      <c r="R840" s="16"/>
    </row>
    <row r="841">
      <c r="R841" s="16"/>
    </row>
    <row r="842">
      <c r="R842" s="16"/>
    </row>
    <row r="843">
      <c r="R843" s="16"/>
    </row>
    <row r="844">
      <c r="R844" s="16"/>
    </row>
    <row r="845">
      <c r="R845" s="16"/>
    </row>
    <row r="846">
      <c r="R846" s="16"/>
    </row>
    <row r="847">
      <c r="R847" s="16"/>
    </row>
    <row r="848">
      <c r="R848" s="16"/>
    </row>
    <row r="849">
      <c r="R849" s="16"/>
    </row>
    <row r="850">
      <c r="R850" s="16"/>
    </row>
    <row r="851">
      <c r="R851" s="16"/>
    </row>
    <row r="852">
      <c r="R852" s="16"/>
    </row>
    <row r="853">
      <c r="R853" s="16"/>
    </row>
    <row r="854">
      <c r="R854" s="16"/>
    </row>
    <row r="855">
      <c r="R855" s="16"/>
    </row>
    <row r="856">
      <c r="R856" s="16"/>
    </row>
    <row r="857">
      <c r="R857" s="16"/>
    </row>
    <row r="858">
      <c r="R858" s="16"/>
    </row>
    <row r="859">
      <c r="R859" s="16"/>
    </row>
    <row r="860">
      <c r="R860" s="16"/>
    </row>
    <row r="861">
      <c r="R861" s="16"/>
    </row>
    <row r="862">
      <c r="R862" s="16"/>
    </row>
    <row r="863">
      <c r="R863" s="16"/>
    </row>
    <row r="864">
      <c r="R864" s="16"/>
    </row>
    <row r="865">
      <c r="R865" s="16"/>
    </row>
    <row r="866">
      <c r="R866" s="16"/>
    </row>
    <row r="867">
      <c r="R867" s="16"/>
    </row>
    <row r="868">
      <c r="R868" s="16"/>
    </row>
    <row r="869">
      <c r="R869" s="16"/>
    </row>
    <row r="870">
      <c r="R870" s="16"/>
    </row>
    <row r="871">
      <c r="R871" s="16"/>
    </row>
    <row r="872">
      <c r="R872" s="16"/>
    </row>
    <row r="873">
      <c r="R873" s="16"/>
    </row>
    <row r="874">
      <c r="R874" s="16"/>
    </row>
    <row r="875">
      <c r="R875" s="16"/>
    </row>
    <row r="876">
      <c r="R876" s="16"/>
    </row>
    <row r="877">
      <c r="R877" s="16"/>
    </row>
    <row r="878">
      <c r="R878" s="16"/>
    </row>
    <row r="879">
      <c r="R879" s="16"/>
    </row>
    <row r="880">
      <c r="R880" s="16"/>
    </row>
    <row r="881">
      <c r="R881" s="16"/>
    </row>
    <row r="882">
      <c r="R882" s="16"/>
    </row>
    <row r="883">
      <c r="R883" s="16"/>
    </row>
    <row r="884">
      <c r="R884" s="16"/>
    </row>
    <row r="885">
      <c r="R885" s="16"/>
    </row>
    <row r="886">
      <c r="R886" s="16"/>
    </row>
    <row r="887">
      <c r="R887" s="16"/>
    </row>
    <row r="888">
      <c r="R888" s="16"/>
    </row>
    <row r="889">
      <c r="R889" s="16"/>
    </row>
    <row r="890">
      <c r="R890" s="16"/>
    </row>
    <row r="891">
      <c r="R891" s="16"/>
    </row>
    <row r="892">
      <c r="R892" s="16"/>
    </row>
    <row r="893">
      <c r="R893" s="16"/>
    </row>
    <row r="894">
      <c r="R894" s="16"/>
    </row>
    <row r="895">
      <c r="R895" s="16"/>
    </row>
    <row r="896">
      <c r="R896" s="16"/>
    </row>
    <row r="897">
      <c r="R897" s="16"/>
    </row>
    <row r="898">
      <c r="R898" s="16"/>
    </row>
    <row r="899">
      <c r="R899" s="16"/>
    </row>
    <row r="900">
      <c r="R900" s="16"/>
    </row>
    <row r="901">
      <c r="R901" s="16"/>
    </row>
    <row r="902">
      <c r="R902" s="16"/>
    </row>
    <row r="903">
      <c r="R903" s="16"/>
    </row>
    <row r="904">
      <c r="R904" s="16"/>
    </row>
    <row r="905">
      <c r="R905" s="16"/>
    </row>
    <row r="906">
      <c r="R906" s="16"/>
    </row>
    <row r="907">
      <c r="R907" s="16"/>
    </row>
    <row r="908">
      <c r="R908" s="16"/>
    </row>
    <row r="909">
      <c r="R909" s="16"/>
    </row>
    <row r="910">
      <c r="R910" s="16"/>
    </row>
    <row r="911">
      <c r="R911" s="16"/>
    </row>
    <row r="912">
      <c r="R912" s="16"/>
    </row>
    <row r="913">
      <c r="R913" s="16"/>
    </row>
    <row r="914">
      <c r="R914" s="16"/>
    </row>
    <row r="915">
      <c r="R915" s="16"/>
    </row>
    <row r="916">
      <c r="R916" s="16"/>
    </row>
    <row r="917">
      <c r="R917" s="16"/>
    </row>
    <row r="918">
      <c r="R918" s="16"/>
    </row>
    <row r="919">
      <c r="R919" s="16"/>
    </row>
    <row r="920">
      <c r="R920" s="16"/>
    </row>
    <row r="921">
      <c r="R921" s="16"/>
    </row>
    <row r="922">
      <c r="R922" s="16"/>
    </row>
    <row r="923">
      <c r="R923" s="16"/>
    </row>
    <row r="924">
      <c r="R924" s="16"/>
    </row>
    <row r="925">
      <c r="R925" s="16"/>
    </row>
    <row r="926">
      <c r="R926" s="16"/>
    </row>
    <row r="927">
      <c r="R927" s="16"/>
    </row>
    <row r="928">
      <c r="R928" s="16"/>
    </row>
    <row r="929">
      <c r="R929" s="16"/>
    </row>
    <row r="930">
      <c r="R930" s="16"/>
    </row>
    <row r="931">
      <c r="R931" s="16"/>
    </row>
    <row r="932">
      <c r="R932" s="16"/>
    </row>
    <row r="933">
      <c r="R933" s="16"/>
    </row>
    <row r="934">
      <c r="R934" s="16"/>
    </row>
    <row r="935">
      <c r="R935" s="16"/>
    </row>
    <row r="936">
      <c r="R936" s="16"/>
    </row>
    <row r="937">
      <c r="R937" s="16"/>
    </row>
    <row r="938">
      <c r="R938" s="16"/>
    </row>
    <row r="939">
      <c r="R939" s="16"/>
    </row>
    <row r="940">
      <c r="R940" s="16"/>
    </row>
    <row r="941">
      <c r="R941" s="16"/>
    </row>
    <row r="942">
      <c r="R942" s="16"/>
    </row>
    <row r="943">
      <c r="R943" s="16"/>
    </row>
    <row r="944">
      <c r="R944" s="16"/>
    </row>
    <row r="945">
      <c r="R945" s="16"/>
    </row>
    <row r="946">
      <c r="R946" s="16"/>
    </row>
    <row r="947">
      <c r="R947" s="16"/>
    </row>
    <row r="948">
      <c r="R948" s="16"/>
    </row>
    <row r="949">
      <c r="R949" s="16"/>
    </row>
    <row r="950">
      <c r="R950" s="16"/>
    </row>
    <row r="951">
      <c r="R951" s="16"/>
    </row>
    <row r="952">
      <c r="R952" s="16"/>
    </row>
    <row r="953">
      <c r="R953" s="16"/>
    </row>
    <row r="954">
      <c r="R954" s="16"/>
    </row>
    <row r="955">
      <c r="R955" s="16"/>
    </row>
    <row r="956">
      <c r="R956" s="16"/>
    </row>
    <row r="957">
      <c r="R957" s="16"/>
    </row>
    <row r="958">
      <c r="R958" s="16"/>
    </row>
    <row r="959">
      <c r="R959" s="16"/>
    </row>
    <row r="960">
      <c r="R960" s="16"/>
    </row>
    <row r="961">
      <c r="R961" s="16"/>
    </row>
    <row r="962">
      <c r="R962" s="16"/>
    </row>
    <row r="963">
      <c r="R963" s="16"/>
    </row>
    <row r="964">
      <c r="R964" s="16"/>
    </row>
    <row r="965">
      <c r="R965" s="16"/>
    </row>
    <row r="966">
      <c r="R966" s="16"/>
    </row>
    <row r="967">
      <c r="R967" s="16"/>
    </row>
    <row r="968">
      <c r="R968" s="16"/>
    </row>
    <row r="969">
      <c r="R969" s="16"/>
    </row>
    <row r="970">
      <c r="R970" s="16"/>
    </row>
    <row r="971">
      <c r="R971" s="16"/>
    </row>
    <row r="972">
      <c r="R972" s="16"/>
    </row>
    <row r="973">
      <c r="R973" s="16"/>
    </row>
    <row r="974">
      <c r="R974" s="16"/>
    </row>
    <row r="975">
      <c r="R975" s="16"/>
    </row>
    <row r="976">
      <c r="R976" s="16"/>
    </row>
    <row r="977">
      <c r="R977" s="16"/>
    </row>
    <row r="978">
      <c r="R978" s="16"/>
    </row>
    <row r="979">
      <c r="R979" s="16"/>
    </row>
    <row r="980">
      <c r="R980" s="16"/>
    </row>
    <row r="981">
      <c r="R981" s="16"/>
    </row>
    <row r="982">
      <c r="R982" s="16"/>
    </row>
    <row r="983">
      <c r="R983" s="16"/>
    </row>
    <row r="984">
      <c r="R984" s="16"/>
    </row>
    <row r="985">
      <c r="R985" s="16"/>
    </row>
    <row r="986">
      <c r="R986" s="16"/>
    </row>
    <row r="987">
      <c r="R987" s="16"/>
    </row>
    <row r="988">
      <c r="R988" s="16"/>
    </row>
    <row r="989">
      <c r="R989" s="16"/>
    </row>
    <row r="990">
      <c r="R990" s="16"/>
    </row>
    <row r="991">
      <c r="R991" s="16"/>
    </row>
    <row r="992">
      <c r="R992" s="16"/>
    </row>
    <row r="993">
      <c r="R993" s="16"/>
    </row>
    <row r="994">
      <c r="R994" s="16"/>
    </row>
    <row r="995">
      <c r="R995" s="16"/>
    </row>
    <row r="996">
      <c r="R996" s="16"/>
    </row>
    <row r="997">
      <c r="R997" s="16"/>
    </row>
    <row r="998">
      <c r="R998" s="16"/>
    </row>
    <row r="999">
      <c r="R999" s="16"/>
    </row>
    <row r="1000">
      <c r="R1000" s="16"/>
    </row>
  </sheetData>
  <mergeCells count="112">
    <mergeCell ref="X5:AC5"/>
    <mergeCell ref="AE5:AJ5"/>
    <mergeCell ref="A1:AP3"/>
    <mergeCell ref="A4:AW4"/>
    <mergeCell ref="A5:A6"/>
    <mergeCell ref="B5:B6"/>
    <mergeCell ref="C5:H5"/>
    <mergeCell ref="J5:O5"/>
    <mergeCell ref="Q5:V5"/>
    <mergeCell ref="AL5:AQ5"/>
    <mergeCell ref="AR5:AV5"/>
    <mergeCell ref="C6:D6"/>
    <mergeCell ref="F6:G6"/>
    <mergeCell ref="J6:K6"/>
    <mergeCell ref="M6:N6"/>
    <mergeCell ref="Q6:R6"/>
    <mergeCell ref="T6:U6"/>
    <mergeCell ref="X6:Y6"/>
    <mergeCell ref="AA6:AB6"/>
    <mergeCell ref="AE6:AF6"/>
    <mergeCell ref="AH6:AI6"/>
    <mergeCell ref="J38:O38"/>
    <mergeCell ref="Q38:V38"/>
    <mergeCell ref="W38:AC38"/>
    <mergeCell ref="AD38:AJ38"/>
    <mergeCell ref="AL6:AM6"/>
    <mergeCell ref="AO6:AP6"/>
    <mergeCell ref="A34:AP36"/>
    <mergeCell ref="A37:AW37"/>
    <mergeCell ref="A38:A39"/>
    <mergeCell ref="B38:B39"/>
    <mergeCell ref="C38:H38"/>
    <mergeCell ref="AK38:AQ38"/>
    <mergeCell ref="AR38:AV38"/>
    <mergeCell ref="C39:D39"/>
    <mergeCell ref="F39:G39"/>
    <mergeCell ref="J39:K39"/>
    <mergeCell ref="M39:N39"/>
    <mergeCell ref="Q39:R39"/>
    <mergeCell ref="T39:U39"/>
    <mergeCell ref="X39:Y39"/>
    <mergeCell ref="AA39:AB39"/>
    <mergeCell ref="AE39:AF39"/>
    <mergeCell ref="AH39:AI39"/>
    <mergeCell ref="J73:O73"/>
    <mergeCell ref="Q73:V73"/>
    <mergeCell ref="AK73:AQ73"/>
    <mergeCell ref="AR73:AV73"/>
    <mergeCell ref="C74:D74"/>
    <mergeCell ref="F74:G74"/>
    <mergeCell ref="J74:K74"/>
    <mergeCell ref="M74:N74"/>
    <mergeCell ref="Q74:R74"/>
    <mergeCell ref="T74:U74"/>
    <mergeCell ref="X74:Y74"/>
    <mergeCell ref="AA74:AB74"/>
    <mergeCell ref="AE74:AF74"/>
    <mergeCell ref="AH74:AI74"/>
    <mergeCell ref="AL74:AM74"/>
    <mergeCell ref="AO74:AP74"/>
    <mergeCell ref="AE108:AJ108"/>
    <mergeCell ref="AL108:AQ108"/>
    <mergeCell ref="AL109:AM109"/>
    <mergeCell ref="AO109:AP109"/>
    <mergeCell ref="A104:AW106"/>
    <mergeCell ref="A107:AP107"/>
    <mergeCell ref="A108:A109"/>
    <mergeCell ref="J108:O108"/>
    <mergeCell ref="Q108:V108"/>
    <mergeCell ref="X108:AC108"/>
    <mergeCell ref="AR108:AV108"/>
    <mergeCell ref="C147:D147"/>
    <mergeCell ref="F147:G147"/>
    <mergeCell ref="J147:K147"/>
    <mergeCell ref="M147:N147"/>
    <mergeCell ref="Q147:R147"/>
    <mergeCell ref="T147:U147"/>
    <mergeCell ref="X147:Y147"/>
    <mergeCell ref="AA147:AB147"/>
    <mergeCell ref="AE147:AF147"/>
    <mergeCell ref="AH147:AI147"/>
    <mergeCell ref="AL147:AM147"/>
    <mergeCell ref="AO147:AP147"/>
    <mergeCell ref="AE109:AF109"/>
    <mergeCell ref="AH109:AI109"/>
    <mergeCell ref="A145:AP145"/>
    <mergeCell ref="A146:A147"/>
    <mergeCell ref="C146:H146"/>
    <mergeCell ref="J146:O146"/>
    <mergeCell ref="Q146:V146"/>
    <mergeCell ref="W73:AC73"/>
    <mergeCell ref="AD73:AJ73"/>
    <mergeCell ref="AL39:AM39"/>
    <mergeCell ref="AO39:AP39"/>
    <mergeCell ref="A69:AP71"/>
    <mergeCell ref="A72:AW72"/>
    <mergeCell ref="A73:A74"/>
    <mergeCell ref="B73:B74"/>
    <mergeCell ref="C73:H73"/>
    <mergeCell ref="C108:H108"/>
    <mergeCell ref="C109:D109"/>
    <mergeCell ref="F109:G109"/>
    <mergeCell ref="J109:K109"/>
    <mergeCell ref="M109:N109"/>
    <mergeCell ref="Q109:R109"/>
    <mergeCell ref="T109:U109"/>
    <mergeCell ref="X109:Y109"/>
    <mergeCell ref="AA109:AB109"/>
    <mergeCell ref="X146:AC146"/>
    <mergeCell ref="AE146:AJ146"/>
    <mergeCell ref="AL146:AQ146"/>
    <mergeCell ref="AR146:AV146"/>
  </mergeCells>
  <dataValidations>
    <dataValidation type="list" allowBlank="1" showErrorMessage="1" sqref="D7:D31 G7:G31 K7:K31 N7:N31 U7:U31 Y7:Y31 AB7:AB31 AF7:AF31 AI7:AI31 AM7:AM31 AP7:AP31 D40:D64 G40:G64 K40:K64 N40:N64 U40:U64 Y40:Y64 AB40:AB64 AF40:AF64 AI40:AI64 AM40:AM64 AP40:AP64 D75:D99 G75:G99 K75:K99 N75:N99 R75:R99 U75:U99 Y75:Y99 AB75:AB99 AF75:AF99 AI75:AI99 AM75:AM99 AP75:AP99 D110:D134 G110:G134 K110:K134 N110:N134 U110:U134 Y110:Y134 AB110:AB134 AF110:AF134 AI110:AI134 AM110:AM134 AP110:AP134 D148:D172 G148:G172 K148:K172 N148:N172 U148:U172 Y148:Y172 AB148:AB172 AF148:AF172 AI148:AI172 AM148:AM172 AP148:AP172">
      <formula1>"H,S,I,p,TS,TD,A"</formula1>
    </dataValidation>
    <dataValidation type="list" allowBlank="1" showErrorMessage="1" sqref="R7:R33 R40:R68 R100:R103 R110:R144 R148:R1000">
      <formula1>"H,S,I,P,TS,TD,A"</formula1>
    </dataValidation>
    <dataValidation type="list" allowBlank="1" showErrorMessage="1" sqref="E7:E31 H7:H31 L7:L31 O7:O31 S7:S31 V7:V31 Z7:Z31 AC7:AC31 AG7:AG31 AJ7:AJ31 AN7:AN31 AQ7:AQ31 E40:E64 H40:H64 L40:L64 O40:O64 S40:S64 V40:V64 Z40:Z64 AC40:AC64 AG40:AG64 AJ40:AJ64 AN40:AN64 AQ40:AQ64 E75:E99 H75:H99 L75:L99 O75:O99 S75:S99 V75:V99 Z75:Z99 AC75:AC99 AG75:AG99 AJ75:AJ99 AN75:AN99 AQ75:AQ99 E110:E134 H110:H134 L110:L134 O110:O134 S110:S134 V110:V134 Z110:Z134 AC110:AC134 AG110:AG134 AJ110:AJ134 AN110:AN134 AQ110:AQ134 E148:E172 H148:H172 L148:L172 O148:O172 S148:S172 V148:V172 Z148:Z172 AC148:AC172 AG148:AG172 AJ148:AJ172 AN148:AN172 AQ148:AQ172">
      <formula1>"A Rifqi,Ahmad,Syakir ,Faliq,Fakhri"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5.75"/>
    <col customWidth="1" min="3" max="3" width="18.88"/>
    <col customWidth="1" min="4" max="4" width="7.13"/>
    <col customWidth="1" min="5" max="5" width="8.38"/>
    <col customWidth="1" min="6" max="6" width="13.88"/>
    <col customWidth="1" min="7" max="7" width="18.88"/>
    <col customWidth="1" min="8" max="8" width="7.13"/>
    <col customWidth="1" min="9" max="9" width="8.38"/>
    <col customWidth="1" min="10" max="10" width="13.88"/>
    <col customWidth="1" min="11" max="11" width="18.88"/>
    <col customWidth="1" min="12" max="12" width="7.13"/>
    <col customWidth="1" min="13" max="13" width="8.38"/>
    <col customWidth="1" min="14" max="14" width="13.88"/>
    <col customWidth="1" min="15" max="15" width="18.88"/>
    <col customWidth="1" min="16" max="16" width="7.13"/>
    <col customWidth="1" min="17" max="17" width="8.38"/>
    <col customWidth="1" min="18" max="18" width="13.88"/>
    <col customWidth="1" min="19" max="19" width="18.88"/>
    <col customWidth="1" min="20" max="20" width="7.13"/>
    <col customWidth="1" min="21" max="21" width="8.38"/>
    <col customWidth="1" min="22" max="22" width="13.88"/>
    <col customWidth="1" min="23" max="23" width="18.88"/>
    <col customWidth="1" min="24" max="24" width="7.13"/>
    <col customWidth="1" min="25" max="25" width="8.38"/>
    <col customWidth="1" min="26" max="26" width="13.88"/>
    <col customWidth="1" min="27" max="31" width="7.38"/>
    <col customWidth="1" min="32" max="32" width="16.88"/>
  </cols>
  <sheetData>
    <row r="1">
      <c r="A1" s="1" t="s">
        <v>542</v>
      </c>
    </row>
    <row r="4">
      <c r="A4" s="31" t="s">
        <v>543</v>
      </c>
    </row>
    <row r="5">
      <c r="A5" s="3" t="s">
        <v>2</v>
      </c>
      <c r="B5" s="3" t="s">
        <v>3</v>
      </c>
      <c r="C5" s="32" t="s">
        <v>354</v>
      </c>
      <c r="F5" s="32"/>
      <c r="G5" s="32" t="s">
        <v>544</v>
      </c>
      <c r="J5" s="32"/>
      <c r="K5" s="32" t="s">
        <v>545</v>
      </c>
      <c r="N5" s="32"/>
      <c r="O5" s="32" t="s">
        <v>357</v>
      </c>
      <c r="R5" s="32"/>
      <c r="S5" s="32" t="s">
        <v>546</v>
      </c>
      <c r="V5" s="32"/>
      <c r="W5" s="32" t="s">
        <v>547</v>
      </c>
      <c r="Z5" s="32"/>
      <c r="AA5" s="33" t="s">
        <v>548</v>
      </c>
    </row>
    <row r="6">
      <c r="C6" s="6" t="s">
        <v>549</v>
      </c>
      <c r="D6" s="6" t="s">
        <v>550</v>
      </c>
      <c r="E6" s="6"/>
      <c r="F6" s="7" t="s">
        <v>12</v>
      </c>
      <c r="G6" s="6" t="s">
        <v>549</v>
      </c>
      <c r="H6" s="6" t="s">
        <v>550</v>
      </c>
      <c r="I6" s="6"/>
      <c r="J6" s="7" t="s">
        <v>12</v>
      </c>
      <c r="K6" s="6" t="s">
        <v>549</v>
      </c>
      <c r="L6" s="6" t="s">
        <v>550</v>
      </c>
      <c r="M6" s="6"/>
      <c r="N6" s="7" t="s">
        <v>12</v>
      </c>
      <c r="O6" s="6" t="s">
        <v>549</v>
      </c>
      <c r="P6" s="6" t="s">
        <v>550</v>
      </c>
      <c r="Q6" s="6"/>
      <c r="R6" s="7" t="s">
        <v>12</v>
      </c>
      <c r="S6" s="6" t="s">
        <v>549</v>
      </c>
      <c r="T6" s="6" t="s">
        <v>550</v>
      </c>
      <c r="U6" s="6"/>
      <c r="V6" s="7" t="s">
        <v>12</v>
      </c>
      <c r="W6" s="6" t="s">
        <v>549</v>
      </c>
      <c r="X6" s="6" t="s">
        <v>550</v>
      </c>
      <c r="Y6" s="6"/>
      <c r="Z6" s="7" t="s">
        <v>12</v>
      </c>
      <c r="AA6" s="33" t="s">
        <v>14</v>
      </c>
      <c r="AB6" s="33" t="s">
        <v>15</v>
      </c>
      <c r="AC6" s="33" t="s">
        <v>16</v>
      </c>
      <c r="AD6" s="33" t="s">
        <v>17</v>
      </c>
      <c r="AE6" s="33" t="s">
        <v>18</v>
      </c>
    </row>
    <row r="7">
      <c r="A7" s="9">
        <v>1.0</v>
      </c>
      <c r="B7" s="10" t="s">
        <v>19</v>
      </c>
      <c r="C7" s="11" t="s">
        <v>551</v>
      </c>
      <c r="D7" s="11" t="s">
        <v>552</v>
      </c>
      <c r="E7" s="11" t="s">
        <v>14</v>
      </c>
      <c r="F7" s="12"/>
      <c r="G7" s="11" t="s">
        <v>553</v>
      </c>
      <c r="H7" s="18">
        <v>12.0</v>
      </c>
      <c r="I7" s="12" t="s">
        <v>14</v>
      </c>
      <c r="J7" s="34"/>
      <c r="K7" s="10"/>
      <c r="L7" s="9"/>
      <c r="M7" s="12"/>
      <c r="N7" s="12"/>
      <c r="O7" s="10"/>
      <c r="P7" s="9"/>
      <c r="Q7" s="12"/>
      <c r="R7" s="21"/>
      <c r="S7" s="10"/>
      <c r="T7" s="9"/>
      <c r="U7" s="10"/>
      <c r="V7" s="21"/>
      <c r="W7" s="10"/>
      <c r="X7" s="10"/>
      <c r="Y7" s="12"/>
      <c r="Z7" s="34"/>
      <c r="AA7" s="35">
        <f t="shared" ref="AA7:AA24" si="1">COUNTIF(C7:Y7,"H")</f>
        <v>2</v>
      </c>
      <c r="AB7" s="36">
        <f t="shared" ref="AB7:AB24" si="2">COUNTIF(C7:Y7,"I")</f>
        <v>0</v>
      </c>
      <c r="AC7" s="36">
        <f t="shared" ref="AC7:AC24" si="3">COUNTIF(C7:Y7,"TD")</f>
        <v>0</v>
      </c>
      <c r="AD7" s="36">
        <f t="shared" ref="AD7:AD24" si="4">COUNTIF(C7:Y7,"S")</f>
        <v>0</v>
      </c>
      <c r="AE7" s="36">
        <f t="shared" ref="AE7:AE24" si="5">COUNTIF(C7:Y7,"A")</f>
        <v>0</v>
      </c>
      <c r="AF7" s="10" t="s">
        <v>19</v>
      </c>
    </row>
    <row r="8">
      <c r="A8" s="9">
        <v>2.0</v>
      </c>
      <c r="B8" s="10" t="s">
        <v>24</v>
      </c>
      <c r="C8" s="10"/>
      <c r="D8" s="10"/>
      <c r="E8" s="12" t="s">
        <v>18</v>
      </c>
      <c r="F8" s="12"/>
      <c r="G8" s="11" t="s">
        <v>554</v>
      </c>
      <c r="H8" s="18">
        <v>29.0</v>
      </c>
      <c r="I8" s="11" t="s">
        <v>14</v>
      </c>
      <c r="J8" s="34"/>
      <c r="K8" s="10"/>
      <c r="L8" s="10"/>
      <c r="M8" s="11" t="s">
        <v>14</v>
      </c>
      <c r="N8" s="12"/>
      <c r="O8" s="11" t="s">
        <v>555</v>
      </c>
      <c r="P8" s="18" t="s">
        <v>556</v>
      </c>
      <c r="Q8" s="11" t="s">
        <v>14</v>
      </c>
      <c r="R8" s="24" t="s">
        <v>23</v>
      </c>
      <c r="S8" s="11" t="s">
        <v>557</v>
      </c>
      <c r="T8" s="11" t="s">
        <v>556</v>
      </c>
      <c r="U8" s="11" t="s">
        <v>14</v>
      </c>
      <c r="V8" s="24" t="s">
        <v>23</v>
      </c>
      <c r="W8" s="11" t="s">
        <v>557</v>
      </c>
      <c r="X8" s="11" t="s">
        <v>556</v>
      </c>
      <c r="Y8" s="11" t="s">
        <v>14</v>
      </c>
      <c r="Z8" s="24" t="s">
        <v>29</v>
      </c>
      <c r="AA8" s="36">
        <f t="shared" si="1"/>
        <v>5</v>
      </c>
      <c r="AB8" s="36">
        <f t="shared" si="2"/>
        <v>0</v>
      </c>
      <c r="AC8" s="36">
        <f t="shared" si="3"/>
        <v>0</v>
      </c>
      <c r="AD8" s="36">
        <f t="shared" si="4"/>
        <v>0</v>
      </c>
      <c r="AE8" s="36">
        <f t="shared" si="5"/>
        <v>1</v>
      </c>
      <c r="AF8" s="10" t="s">
        <v>24</v>
      </c>
    </row>
    <row r="9">
      <c r="A9" s="9">
        <v>3.0</v>
      </c>
      <c r="B9" s="10" t="s">
        <v>34</v>
      </c>
      <c r="C9" s="11" t="s">
        <v>553</v>
      </c>
      <c r="D9" s="18">
        <v>1.0</v>
      </c>
      <c r="E9" s="11" t="s">
        <v>14</v>
      </c>
      <c r="F9" s="12"/>
      <c r="G9" s="11" t="s">
        <v>558</v>
      </c>
      <c r="H9" s="18">
        <v>1.0</v>
      </c>
      <c r="I9" s="11" t="s">
        <v>14</v>
      </c>
      <c r="J9" s="34"/>
      <c r="K9" s="10"/>
      <c r="L9" s="9"/>
      <c r="M9" s="11" t="s">
        <v>18</v>
      </c>
      <c r="N9" s="12"/>
      <c r="O9" s="10"/>
      <c r="P9" s="9"/>
      <c r="Q9" s="11" t="s">
        <v>18</v>
      </c>
      <c r="R9" s="21"/>
      <c r="S9" s="10"/>
      <c r="T9" s="10"/>
      <c r="U9" s="11" t="s">
        <v>18</v>
      </c>
      <c r="V9" s="21"/>
      <c r="W9" s="10"/>
      <c r="X9" s="10"/>
      <c r="Y9" s="11" t="s">
        <v>18</v>
      </c>
      <c r="Z9" s="21"/>
      <c r="AA9" s="36">
        <f t="shared" si="1"/>
        <v>2</v>
      </c>
      <c r="AB9" s="36">
        <f t="shared" si="2"/>
        <v>0</v>
      </c>
      <c r="AC9" s="36">
        <f t="shared" si="3"/>
        <v>0</v>
      </c>
      <c r="AD9" s="36">
        <f t="shared" si="4"/>
        <v>0</v>
      </c>
      <c r="AE9" s="36">
        <f t="shared" si="5"/>
        <v>4</v>
      </c>
      <c r="AF9" s="10" t="s">
        <v>34</v>
      </c>
    </row>
    <row r="10">
      <c r="A10" s="9">
        <v>4.0</v>
      </c>
      <c r="B10" s="10" t="s">
        <v>39</v>
      </c>
      <c r="C10" s="11" t="s">
        <v>559</v>
      </c>
      <c r="D10" s="11" t="s">
        <v>560</v>
      </c>
      <c r="E10" s="11" t="s">
        <v>14</v>
      </c>
      <c r="F10" s="12"/>
      <c r="G10" s="10"/>
      <c r="H10" s="9"/>
      <c r="I10" s="12" t="s">
        <v>18</v>
      </c>
      <c r="J10" s="24"/>
      <c r="K10" s="11" t="s">
        <v>561</v>
      </c>
      <c r="L10" s="18">
        <v>2.0</v>
      </c>
      <c r="M10" s="11" t="s">
        <v>14</v>
      </c>
      <c r="N10" s="12" t="s">
        <v>27</v>
      </c>
      <c r="O10" s="11" t="s">
        <v>562</v>
      </c>
      <c r="P10" s="11" t="s">
        <v>560</v>
      </c>
      <c r="Q10" s="11" t="s">
        <v>14</v>
      </c>
      <c r="R10" s="24" t="s">
        <v>23</v>
      </c>
      <c r="S10" s="10"/>
      <c r="T10" s="10"/>
      <c r="U10" s="11" t="s">
        <v>18</v>
      </c>
      <c r="V10" s="21"/>
      <c r="W10" s="11" t="s">
        <v>563</v>
      </c>
      <c r="X10" s="11" t="s">
        <v>564</v>
      </c>
      <c r="Y10" s="11" t="s">
        <v>14</v>
      </c>
      <c r="Z10" s="24" t="s">
        <v>29</v>
      </c>
      <c r="AA10" s="36">
        <f t="shared" si="1"/>
        <v>4</v>
      </c>
      <c r="AB10" s="36">
        <f t="shared" si="2"/>
        <v>0</v>
      </c>
      <c r="AC10" s="36">
        <f t="shared" si="3"/>
        <v>0</v>
      </c>
      <c r="AD10" s="36">
        <f t="shared" si="4"/>
        <v>0</v>
      </c>
      <c r="AE10" s="36">
        <f t="shared" si="5"/>
        <v>2</v>
      </c>
      <c r="AF10" s="10" t="s">
        <v>39</v>
      </c>
    </row>
    <row r="11">
      <c r="A11" s="9">
        <v>5.0</v>
      </c>
      <c r="B11" s="10" t="s">
        <v>43</v>
      </c>
      <c r="C11" s="11" t="s">
        <v>565</v>
      </c>
      <c r="D11" s="11" t="s">
        <v>566</v>
      </c>
      <c r="E11" s="11" t="s">
        <v>14</v>
      </c>
      <c r="F11" s="12"/>
      <c r="G11" s="10"/>
      <c r="H11" s="9"/>
      <c r="I11" s="12" t="s">
        <v>18</v>
      </c>
      <c r="J11" s="21"/>
      <c r="K11" s="10"/>
      <c r="L11" s="10"/>
      <c r="M11" s="11" t="s">
        <v>18</v>
      </c>
      <c r="N11" s="12"/>
      <c r="O11" s="11" t="s">
        <v>567</v>
      </c>
      <c r="P11" s="18" t="s">
        <v>568</v>
      </c>
      <c r="Q11" s="11" t="s">
        <v>14</v>
      </c>
      <c r="R11" s="24" t="s">
        <v>23</v>
      </c>
      <c r="S11" s="10"/>
      <c r="T11" s="9"/>
      <c r="U11" s="11" t="s">
        <v>18</v>
      </c>
      <c r="V11" s="21"/>
      <c r="W11" s="10"/>
      <c r="X11" s="10"/>
      <c r="Y11" s="11" t="s">
        <v>17</v>
      </c>
      <c r="Z11" s="21"/>
      <c r="AA11" s="36">
        <f t="shared" si="1"/>
        <v>2</v>
      </c>
      <c r="AB11" s="36">
        <f t="shared" si="2"/>
        <v>0</v>
      </c>
      <c r="AC11" s="36">
        <f t="shared" si="3"/>
        <v>0</v>
      </c>
      <c r="AD11" s="36">
        <f t="shared" si="4"/>
        <v>1</v>
      </c>
      <c r="AE11" s="36">
        <f t="shared" si="5"/>
        <v>3</v>
      </c>
      <c r="AF11" s="10" t="s">
        <v>43</v>
      </c>
    </row>
    <row r="12">
      <c r="A12" s="9">
        <v>6.0</v>
      </c>
      <c r="B12" s="10" t="s">
        <v>49</v>
      </c>
      <c r="C12" s="10"/>
      <c r="D12" s="10"/>
      <c r="E12" s="12" t="s">
        <v>15</v>
      </c>
      <c r="F12" s="12"/>
      <c r="G12" s="10"/>
      <c r="H12" s="9"/>
      <c r="I12" s="12" t="s">
        <v>15</v>
      </c>
      <c r="J12" s="21"/>
      <c r="K12" s="10"/>
      <c r="L12" s="10"/>
      <c r="M12" s="11" t="s">
        <v>15</v>
      </c>
      <c r="N12" s="12"/>
      <c r="O12" s="10"/>
      <c r="P12" s="10"/>
      <c r="Q12" s="11" t="s">
        <v>15</v>
      </c>
      <c r="R12" s="21"/>
      <c r="S12" s="10"/>
      <c r="T12" s="10"/>
      <c r="U12" s="11" t="s">
        <v>15</v>
      </c>
      <c r="V12" s="21"/>
      <c r="W12" s="10"/>
      <c r="X12" s="10"/>
      <c r="Y12" s="11" t="s">
        <v>15</v>
      </c>
      <c r="Z12" s="21"/>
      <c r="AA12" s="36">
        <f t="shared" si="1"/>
        <v>0</v>
      </c>
      <c r="AB12" s="36">
        <f t="shared" si="2"/>
        <v>6</v>
      </c>
      <c r="AC12" s="36">
        <f t="shared" si="3"/>
        <v>0</v>
      </c>
      <c r="AD12" s="36">
        <f t="shared" si="4"/>
        <v>0</v>
      </c>
      <c r="AE12" s="36">
        <f t="shared" si="5"/>
        <v>0</v>
      </c>
      <c r="AF12" s="10" t="s">
        <v>49</v>
      </c>
    </row>
    <row r="13">
      <c r="A13" s="9">
        <v>7.0</v>
      </c>
      <c r="B13" s="10" t="s">
        <v>50</v>
      </c>
      <c r="C13" s="10"/>
      <c r="D13" s="10"/>
      <c r="E13" s="12" t="s">
        <v>18</v>
      </c>
      <c r="F13" s="12"/>
      <c r="G13" s="11" t="s">
        <v>569</v>
      </c>
      <c r="H13" s="18">
        <v>5.0</v>
      </c>
      <c r="I13" s="11" t="s">
        <v>14</v>
      </c>
      <c r="J13" s="34"/>
      <c r="K13" s="11" t="s">
        <v>570</v>
      </c>
      <c r="L13" s="18">
        <v>5.0</v>
      </c>
      <c r="M13" s="11" t="s">
        <v>14</v>
      </c>
      <c r="N13" s="12" t="s">
        <v>27</v>
      </c>
      <c r="O13" s="11" t="s">
        <v>571</v>
      </c>
      <c r="P13" s="18">
        <v>5.0</v>
      </c>
      <c r="Q13" s="11" t="s">
        <v>14</v>
      </c>
      <c r="R13" s="24" t="s">
        <v>27</v>
      </c>
      <c r="S13" s="11" t="s">
        <v>572</v>
      </c>
      <c r="T13" s="18" t="s">
        <v>573</v>
      </c>
      <c r="U13" s="11" t="s">
        <v>14</v>
      </c>
      <c r="V13" s="24" t="s">
        <v>23</v>
      </c>
      <c r="W13" s="11" t="s">
        <v>574</v>
      </c>
      <c r="X13" s="18">
        <v>5.0</v>
      </c>
      <c r="Y13" s="11" t="s">
        <v>14</v>
      </c>
      <c r="Z13" s="24" t="s">
        <v>27</v>
      </c>
      <c r="AA13" s="36">
        <f t="shared" si="1"/>
        <v>5</v>
      </c>
      <c r="AB13" s="36">
        <f t="shared" si="2"/>
        <v>0</v>
      </c>
      <c r="AC13" s="36">
        <f t="shared" si="3"/>
        <v>0</v>
      </c>
      <c r="AD13" s="36">
        <f t="shared" si="4"/>
        <v>0</v>
      </c>
      <c r="AE13" s="36">
        <f t="shared" si="5"/>
        <v>1</v>
      </c>
      <c r="AF13" s="10" t="s">
        <v>50</v>
      </c>
    </row>
    <row r="14">
      <c r="A14" s="9">
        <v>8.0</v>
      </c>
      <c r="B14" s="10" t="s">
        <v>61</v>
      </c>
      <c r="C14" s="11" t="s">
        <v>575</v>
      </c>
      <c r="D14" s="11" t="s">
        <v>566</v>
      </c>
      <c r="E14" s="11" t="s">
        <v>14</v>
      </c>
      <c r="F14" s="12"/>
      <c r="G14" s="10"/>
      <c r="H14" s="9"/>
      <c r="I14" s="12" t="s">
        <v>16</v>
      </c>
      <c r="J14" s="21"/>
      <c r="K14" s="10"/>
      <c r="L14" s="9"/>
      <c r="M14" s="11" t="s">
        <v>18</v>
      </c>
      <c r="N14" s="12"/>
      <c r="O14" s="11" t="s">
        <v>576</v>
      </c>
      <c r="P14" s="18" t="s">
        <v>568</v>
      </c>
      <c r="Q14" s="11" t="s">
        <v>14</v>
      </c>
      <c r="R14" s="24" t="s">
        <v>23</v>
      </c>
      <c r="S14" s="11" t="s">
        <v>577</v>
      </c>
      <c r="T14" s="18" t="s">
        <v>566</v>
      </c>
      <c r="U14" s="11" t="s">
        <v>14</v>
      </c>
      <c r="V14" s="24" t="s">
        <v>29</v>
      </c>
      <c r="W14" s="11" t="s">
        <v>578</v>
      </c>
      <c r="X14" s="11" t="s">
        <v>566</v>
      </c>
      <c r="Y14" s="11" t="s">
        <v>14</v>
      </c>
      <c r="Z14" s="24" t="s">
        <v>29</v>
      </c>
      <c r="AA14" s="36">
        <f t="shared" si="1"/>
        <v>4</v>
      </c>
      <c r="AB14" s="36">
        <f t="shared" si="2"/>
        <v>0</v>
      </c>
      <c r="AC14" s="36">
        <f t="shared" si="3"/>
        <v>1</v>
      </c>
      <c r="AD14" s="36">
        <f t="shared" si="4"/>
        <v>0</v>
      </c>
      <c r="AE14" s="36">
        <f t="shared" si="5"/>
        <v>1</v>
      </c>
      <c r="AF14" s="10" t="s">
        <v>61</v>
      </c>
    </row>
    <row r="15">
      <c r="A15" s="9">
        <v>9.0</v>
      </c>
      <c r="B15" s="11" t="s">
        <v>70</v>
      </c>
      <c r="C15" s="11" t="s">
        <v>579</v>
      </c>
      <c r="D15" s="11" t="s">
        <v>289</v>
      </c>
      <c r="E15" s="11" t="s">
        <v>14</v>
      </c>
      <c r="F15" s="12"/>
      <c r="G15" s="11" t="s">
        <v>563</v>
      </c>
      <c r="H15" s="18">
        <v>6.0</v>
      </c>
      <c r="I15" s="12" t="s">
        <v>14</v>
      </c>
      <c r="J15" s="21"/>
      <c r="K15" s="10"/>
      <c r="L15" s="10"/>
      <c r="M15" s="11" t="s">
        <v>14</v>
      </c>
      <c r="N15" s="12"/>
      <c r="O15" s="11" t="s">
        <v>580</v>
      </c>
      <c r="P15" s="11" t="s">
        <v>289</v>
      </c>
      <c r="Q15" s="11" t="s">
        <v>14</v>
      </c>
      <c r="R15" s="24" t="s">
        <v>23</v>
      </c>
      <c r="S15" s="11" t="s">
        <v>581</v>
      </c>
      <c r="T15" s="18" t="s">
        <v>289</v>
      </c>
      <c r="U15" s="11" t="s">
        <v>14</v>
      </c>
      <c r="V15" s="24" t="s">
        <v>29</v>
      </c>
      <c r="W15" s="11" t="s">
        <v>582</v>
      </c>
      <c r="X15" s="18">
        <v>6.0</v>
      </c>
      <c r="Y15" s="11" t="s">
        <v>18</v>
      </c>
      <c r="Z15" s="24" t="s">
        <v>27</v>
      </c>
      <c r="AA15" s="36">
        <f t="shared" si="1"/>
        <v>5</v>
      </c>
      <c r="AB15" s="36">
        <f t="shared" si="2"/>
        <v>0</v>
      </c>
      <c r="AC15" s="36">
        <f t="shared" si="3"/>
        <v>0</v>
      </c>
      <c r="AD15" s="36">
        <f t="shared" si="4"/>
        <v>0</v>
      </c>
      <c r="AE15" s="36">
        <f t="shared" si="5"/>
        <v>1</v>
      </c>
      <c r="AF15" s="11" t="s">
        <v>70</v>
      </c>
    </row>
    <row r="16">
      <c r="A16" s="9">
        <v>10.0</v>
      </c>
      <c r="B16" s="10" t="s">
        <v>75</v>
      </c>
      <c r="C16" s="10"/>
      <c r="D16" s="10"/>
      <c r="E16" s="12" t="s">
        <v>18</v>
      </c>
      <c r="F16" s="12"/>
      <c r="G16" s="10"/>
      <c r="H16" s="9"/>
      <c r="I16" s="12" t="s">
        <v>14</v>
      </c>
      <c r="J16" s="21"/>
      <c r="K16" s="10"/>
      <c r="L16" s="10"/>
      <c r="M16" s="11" t="s">
        <v>18</v>
      </c>
      <c r="N16" s="12"/>
      <c r="O16" s="10"/>
      <c r="P16" s="10"/>
      <c r="Q16" s="11" t="s">
        <v>18</v>
      </c>
      <c r="R16" s="21"/>
      <c r="S16" s="11" t="s">
        <v>581</v>
      </c>
      <c r="T16" s="11" t="s">
        <v>573</v>
      </c>
      <c r="U16" s="11" t="s">
        <v>14</v>
      </c>
      <c r="V16" s="24" t="s">
        <v>23</v>
      </c>
      <c r="W16" s="10"/>
      <c r="X16" s="10"/>
      <c r="Y16" s="11" t="s">
        <v>18</v>
      </c>
      <c r="Z16" s="21"/>
      <c r="AA16" s="36">
        <f t="shared" si="1"/>
        <v>2</v>
      </c>
      <c r="AB16" s="36">
        <f t="shared" si="2"/>
        <v>0</v>
      </c>
      <c r="AC16" s="36">
        <f t="shared" si="3"/>
        <v>0</v>
      </c>
      <c r="AD16" s="36">
        <f t="shared" si="4"/>
        <v>0</v>
      </c>
      <c r="AE16" s="36">
        <f t="shared" si="5"/>
        <v>4</v>
      </c>
      <c r="AF16" s="10" t="s">
        <v>75</v>
      </c>
    </row>
    <row r="17">
      <c r="A17" s="9">
        <v>11.0</v>
      </c>
      <c r="B17" s="10" t="s">
        <v>83</v>
      </c>
      <c r="C17" s="11" t="s">
        <v>583</v>
      </c>
      <c r="D17" s="18">
        <v>1.0</v>
      </c>
      <c r="E17" s="11" t="s">
        <v>14</v>
      </c>
      <c r="F17" s="12"/>
      <c r="G17" s="11" t="s">
        <v>569</v>
      </c>
      <c r="H17" s="18">
        <v>1.0</v>
      </c>
      <c r="I17" s="11" t="s">
        <v>14</v>
      </c>
      <c r="J17" s="34"/>
      <c r="K17" s="18" t="s">
        <v>584</v>
      </c>
      <c r="L17" s="18">
        <v>1.0</v>
      </c>
      <c r="M17" s="11" t="s">
        <v>14</v>
      </c>
      <c r="N17" s="12" t="s">
        <v>27</v>
      </c>
      <c r="O17" s="10"/>
      <c r="P17" s="10"/>
      <c r="Q17" s="11" t="s">
        <v>18</v>
      </c>
      <c r="R17" s="21"/>
      <c r="S17" s="11" t="s">
        <v>557</v>
      </c>
      <c r="T17" s="11" t="s">
        <v>585</v>
      </c>
      <c r="U17" s="11" t="s">
        <v>14</v>
      </c>
      <c r="V17" s="24" t="s">
        <v>23</v>
      </c>
      <c r="W17" s="11" t="s">
        <v>581</v>
      </c>
      <c r="X17" s="11" t="s">
        <v>586</v>
      </c>
      <c r="Y17" s="11" t="s">
        <v>14</v>
      </c>
      <c r="Z17" s="24" t="s">
        <v>29</v>
      </c>
      <c r="AA17" s="36">
        <f t="shared" si="1"/>
        <v>5</v>
      </c>
      <c r="AB17" s="36">
        <f t="shared" si="2"/>
        <v>0</v>
      </c>
      <c r="AC17" s="36">
        <f t="shared" si="3"/>
        <v>0</v>
      </c>
      <c r="AD17" s="36">
        <f t="shared" si="4"/>
        <v>0</v>
      </c>
      <c r="AE17" s="36">
        <f t="shared" si="5"/>
        <v>1</v>
      </c>
      <c r="AF17" s="10" t="s">
        <v>83</v>
      </c>
    </row>
    <row r="18">
      <c r="A18" s="9">
        <v>12.0</v>
      </c>
      <c r="B18" s="10" t="s">
        <v>87</v>
      </c>
      <c r="C18" s="11" t="s">
        <v>587</v>
      </c>
      <c r="D18" s="11" t="s">
        <v>88</v>
      </c>
      <c r="E18" s="11" t="s">
        <v>14</v>
      </c>
      <c r="F18" s="12"/>
      <c r="G18" s="11" t="s">
        <v>588</v>
      </c>
      <c r="H18" s="18">
        <v>11.0</v>
      </c>
      <c r="I18" s="11" t="s">
        <v>14</v>
      </c>
      <c r="J18" s="34"/>
      <c r="K18" s="10"/>
      <c r="L18" s="10"/>
      <c r="M18" s="11" t="s">
        <v>14</v>
      </c>
      <c r="N18" s="12"/>
      <c r="O18" s="11" t="s">
        <v>589</v>
      </c>
      <c r="P18" s="18">
        <v>17.0</v>
      </c>
      <c r="Q18" s="11" t="s">
        <v>14</v>
      </c>
      <c r="R18" s="24" t="s">
        <v>27</v>
      </c>
      <c r="S18" s="10"/>
      <c r="T18" s="10"/>
      <c r="U18" s="11" t="s">
        <v>14</v>
      </c>
      <c r="V18" s="21"/>
      <c r="W18" s="10"/>
      <c r="X18" s="10"/>
      <c r="Y18" s="11" t="s">
        <v>14</v>
      </c>
      <c r="Z18" s="21"/>
      <c r="AA18" s="36">
        <f t="shared" si="1"/>
        <v>6</v>
      </c>
      <c r="AB18" s="36">
        <f t="shared" si="2"/>
        <v>0</v>
      </c>
      <c r="AC18" s="36">
        <f t="shared" si="3"/>
        <v>0</v>
      </c>
      <c r="AD18" s="36">
        <f t="shared" si="4"/>
        <v>0</v>
      </c>
      <c r="AE18" s="36">
        <f t="shared" si="5"/>
        <v>0</v>
      </c>
      <c r="AF18" s="10" t="s">
        <v>87</v>
      </c>
    </row>
    <row r="19">
      <c r="A19" s="9">
        <v>13.0</v>
      </c>
      <c r="B19" s="10" t="s">
        <v>90</v>
      </c>
      <c r="C19" s="11" t="s">
        <v>581</v>
      </c>
      <c r="D19" s="18">
        <v>3.0</v>
      </c>
      <c r="E19" s="11" t="s">
        <v>14</v>
      </c>
      <c r="F19" s="12"/>
      <c r="G19" s="10"/>
      <c r="H19" s="9"/>
      <c r="I19" s="12" t="s">
        <v>18</v>
      </c>
      <c r="J19" s="21"/>
      <c r="K19" s="10"/>
      <c r="L19" s="9"/>
      <c r="M19" s="11" t="s">
        <v>14</v>
      </c>
      <c r="N19" s="12"/>
      <c r="O19" s="10"/>
      <c r="P19" s="9"/>
      <c r="Q19" s="11" t="s">
        <v>18</v>
      </c>
      <c r="R19" s="21"/>
      <c r="S19" s="10"/>
      <c r="T19" s="10"/>
      <c r="U19" s="11" t="s">
        <v>18</v>
      </c>
      <c r="V19" s="21"/>
      <c r="W19" s="10"/>
      <c r="X19" s="10"/>
      <c r="Y19" s="11" t="s">
        <v>18</v>
      </c>
      <c r="Z19" s="21"/>
      <c r="AA19" s="36">
        <f t="shared" si="1"/>
        <v>2</v>
      </c>
      <c r="AB19" s="36">
        <f t="shared" si="2"/>
        <v>0</v>
      </c>
      <c r="AC19" s="36">
        <f t="shared" si="3"/>
        <v>0</v>
      </c>
      <c r="AD19" s="36">
        <f t="shared" si="4"/>
        <v>0</v>
      </c>
      <c r="AE19" s="36">
        <f t="shared" si="5"/>
        <v>4</v>
      </c>
      <c r="AF19" s="10" t="s">
        <v>90</v>
      </c>
    </row>
    <row r="20">
      <c r="A20" s="9">
        <v>14.0</v>
      </c>
      <c r="B20" s="10" t="s">
        <v>94</v>
      </c>
      <c r="C20" s="10"/>
      <c r="D20" s="10"/>
      <c r="E20" s="11" t="s">
        <v>14</v>
      </c>
      <c r="F20" s="12"/>
      <c r="G20" s="11" t="s">
        <v>590</v>
      </c>
      <c r="H20" s="18">
        <v>28.0</v>
      </c>
      <c r="I20" s="11" t="s">
        <v>14</v>
      </c>
      <c r="J20" s="24"/>
      <c r="K20" s="11" t="s">
        <v>591</v>
      </c>
      <c r="L20" s="18">
        <v>30.0</v>
      </c>
      <c r="M20" s="11" t="s">
        <v>14</v>
      </c>
      <c r="N20" s="12" t="s">
        <v>27</v>
      </c>
      <c r="O20" s="11" t="s">
        <v>592</v>
      </c>
      <c r="P20" s="18" t="s">
        <v>593</v>
      </c>
      <c r="Q20" s="11" t="s">
        <v>14</v>
      </c>
      <c r="R20" s="24" t="s">
        <v>23</v>
      </c>
      <c r="S20" s="11" t="s">
        <v>594</v>
      </c>
      <c r="T20" s="18" t="s">
        <v>556</v>
      </c>
      <c r="U20" s="11" t="s">
        <v>14</v>
      </c>
      <c r="V20" s="24" t="s">
        <v>23</v>
      </c>
      <c r="W20" s="11" t="s">
        <v>595</v>
      </c>
      <c r="X20" s="11" t="s">
        <v>566</v>
      </c>
      <c r="Y20" s="11" t="s">
        <v>14</v>
      </c>
      <c r="Z20" s="24" t="s">
        <v>29</v>
      </c>
      <c r="AA20" s="36">
        <f t="shared" si="1"/>
        <v>6</v>
      </c>
      <c r="AB20" s="36">
        <f t="shared" si="2"/>
        <v>0</v>
      </c>
      <c r="AC20" s="36">
        <f t="shared" si="3"/>
        <v>0</v>
      </c>
      <c r="AD20" s="36">
        <f t="shared" si="4"/>
        <v>0</v>
      </c>
      <c r="AE20" s="36">
        <f t="shared" si="5"/>
        <v>0</v>
      </c>
      <c r="AF20" s="10" t="s">
        <v>94</v>
      </c>
    </row>
    <row r="21">
      <c r="A21" s="9">
        <v>15.0</v>
      </c>
      <c r="B21" s="10" t="s">
        <v>105</v>
      </c>
      <c r="C21" s="11" t="s">
        <v>596</v>
      </c>
      <c r="D21" s="11" t="s">
        <v>556</v>
      </c>
      <c r="E21" s="11" t="s">
        <v>14</v>
      </c>
      <c r="F21" s="12"/>
      <c r="G21" s="11" t="s">
        <v>597</v>
      </c>
      <c r="H21" s="18">
        <v>29.0</v>
      </c>
      <c r="I21" s="11" t="s">
        <v>14</v>
      </c>
      <c r="J21" s="24"/>
      <c r="K21" s="11" t="s">
        <v>598</v>
      </c>
      <c r="L21" s="18">
        <v>29.0</v>
      </c>
      <c r="M21" s="11" t="s">
        <v>14</v>
      </c>
      <c r="N21" s="12" t="s">
        <v>27</v>
      </c>
      <c r="O21" s="11" t="s">
        <v>599</v>
      </c>
      <c r="P21" s="18">
        <v>29.0</v>
      </c>
      <c r="Q21" s="11" t="s">
        <v>14</v>
      </c>
      <c r="R21" s="24" t="s">
        <v>27</v>
      </c>
      <c r="S21" s="11" t="s">
        <v>600</v>
      </c>
      <c r="T21" s="18" t="s">
        <v>556</v>
      </c>
      <c r="U21" s="11" t="s">
        <v>14</v>
      </c>
      <c r="V21" s="24" t="s">
        <v>23</v>
      </c>
      <c r="W21" s="11" t="s">
        <v>601</v>
      </c>
      <c r="X21" s="11" t="s">
        <v>556</v>
      </c>
      <c r="Y21" s="11" t="s">
        <v>14</v>
      </c>
      <c r="Z21" s="24" t="s">
        <v>29</v>
      </c>
      <c r="AA21" s="36">
        <f t="shared" si="1"/>
        <v>6</v>
      </c>
      <c r="AB21" s="36">
        <f t="shared" si="2"/>
        <v>0</v>
      </c>
      <c r="AC21" s="36">
        <f t="shared" si="3"/>
        <v>0</v>
      </c>
      <c r="AD21" s="36">
        <f t="shared" si="4"/>
        <v>0</v>
      </c>
      <c r="AE21" s="36">
        <f t="shared" si="5"/>
        <v>0</v>
      </c>
      <c r="AF21" s="10" t="s">
        <v>105</v>
      </c>
    </row>
    <row r="22">
      <c r="A22" s="9">
        <v>16.0</v>
      </c>
      <c r="B22" s="11" t="s">
        <v>602</v>
      </c>
      <c r="C22" s="11" t="s">
        <v>603</v>
      </c>
      <c r="D22" s="11" t="s">
        <v>560</v>
      </c>
      <c r="E22" s="11" t="s">
        <v>14</v>
      </c>
      <c r="F22" s="12"/>
      <c r="G22" s="10"/>
      <c r="H22" s="9"/>
      <c r="I22" s="12" t="s">
        <v>18</v>
      </c>
      <c r="J22" s="21"/>
      <c r="K22" s="10"/>
      <c r="L22" s="9"/>
      <c r="M22" s="11" t="s">
        <v>18</v>
      </c>
      <c r="N22" s="12"/>
      <c r="O22" s="11" t="s">
        <v>588</v>
      </c>
      <c r="P22" s="18">
        <v>2.0</v>
      </c>
      <c r="Q22" s="11" t="s">
        <v>14</v>
      </c>
      <c r="R22" s="24" t="s">
        <v>27</v>
      </c>
      <c r="S22" s="11" t="s">
        <v>581</v>
      </c>
      <c r="T22" s="11" t="s">
        <v>585</v>
      </c>
      <c r="U22" s="11" t="s">
        <v>14</v>
      </c>
      <c r="V22" s="24" t="s">
        <v>29</v>
      </c>
      <c r="W22" s="11" t="s">
        <v>604</v>
      </c>
      <c r="X22" s="11" t="s">
        <v>585</v>
      </c>
      <c r="Y22" s="11" t="s">
        <v>14</v>
      </c>
      <c r="Z22" s="24" t="s">
        <v>29</v>
      </c>
      <c r="AA22" s="36">
        <f t="shared" si="1"/>
        <v>4</v>
      </c>
      <c r="AB22" s="36">
        <f t="shared" si="2"/>
        <v>0</v>
      </c>
      <c r="AC22" s="36">
        <f t="shared" si="3"/>
        <v>0</v>
      </c>
      <c r="AD22" s="36">
        <f t="shared" si="4"/>
        <v>0</v>
      </c>
      <c r="AE22" s="36">
        <f t="shared" si="5"/>
        <v>2</v>
      </c>
      <c r="AF22" s="10" t="s">
        <v>113</v>
      </c>
    </row>
    <row r="23">
      <c r="A23" s="9">
        <v>17.0</v>
      </c>
      <c r="B23" s="10" t="s">
        <v>122</v>
      </c>
      <c r="C23" s="11" t="s">
        <v>583</v>
      </c>
      <c r="D23" s="18">
        <v>8.0</v>
      </c>
      <c r="E23" s="11" t="s">
        <v>14</v>
      </c>
      <c r="F23" s="12"/>
      <c r="G23" s="10"/>
      <c r="H23" s="9"/>
      <c r="I23" s="12" t="s">
        <v>14</v>
      </c>
      <c r="J23" s="21"/>
      <c r="K23" s="10"/>
      <c r="L23" s="9"/>
      <c r="M23" s="11" t="s">
        <v>18</v>
      </c>
      <c r="N23" s="12"/>
      <c r="O23" s="10"/>
      <c r="P23" s="10"/>
      <c r="Q23" s="11" t="s">
        <v>18</v>
      </c>
      <c r="R23" s="21"/>
      <c r="S23" s="10"/>
      <c r="T23" s="10"/>
      <c r="U23" s="11" t="s">
        <v>18</v>
      </c>
      <c r="V23" s="21"/>
      <c r="W23" s="10"/>
      <c r="X23" s="10"/>
      <c r="Y23" s="11" t="s">
        <v>18</v>
      </c>
      <c r="Z23" s="21"/>
      <c r="AA23" s="36">
        <f t="shared" si="1"/>
        <v>2</v>
      </c>
      <c r="AB23" s="36">
        <f t="shared" si="2"/>
        <v>0</v>
      </c>
      <c r="AC23" s="36">
        <f t="shared" si="3"/>
        <v>0</v>
      </c>
      <c r="AD23" s="36">
        <f t="shared" si="4"/>
        <v>0</v>
      </c>
      <c r="AE23" s="36">
        <f t="shared" si="5"/>
        <v>4</v>
      </c>
      <c r="AF23" s="10" t="s">
        <v>122</v>
      </c>
    </row>
    <row r="24">
      <c r="A24" s="9">
        <v>18.0</v>
      </c>
      <c r="B24" s="10" t="s">
        <v>128</v>
      </c>
      <c r="C24" s="10"/>
      <c r="D24" s="10"/>
      <c r="E24" s="12" t="s">
        <v>18</v>
      </c>
      <c r="F24" s="12"/>
      <c r="G24" s="11" t="s">
        <v>605</v>
      </c>
      <c r="H24" s="18">
        <v>30.0</v>
      </c>
      <c r="I24" s="11" t="s">
        <v>14</v>
      </c>
      <c r="J24" s="34"/>
      <c r="K24" s="11" t="s">
        <v>606</v>
      </c>
      <c r="L24" s="10"/>
      <c r="M24" s="11" t="s">
        <v>14</v>
      </c>
      <c r="N24" s="12" t="s">
        <v>27</v>
      </c>
      <c r="O24" s="11" t="s">
        <v>607</v>
      </c>
      <c r="P24" s="18" t="s">
        <v>568</v>
      </c>
      <c r="Q24" s="11" t="s">
        <v>14</v>
      </c>
      <c r="R24" s="24" t="s">
        <v>23</v>
      </c>
      <c r="S24" s="11" t="s">
        <v>608</v>
      </c>
      <c r="T24" s="18" t="s">
        <v>568</v>
      </c>
      <c r="U24" s="11" t="s">
        <v>14</v>
      </c>
      <c r="V24" s="24" t="s">
        <v>29</v>
      </c>
      <c r="W24" s="11" t="s">
        <v>609</v>
      </c>
      <c r="X24" s="18">
        <v>30.0</v>
      </c>
      <c r="Y24" s="11" t="s">
        <v>14</v>
      </c>
      <c r="Z24" s="24" t="s">
        <v>27</v>
      </c>
      <c r="AA24" s="36">
        <f t="shared" si="1"/>
        <v>5</v>
      </c>
      <c r="AB24" s="36">
        <f t="shared" si="2"/>
        <v>0</v>
      </c>
      <c r="AC24" s="36">
        <f t="shared" si="3"/>
        <v>0</v>
      </c>
      <c r="AD24" s="36">
        <f t="shared" si="4"/>
        <v>0</v>
      </c>
      <c r="AE24" s="36">
        <f t="shared" si="5"/>
        <v>1</v>
      </c>
      <c r="AF24" s="10" t="s">
        <v>128</v>
      </c>
    </row>
    <row r="25">
      <c r="A25" s="9">
        <v>19.0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>
        <v>20.0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>
        <v>21.0</v>
      </c>
    </row>
    <row r="28">
      <c r="A28" s="9">
        <v>22.0</v>
      </c>
    </row>
    <row r="29">
      <c r="A29" s="9">
        <v>23.0</v>
      </c>
    </row>
    <row r="30">
      <c r="A30" s="9">
        <v>24.0</v>
      </c>
    </row>
    <row r="31">
      <c r="A31" s="9">
        <v>25.0</v>
      </c>
    </row>
    <row r="34">
      <c r="A34" s="1" t="s">
        <v>542</v>
      </c>
    </row>
    <row r="37">
      <c r="A37" s="31" t="s">
        <v>610</v>
      </c>
    </row>
    <row r="38">
      <c r="A38" s="3" t="s">
        <v>2</v>
      </c>
      <c r="B38" s="3" t="s">
        <v>3</v>
      </c>
      <c r="C38" s="32" t="s">
        <v>354</v>
      </c>
      <c r="G38" s="32" t="s">
        <v>544</v>
      </c>
      <c r="K38" s="32" t="s">
        <v>545</v>
      </c>
      <c r="O38" s="32" t="s">
        <v>357</v>
      </c>
      <c r="S38" s="32" t="s">
        <v>546</v>
      </c>
      <c r="W38" s="32" t="s">
        <v>547</v>
      </c>
      <c r="AA38" s="33" t="s">
        <v>548</v>
      </c>
    </row>
    <row r="39">
      <c r="C39" s="6" t="s">
        <v>549</v>
      </c>
      <c r="D39" s="6" t="s">
        <v>550</v>
      </c>
      <c r="E39" s="6"/>
      <c r="F39" s="7" t="s">
        <v>12</v>
      </c>
      <c r="G39" s="6" t="s">
        <v>549</v>
      </c>
      <c r="H39" s="6" t="s">
        <v>550</v>
      </c>
      <c r="I39" s="6"/>
      <c r="J39" s="7" t="s">
        <v>12</v>
      </c>
      <c r="K39" s="6" t="s">
        <v>549</v>
      </c>
      <c r="L39" s="6" t="s">
        <v>550</v>
      </c>
      <c r="M39" s="6"/>
      <c r="N39" s="7" t="s">
        <v>12</v>
      </c>
      <c r="O39" s="6" t="s">
        <v>549</v>
      </c>
      <c r="P39" s="6" t="s">
        <v>550</v>
      </c>
      <c r="Q39" s="6"/>
      <c r="R39" s="7" t="s">
        <v>12</v>
      </c>
      <c r="S39" s="6" t="s">
        <v>549</v>
      </c>
      <c r="T39" s="6" t="s">
        <v>550</v>
      </c>
      <c r="U39" s="6"/>
      <c r="V39" s="7" t="s">
        <v>12</v>
      </c>
      <c r="W39" s="6" t="s">
        <v>549</v>
      </c>
      <c r="X39" s="6" t="s">
        <v>550</v>
      </c>
      <c r="Y39" s="6"/>
      <c r="Z39" s="7" t="s">
        <v>12</v>
      </c>
      <c r="AA39" s="33" t="s">
        <v>14</v>
      </c>
      <c r="AB39" s="33" t="s">
        <v>15</v>
      </c>
      <c r="AC39" s="33" t="s">
        <v>16</v>
      </c>
      <c r="AD39" s="33" t="s">
        <v>17</v>
      </c>
      <c r="AE39" s="33" t="s">
        <v>18</v>
      </c>
    </row>
    <row r="40">
      <c r="A40" s="9">
        <v>1.0</v>
      </c>
      <c r="B40" s="10" t="s">
        <v>19</v>
      </c>
      <c r="C40" s="11"/>
      <c r="D40" s="18"/>
      <c r="E40" s="11"/>
      <c r="F40" s="12"/>
      <c r="G40" s="11"/>
      <c r="H40" s="18"/>
      <c r="I40" s="11"/>
      <c r="J40" s="34"/>
      <c r="K40" s="10"/>
      <c r="L40" s="9"/>
      <c r="M40" s="10"/>
      <c r="N40" s="12"/>
      <c r="O40" s="10"/>
      <c r="P40" s="9"/>
      <c r="Q40" s="11" t="s">
        <v>15</v>
      </c>
      <c r="R40" s="21"/>
      <c r="S40" s="10"/>
      <c r="T40" s="9"/>
      <c r="U40" s="10"/>
      <c r="V40" s="21"/>
      <c r="W40" s="10"/>
      <c r="X40" s="10"/>
      <c r="Y40" s="12"/>
      <c r="Z40" s="34"/>
      <c r="AA40" s="36">
        <f t="shared" ref="AA40:AA57" si="6">COUNTIF(C40:Y40,"H")</f>
        <v>0</v>
      </c>
      <c r="AB40" s="36">
        <f t="shared" ref="AB40:AB57" si="7">COUNTIF(C40:Y40,"I")</f>
        <v>1</v>
      </c>
      <c r="AC40" s="36">
        <f t="shared" ref="AC40:AC57" si="8">COUNTIF(C40:Y40,"TD")</f>
        <v>0</v>
      </c>
      <c r="AD40" s="36">
        <f t="shared" ref="AD40:AD57" si="9">COUNTIF(C40:Y40,"S")</f>
        <v>0</v>
      </c>
      <c r="AE40" s="36">
        <f t="shared" ref="AE40:AE57" si="10">COUNTIF(C40:Y40,"A")</f>
        <v>0</v>
      </c>
      <c r="AF40" s="10" t="s">
        <v>19</v>
      </c>
    </row>
    <row r="41">
      <c r="A41" s="9">
        <v>2.0</v>
      </c>
      <c r="B41" s="10" t="s">
        <v>24</v>
      </c>
      <c r="C41" s="11" t="s">
        <v>611</v>
      </c>
      <c r="D41" s="18">
        <v>29.0</v>
      </c>
      <c r="E41" s="12" t="s">
        <v>14</v>
      </c>
      <c r="F41" s="12" t="s">
        <v>29</v>
      </c>
      <c r="G41" s="11"/>
      <c r="H41" s="18" t="s">
        <v>556</v>
      </c>
      <c r="I41" s="11" t="s">
        <v>14</v>
      </c>
      <c r="J41" s="24" t="s">
        <v>23</v>
      </c>
      <c r="K41" s="11" t="s">
        <v>612</v>
      </c>
      <c r="L41" s="18">
        <v>29.0</v>
      </c>
      <c r="M41" s="11" t="s">
        <v>14</v>
      </c>
      <c r="N41" s="12" t="s">
        <v>29</v>
      </c>
      <c r="O41" s="10"/>
      <c r="P41" s="9"/>
      <c r="Q41" s="11" t="s">
        <v>15</v>
      </c>
      <c r="R41" s="21"/>
      <c r="S41" s="11" t="s">
        <v>613</v>
      </c>
      <c r="T41" s="18">
        <v>29.0</v>
      </c>
      <c r="U41" s="11" t="s">
        <v>14</v>
      </c>
      <c r="V41" s="24" t="s">
        <v>29</v>
      </c>
      <c r="W41" s="11" t="s">
        <v>614</v>
      </c>
      <c r="X41" s="18">
        <v>29.0</v>
      </c>
      <c r="Y41" s="11" t="s">
        <v>14</v>
      </c>
      <c r="Z41" s="24" t="s">
        <v>23</v>
      </c>
      <c r="AA41" s="36">
        <f t="shared" si="6"/>
        <v>5</v>
      </c>
      <c r="AB41" s="36">
        <f t="shared" si="7"/>
        <v>1</v>
      </c>
      <c r="AC41" s="36">
        <f t="shared" si="8"/>
        <v>0</v>
      </c>
      <c r="AD41" s="36">
        <f t="shared" si="9"/>
        <v>0</v>
      </c>
      <c r="AE41" s="36">
        <f t="shared" si="10"/>
        <v>0</v>
      </c>
      <c r="AF41" s="10" t="s">
        <v>24</v>
      </c>
    </row>
    <row r="42">
      <c r="A42" s="9">
        <v>3.0</v>
      </c>
      <c r="B42" s="10" t="s">
        <v>34</v>
      </c>
      <c r="C42" s="11" t="s">
        <v>615</v>
      </c>
      <c r="D42" s="18">
        <v>1.0</v>
      </c>
      <c r="E42" s="11" t="s">
        <v>14</v>
      </c>
      <c r="F42" s="12" t="s">
        <v>23</v>
      </c>
      <c r="G42" s="11" t="s">
        <v>616</v>
      </c>
      <c r="K42" s="10"/>
      <c r="L42" s="9"/>
      <c r="M42" s="11" t="s">
        <v>18</v>
      </c>
      <c r="N42" s="12"/>
      <c r="O42" s="11" t="s">
        <v>617</v>
      </c>
      <c r="P42" s="18" t="s">
        <v>560</v>
      </c>
      <c r="Q42" s="11" t="s">
        <v>14</v>
      </c>
      <c r="R42" s="24" t="s">
        <v>23</v>
      </c>
      <c r="S42" s="10"/>
      <c r="T42" s="10"/>
      <c r="U42" s="10"/>
      <c r="V42" s="21"/>
      <c r="W42" s="11" t="s">
        <v>618</v>
      </c>
      <c r="X42" s="18">
        <v>2.0</v>
      </c>
      <c r="Y42" s="11" t="s">
        <v>14</v>
      </c>
      <c r="Z42" s="24" t="s">
        <v>23</v>
      </c>
      <c r="AA42" s="36">
        <f t="shared" si="6"/>
        <v>3</v>
      </c>
      <c r="AB42" s="36">
        <f t="shared" si="7"/>
        <v>0</v>
      </c>
      <c r="AC42" s="36">
        <f t="shared" si="8"/>
        <v>0</v>
      </c>
      <c r="AD42" s="36">
        <f t="shared" si="9"/>
        <v>0</v>
      </c>
      <c r="AE42" s="36">
        <f t="shared" si="10"/>
        <v>1</v>
      </c>
      <c r="AF42" s="10" t="s">
        <v>34</v>
      </c>
    </row>
    <row r="43">
      <c r="A43" s="9">
        <v>4.0</v>
      </c>
      <c r="B43" s="10" t="s">
        <v>39</v>
      </c>
      <c r="C43" s="18" t="s">
        <v>619</v>
      </c>
      <c r="D43" s="18">
        <v>3.0</v>
      </c>
      <c r="E43" s="11" t="s">
        <v>14</v>
      </c>
      <c r="F43" s="12" t="s">
        <v>27</v>
      </c>
      <c r="G43" s="10"/>
      <c r="H43" s="9"/>
      <c r="I43" s="10"/>
      <c r="J43" s="21"/>
      <c r="K43" s="11" t="s">
        <v>581</v>
      </c>
      <c r="L43" s="18" t="s">
        <v>564</v>
      </c>
      <c r="M43" s="11" t="s">
        <v>14</v>
      </c>
      <c r="N43" s="12" t="s">
        <v>23</v>
      </c>
      <c r="O43" s="11" t="s">
        <v>557</v>
      </c>
      <c r="P43" s="18">
        <v>3.0</v>
      </c>
      <c r="Q43" s="11" t="s">
        <v>14</v>
      </c>
      <c r="R43" s="24" t="s">
        <v>29</v>
      </c>
      <c r="S43" s="10"/>
      <c r="T43" s="10"/>
      <c r="U43" s="10"/>
      <c r="V43" s="21"/>
      <c r="W43" s="11" t="s">
        <v>581</v>
      </c>
      <c r="X43" s="18">
        <v>3.0</v>
      </c>
      <c r="Y43" s="11" t="s">
        <v>14</v>
      </c>
      <c r="Z43" s="24" t="s">
        <v>29</v>
      </c>
      <c r="AA43" s="36">
        <f t="shared" si="6"/>
        <v>4</v>
      </c>
      <c r="AB43" s="36">
        <f t="shared" si="7"/>
        <v>0</v>
      </c>
      <c r="AC43" s="36">
        <f t="shared" si="8"/>
        <v>0</v>
      </c>
      <c r="AD43" s="36">
        <f t="shared" si="9"/>
        <v>0</v>
      </c>
      <c r="AE43" s="36">
        <f t="shared" si="10"/>
        <v>0</v>
      </c>
      <c r="AF43" s="10" t="s">
        <v>39</v>
      </c>
    </row>
    <row r="44">
      <c r="A44" s="9">
        <v>5.0</v>
      </c>
      <c r="B44" s="10" t="s">
        <v>43</v>
      </c>
      <c r="C44" s="11"/>
      <c r="D44" s="18"/>
      <c r="E44" s="11" t="s">
        <v>17</v>
      </c>
      <c r="F44" s="12"/>
      <c r="G44" s="10"/>
      <c r="H44" s="9"/>
      <c r="I44" s="10"/>
      <c r="J44" s="21"/>
      <c r="K44" s="10"/>
      <c r="L44" s="9"/>
      <c r="M44" s="11" t="s">
        <v>15</v>
      </c>
      <c r="N44" s="12"/>
      <c r="O44" s="10"/>
      <c r="P44" s="9"/>
      <c r="Q44" s="11" t="s">
        <v>15</v>
      </c>
      <c r="R44" s="21"/>
      <c r="S44" s="10"/>
      <c r="T44" s="9"/>
      <c r="U44" s="11" t="s">
        <v>15</v>
      </c>
      <c r="V44" s="21"/>
      <c r="W44" s="10"/>
      <c r="X44" s="10"/>
      <c r="Y44" s="11" t="s">
        <v>15</v>
      </c>
      <c r="Z44" s="21"/>
      <c r="AA44" s="36">
        <f t="shared" si="6"/>
        <v>0</v>
      </c>
      <c r="AB44" s="36">
        <f t="shared" si="7"/>
        <v>4</v>
      </c>
      <c r="AC44" s="36">
        <f t="shared" si="8"/>
        <v>0</v>
      </c>
      <c r="AD44" s="36">
        <f t="shared" si="9"/>
        <v>1</v>
      </c>
      <c r="AE44" s="36">
        <f t="shared" si="10"/>
        <v>0</v>
      </c>
      <c r="AF44" s="10" t="s">
        <v>43</v>
      </c>
    </row>
    <row r="45">
      <c r="A45" s="9">
        <v>6.0</v>
      </c>
      <c r="B45" s="10" t="s">
        <v>49</v>
      </c>
      <c r="C45" s="10"/>
      <c r="D45" s="9"/>
      <c r="E45" s="12" t="s">
        <v>15</v>
      </c>
      <c r="F45" s="12"/>
      <c r="G45" s="10"/>
      <c r="H45" s="9"/>
      <c r="I45" s="10"/>
      <c r="J45" s="21"/>
      <c r="K45" s="10"/>
      <c r="L45" s="9"/>
      <c r="M45" s="11" t="s">
        <v>15</v>
      </c>
      <c r="N45" s="12"/>
      <c r="O45" s="10"/>
      <c r="P45" s="10"/>
      <c r="Q45" s="11" t="s">
        <v>15</v>
      </c>
      <c r="R45" s="21"/>
      <c r="S45" s="10"/>
      <c r="T45" s="10"/>
      <c r="U45" s="11" t="s">
        <v>15</v>
      </c>
      <c r="V45" s="21"/>
      <c r="W45" s="10"/>
      <c r="X45" s="10"/>
      <c r="Y45" s="11" t="s">
        <v>15</v>
      </c>
      <c r="Z45" s="21"/>
      <c r="AA45" s="36">
        <f t="shared" si="6"/>
        <v>0</v>
      </c>
      <c r="AB45" s="36">
        <f t="shared" si="7"/>
        <v>5</v>
      </c>
      <c r="AC45" s="36">
        <f t="shared" si="8"/>
        <v>0</v>
      </c>
      <c r="AD45" s="36">
        <f t="shared" si="9"/>
        <v>0</v>
      </c>
      <c r="AE45" s="36">
        <f t="shared" si="10"/>
        <v>0</v>
      </c>
      <c r="AF45" s="10" t="s">
        <v>49</v>
      </c>
    </row>
    <row r="46">
      <c r="A46" s="9">
        <v>7.0</v>
      </c>
      <c r="B46" s="10" t="s">
        <v>50</v>
      </c>
      <c r="C46" s="11" t="s">
        <v>611</v>
      </c>
      <c r="D46" s="18">
        <v>5.0</v>
      </c>
      <c r="E46" s="12" t="s">
        <v>14</v>
      </c>
      <c r="F46" s="12" t="s">
        <v>29</v>
      </c>
      <c r="G46" s="11" t="s">
        <v>583</v>
      </c>
      <c r="H46" s="18" t="s">
        <v>573</v>
      </c>
      <c r="I46" s="11" t="s">
        <v>14</v>
      </c>
      <c r="J46" s="24" t="s">
        <v>23</v>
      </c>
      <c r="K46" s="11" t="s">
        <v>620</v>
      </c>
      <c r="L46" s="18" t="s">
        <v>573</v>
      </c>
      <c r="M46" s="11" t="s">
        <v>14</v>
      </c>
      <c r="N46" s="12" t="s">
        <v>23</v>
      </c>
      <c r="O46" s="10"/>
      <c r="P46" s="10"/>
      <c r="Q46" s="11" t="s">
        <v>16</v>
      </c>
      <c r="R46" s="21"/>
      <c r="S46" s="11" t="s">
        <v>557</v>
      </c>
      <c r="T46" s="18">
        <v>5.0</v>
      </c>
      <c r="U46" s="11" t="s">
        <v>14</v>
      </c>
      <c r="V46" s="24" t="s">
        <v>29</v>
      </c>
      <c r="W46" s="11" t="s">
        <v>620</v>
      </c>
      <c r="X46" s="18">
        <v>5.0</v>
      </c>
      <c r="Y46" s="11" t="s">
        <v>14</v>
      </c>
      <c r="Z46" s="24" t="s">
        <v>23</v>
      </c>
      <c r="AA46" s="36">
        <f t="shared" si="6"/>
        <v>5</v>
      </c>
      <c r="AB46" s="36">
        <f t="shared" si="7"/>
        <v>0</v>
      </c>
      <c r="AC46" s="36">
        <f t="shared" si="8"/>
        <v>1</v>
      </c>
      <c r="AD46" s="36">
        <f t="shared" si="9"/>
        <v>0</v>
      </c>
      <c r="AE46" s="36">
        <f t="shared" si="10"/>
        <v>0</v>
      </c>
      <c r="AF46" s="10" t="s">
        <v>50</v>
      </c>
    </row>
    <row r="47">
      <c r="A47" s="9">
        <v>8.0</v>
      </c>
      <c r="B47" s="10" t="s">
        <v>61</v>
      </c>
      <c r="C47" s="22" t="s">
        <v>621</v>
      </c>
      <c r="D47" s="18">
        <v>30.0</v>
      </c>
      <c r="E47" s="11" t="s">
        <v>14</v>
      </c>
      <c r="F47" s="12" t="s">
        <v>29</v>
      </c>
      <c r="G47" s="11" t="s">
        <v>620</v>
      </c>
      <c r="H47" s="18" t="s">
        <v>568</v>
      </c>
      <c r="I47" s="11" t="s">
        <v>14</v>
      </c>
      <c r="J47" s="24" t="s">
        <v>23</v>
      </c>
      <c r="K47" s="10"/>
      <c r="L47" s="9"/>
      <c r="M47" s="11" t="s">
        <v>16</v>
      </c>
      <c r="N47" s="12"/>
      <c r="O47" s="11" t="s">
        <v>622</v>
      </c>
      <c r="P47" s="18">
        <v>30.0</v>
      </c>
      <c r="Q47" s="11" t="s">
        <v>14</v>
      </c>
      <c r="R47" s="24" t="s">
        <v>29</v>
      </c>
      <c r="S47" s="11" t="s">
        <v>623</v>
      </c>
      <c r="T47" s="18">
        <v>30.0</v>
      </c>
      <c r="U47" s="11" t="s">
        <v>14</v>
      </c>
      <c r="V47" s="24" t="s">
        <v>29</v>
      </c>
      <c r="W47" s="11" t="s">
        <v>624</v>
      </c>
      <c r="X47" s="18">
        <v>30.0</v>
      </c>
      <c r="Y47" s="11" t="s">
        <v>14</v>
      </c>
      <c r="Z47" s="24" t="s">
        <v>23</v>
      </c>
      <c r="AA47" s="36">
        <f t="shared" si="6"/>
        <v>5</v>
      </c>
      <c r="AB47" s="36">
        <f t="shared" si="7"/>
        <v>0</v>
      </c>
      <c r="AC47" s="36">
        <f t="shared" si="8"/>
        <v>1</v>
      </c>
      <c r="AD47" s="36">
        <f t="shared" si="9"/>
        <v>0</v>
      </c>
      <c r="AE47" s="36">
        <f t="shared" si="10"/>
        <v>0</v>
      </c>
      <c r="AF47" s="10" t="s">
        <v>61</v>
      </c>
    </row>
    <row r="48">
      <c r="A48" s="9">
        <v>9.0</v>
      </c>
      <c r="B48" s="11" t="s">
        <v>70</v>
      </c>
      <c r="C48" s="11" t="s">
        <v>625</v>
      </c>
      <c r="D48" s="18">
        <v>6.0</v>
      </c>
      <c r="E48" s="11" t="s">
        <v>14</v>
      </c>
      <c r="F48" s="12" t="s">
        <v>23</v>
      </c>
      <c r="G48" s="11"/>
      <c r="H48" s="18"/>
      <c r="I48" s="10"/>
      <c r="J48" s="21"/>
      <c r="K48" s="10"/>
      <c r="L48" s="9"/>
      <c r="M48" s="11" t="s">
        <v>16</v>
      </c>
      <c r="N48" s="12"/>
      <c r="O48" s="10"/>
      <c r="P48" s="10"/>
      <c r="Q48" s="11" t="s">
        <v>16</v>
      </c>
      <c r="R48" s="21"/>
      <c r="S48" s="10"/>
      <c r="T48" s="9"/>
      <c r="U48" s="10"/>
      <c r="V48" s="21"/>
      <c r="W48" s="11" t="s">
        <v>572</v>
      </c>
      <c r="X48" s="18">
        <v>6.0</v>
      </c>
      <c r="Y48" s="11" t="s">
        <v>14</v>
      </c>
      <c r="Z48" s="24" t="s">
        <v>29</v>
      </c>
      <c r="AA48" s="36">
        <f t="shared" si="6"/>
        <v>2</v>
      </c>
      <c r="AB48" s="36">
        <f t="shared" si="7"/>
        <v>0</v>
      </c>
      <c r="AC48" s="36">
        <f t="shared" si="8"/>
        <v>2</v>
      </c>
      <c r="AD48" s="36">
        <f t="shared" si="9"/>
        <v>0</v>
      </c>
      <c r="AE48" s="36">
        <f t="shared" si="10"/>
        <v>0</v>
      </c>
      <c r="AF48" s="11" t="s">
        <v>70</v>
      </c>
    </row>
    <row r="49">
      <c r="A49" s="9">
        <v>10.0</v>
      </c>
      <c r="B49" s="10" t="s">
        <v>75</v>
      </c>
      <c r="C49" s="10"/>
      <c r="D49" s="9"/>
      <c r="E49" s="12" t="s">
        <v>18</v>
      </c>
      <c r="F49" s="12"/>
      <c r="G49" s="10"/>
      <c r="H49" s="9"/>
      <c r="I49" s="10"/>
      <c r="J49" s="21"/>
      <c r="K49" s="10"/>
      <c r="L49" s="9"/>
      <c r="M49" s="11" t="s">
        <v>18</v>
      </c>
      <c r="N49" s="12"/>
      <c r="O49" s="11" t="s">
        <v>572</v>
      </c>
      <c r="P49" s="18">
        <v>5.0</v>
      </c>
      <c r="Q49" s="11" t="s">
        <v>14</v>
      </c>
      <c r="R49" s="24" t="s">
        <v>29</v>
      </c>
      <c r="S49" s="11" t="s">
        <v>557</v>
      </c>
      <c r="T49" s="18">
        <v>4.0</v>
      </c>
      <c r="U49" s="11" t="s">
        <v>14</v>
      </c>
      <c r="V49" s="24" t="s">
        <v>29</v>
      </c>
      <c r="W49" s="11" t="s">
        <v>557</v>
      </c>
      <c r="X49" s="18">
        <v>5.0</v>
      </c>
      <c r="Y49" s="11" t="s">
        <v>14</v>
      </c>
      <c r="Z49" s="24" t="s">
        <v>23</v>
      </c>
      <c r="AA49" s="36">
        <f t="shared" si="6"/>
        <v>3</v>
      </c>
      <c r="AB49" s="36">
        <f t="shared" si="7"/>
        <v>0</v>
      </c>
      <c r="AC49" s="36">
        <f t="shared" si="8"/>
        <v>0</v>
      </c>
      <c r="AD49" s="36">
        <f t="shared" si="9"/>
        <v>0</v>
      </c>
      <c r="AE49" s="36">
        <f t="shared" si="10"/>
        <v>2</v>
      </c>
      <c r="AF49" s="10" t="s">
        <v>75</v>
      </c>
    </row>
    <row r="50">
      <c r="A50" s="9">
        <v>11.0</v>
      </c>
      <c r="B50" s="10" t="s">
        <v>83</v>
      </c>
      <c r="C50" s="11" t="s">
        <v>626</v>
      </c>
      <c r="D50" s="18">
        <v>1.0</v>
      </c>
      <c r="E50" s="11" t="s">
        <v>14</v>
      </c>
      <c r="F50" s="12" t="s">
        <v>27</v>
      </c>
      <c r="G50" s="11" t="s">
        <v>572</v>
      </c>
      <c r="H50" s="18" t="s">
        <v>585</v>
      </c>
      <c r="I50" s="11" t="s">
        <v>14</v>
      </c>
      <c r="J50" s="24" t="s">
        <v>23</v>
      </c>
      <c r="K50" s="11" t="s">
        <v>627</v>
      </c>
      <c r="L50" s="18">
        <v>1.0</v>
      </c>
      <c r="M50" s="11" t="s">
        <v>14</v>
      </c>
      <c r="N50" s="12" t="s">
        <v>29</v>
      </c>
      <c r="O50" s="11" t="s">
        <v>628</v>
      </c>
      <c r="P50" s="11" t="s">
        <v>629</v>
      </c>
      <c r="Q50" s="11" t="s">
        <v>14</v>
      </c>
      <c r="R50" s="24" t="s">
        <v>23</v>
      </c>
      <c r="S50" s="11" t="s">
        <v>581</v>
      </c>
      <c r="T50" s="18">
        <v>2.0</v>
      </c>
      <c r="U50" s="11" t="s">
        <v>14</v>
      </c>
      <c r="V50" s="24" t="s">
        <v>29</v>
      </c>
      <c r="W50" s="11" t="s">
        <v>630</v>
      </c>
      <c r="X50" s="18">
        <v>2.0</v>
      </c>
      <c r="Y50" s="11" t="s">
        <v>14</v>
      </c>
      <c r="Z50" s="24" t="s">
        <v>29</v>
      </c>
      <c r="AA50" s="36">
        <f t="shared" si="6"/>
        <v>6</v>
      </c>
      <c r="AB50" s="36">
        <f t="shared" si="7"/>
        <v>0</v>
      </c>
      <c r="AC50" s="36">
        <f t="shared" si="8"/>
        <v>0</v>
      </c>
      <c r="AD50" s="36">
        <f t="shared" si="9"/>
        <v>0</v>
      </c>
      <c r="AE50" s="36">
        <f t="shared" si="10"/>
        <v>0</v>
      </c>
      <c r="AF50" s="10" t="s">
        <v>83</v>
      </c>
    </row>
    <row r="51">
      <c r="A51" s="9">
        <v>12.0</v>
      </c>
      <c r="B51" s="10" t="s">
        <v>87</v>
      </c>
      <c r="C51" s="11"/>
      <c r="D51" s="18"/>
      <c r="E51" s="11" t="s">
        <v>18</v>
      </c>
      <c r="F51" s="12"/>
      <c r="G51" s="11"/>
      <c r="H51" s="18"/>
      <c r="I51" s="11"/>
      <c r="J51" s="34"/>
      <c r="K51" s="10"/>
      <c r="L51" s="9"/>
      <c r="M51" s="11" t="s">
        <v>14</v>
      </c>
      <c r="N51" s="12"/>
      <c r="O51" s="10"/>
      <c r="P51" s="10"/>
      <c r="Q51" s="11" t="s">
        <v>17</v>
      </c>
      <c r="R51" s="21"/>
      <c r="S51" s="10"/>
      <c r="T51" s="10"/>
      <c r="U51" s="11" t="s">
        <v>15</v>
      </c>
      <c r="V51" s="21"/>
      <c r="W51" s="10"/>
      <c r="X51" s="10"/>
      <c r="Y51" s="10"/>
      <c r="Z51" s="21"/>
      <c r="AA51" s="36">
        <f t="shared" si="6"/>
        <v>1</v>
      </c>
      <c r="AB51" s="36">
        <f t="shared" si="7"/>
        <v>1</v>
      </c>
      <c r="AC51" s="36">
        <f t="shared" si="8"/>
        <v>0</v>
      </c>
      <c r="AD51" s="36">
        <f t="shared" si="9"/>
        <v>1</v>
      </c>
      <c r="AE51" s="36">
        <f t="shared" si="10"/>
        <v>1</v>
      </c>
      <c r="AF51" s="10" t="s">
        <v>87</v>
      </c>
    </row>
    <row r="52">
      <c r="A52" s="9">
        <v>13.0</v>
      </c>
      <c r="B52" s="10" t="s">
        <v>90</v>
      </c>
      <c r="C52" s="11"/>
      <c r="D52" s="18"/>
      <c r="E52" s="11" t="s">
        <v>18</v>
      </c>
      <c r="F52" s="12"/>
      <c r="G52" s="10"/>
      <c r="H52" s="9"/>
      <c r="I52" s="10"/>
      <c r="J52" s="21"/>
      <c r="K52" s="10"/>
      <c r="L52" s="9"/>
      <c r="M52" s="11" t="s">
        <v>16</v>
      </c>
      <c r="N52" s="12"/>
      <c r="O52" s="11" t="s">
        <v>557</v>
      </c>
      <c r="P52" s="18" t="s">
        <v>564</v>
      </c>
      <c r="Q52" s="11" t="s">
        <v>14</v>
      </c>
      <c r="R52" s="24" t="s">
        <v>23</v>
      </c>
      <c r="S52" s="10"/>
      <c r="T52" s="10"/>
      <c r="U52" s="10"/>
      <c r="V52" s="21"/>
      <c r="W52" s="10"/>
      <c r="X52" s="10"/>
      <c r="Y52" s="10"/>
      <c r="Z52" s="21"/>
      <c r="AA52" s="36">
        <f t="shared" si="6"/>
        <v>1</v>
      </c>
      <c r="AB52" s="36">
        <f t="shared" si="7"/>
        <v>0</v>
      </c>
      <c r="AC52" s="36">
        <f t="shared" si="8"/>
        <v>1</v>
      </c>
      <c r="AD52" s="36">
        <f t="shared" si="9"/>
        <v>0</v>
      </c>
      <c r="AE52" s="36">
        <f t="shared" si="10"/>
        <v>1</v>
      </c>
      <c r="AF52" s="10" t="s">
        <v>90</v>
      </c>
    </row>
    <row r="53">
      <c r="A53" s="9">
        <v>14.0</v>
      </c>
      <c r="B53" s="10" t="s">
        <v>94</v>
      </c>
      <c r="C53" s="11" t="s">
        <v>631</v>
      </c>
      <c r="D53" s="18">
        <v>28.0</v>
      </c>
      <c r="E53" s="11" t="s">
        <v>14</v>
      </c>
      <c r="F53" s="12" t="s">
        <v>23</v>
      </c>
      <c r="G53" s="11" t="s">
        <v>581</v>
      </c>
      <c r="H53" s="18" t="s">
        <v>593</v>
      </c>
      <c r="I53" s="11" t="s">
        <v>14</v>
      </c>
      <c r="J53" s="24" t="s">
        <v>23</v>
      </c>
      <c r="K53" s="11" t="s">
        <v>632</v>
      </c>
      <c r="L53" s="18">
        <v>28.0</v>
      </c>
      <c r="M53" s="11" t="s">
        <v>14</v>
      </c>
      <c r="N53" s="12" t="s">
        <v>29</v>
      </c>
      <c r="O53" s="11" t="s">
        <v>633</v>
      </c>
      <c r="P53" s="18">
        <v>28.0</v>
      </c>
      <c r="Q53" s="11" t="s">
        <v>14</v>
      </c>
      <c r="R53" s="24" t="s">
        <v>29</v>
      </c>
      <c r="S53" s="11" t="s">
        <v>557</v>
      </c>
      <c r="T53" s="18">
        <v>28.0</v>
      </c>
      <c r="U53" s="11" t="s">
        <v>14</v>
      </c>
      <c r="V53" s="24" t="s">
        <v>29</v>
      </c>
      <c r="W53" s="11" t="s">
        <v>634</v>
      </c>
      <c r="X53" s="18">
        <v>28.0</v>
      </c>
      <c r="Y53" s="11" t="s">
        <v>14</v>
      </c>
      <c r="Z53" s="24" t="s">
        <v>23</v>
      </c>
      <c r="AA53" s="36">
        <f t="shared" si="6"/>
        <v>6</v>
      </c>
      <c r="AB53" s="36">
        <f t="shared" si="7"/>
        <v>0</v>
      </c>
      <c r="AC53" s="36">
        <f t="shared" si="8"/>
        <v>0</v>
      </c>
      <c r="AD53" s="36">
        <f t="shared" si="9"/>
        <v>0</v>
      </c>
      <c r="AE53" s="36">
        <f t="shared" si="10"/>
        <v>0</v>
      </c>
      <c r="AF53" s="10" t="s">
        <v>94</v>
      </c>
    </row>
    <row r="54">
      <c r="A54" s="9">
        <v>15.0</v>
      </c>
      <c r="B54" s="10" t="s">
        <v>105</v>
      </c>
      <c r="C54" s="22" t="s">
        <v>635</v>
      </c>
      <c r="D54" s="18">
        <v>29.0</v>
      </c>
      <c r="E54" s="11" t="s">
        <v>14</v>
      </c>
      <c r="F54" s="12" t="s">
        <v>27</v>
      </c>
      <c r="G54" s="11" t="s">
        <v>636</v>
      </c>
      <c r="H54" s="18" t="s">
        <v>556</v>
      </c>
      <c r="I54" s="11" t="s">
        <v>14</v>
      </c>
      <c r="J54" s="24" t="s">
        <v>23</v>
      </c>
      <c r="K54" s="11" t="s">
        <v>328</v>
      </c>
      <c r="L54" s="18">
        <v>30.0</v>
      </c>
      <c r="M54" s="11" t="s">
        <v>14</v>
      </c>
      <c r="N54" s="12" t="s">
        <v>29</v>
      </c>
      <c r="O54" s="11" t="s">
        <v>637</v>
      </c>
      <c r="P54" s="18">
        <v>30.0</v>
      </c>
      <c r="Q54" s="11" t="s">
        <v>14</v>
      </c>
      <c r="R54" s="24" t="s">
        <v>29</v>
      </c>
      <c r="S54" s="11" t="s">
        <v>623</v>
      </c>
      <c r="T54" s="18">
        <v>30.0</v>
      </c>
      <c r="U54" s="11" t="s">
        <v>14</v>
      </c>
      <c r="V54" s="24" t="s">
        <v>29</v>
      </c>
      <c r="W54" s="10"/>
      <c r="X54" s="10"/>
      <c r="Y54" s="10"/>
      <c r="Z54" s="21"/>
      <c r="AA54" s="36">
        <f t="shared" si="6"/>
        <v>5</v>
      </c>
      <c r="AB54" s="36">
        <f t="shared" si="7"/>
        <v>0</v>
      </c>
      <c r="AC54" s="36">
        <f t="shared" si="8"/>
        <v>0</v>
      </c>
      <c r="AD54" s="36">
        <f t="shared" si="9"/>
        <v>0</v>
      </c>
      <c r="AE54" s="36">
        <f t="shared" si="10"/>
        <v>0</v>
      </c>
      <c r="AF54" s="10" t="s">
        <v>105</v>
      </c>
    </row>
    <row r="55">
      <c r="A55" s="9">
        <v>16.0</v>
      </c>
      <c r="B55" s="10" t="s">
        <v>113</v>
      </c>
      <c r="C55" s="11"/>
      <c r="D55" s="18"/>
      <c r="E55" s="11" t="s">
        <v>18</v>
      </c>
      <c r="F55" s="12"/>
      <c r="G55" s="11" t="s">
        <v>583</v>
      </c>
      <c r="H55" s="18" t="s">
        <v>585</v>
      </c>
      <c r="I55" s="11" t="s">
        <v>14</v>
      </c>
      <c r="J55" s="24" t="s">
        <v>23</v>
      </c>
      <c r="K55" s="11" t="s">
        <v>638</v>
      </c>
      <c r="L55" s="18">
        <v>1.0</v>
      </c>
      <c r="M55" s="11" t="s">
        <v>14</v>
      </c>
      <c r="N55" s="12" t="s">
        <v>29</v>
      </c>
      <c r="O55" s="11" t="s">
        <v>639</v>
      </c>
      <c r="P55" s="18">
        <v>1.0</v>
      </c>
      <c r="Q55" s="11" t="s">
        <v>14</v>
      </c>
      <c r="R55" s="24" t="s">
        <v>29</v>
      </c>
      <c r="S55" s="10"/>
      <c r="T55" s="10"/>
      <c r="U55" s="10"/>
      <c r="V55" s="21"/>
      <c r="W55" s="10"/>
      <c r="X55" s="10"/>
      <c r="Y55" s="10"/>
      <c r="Z55" s="21"/>
      <c r="AA55" s="36">
        <f t="shared" si="6"/>
        <v>3</v>
      </c>
      <c r="AB55" s="36">
        <f t="shared" si="7"/>
        <v>0</v>
      </c>
      <c r="AC55" s="36">
        <f t="shared" si="8"/>
        <v>0</v>
      </c>
      <c r="AD55" s="36">
        <f t="shared" si="9"/>
        <v>0</v>
      </c>
      <c r="AE55" s="36">
        <f t="shared" si="10"/>
        <v>1</v>
      </c>
      <c r="AF55" s="10" t="s">
        <v>113</v>
      </c>
    </row>
    <row r="56">
      <c r="A56" s="9">
        <v>17.0</v>
      </c>
      <c r="B56" s="10" t="s">
        <v>122</v>
      </c>
      <c r="C56" s="11"/>
      <c r="D56" s="18"/>
      <c r="E56" s="11" t="s">
        <v>18</v>
      </c>
      <c r="F56" s="12"/>
      <c r="G56" s="11" t="s">
        <v>640</v>
      </c>
      <c r="H56" s="18" t="s">
        <v>641</v>
      </c>
      <c r="I56" s="11" t="s">
        <v>14</v>
      </c>
      <c r="J56" s="24" t="s">
        <v>23</v>
      </c>
      <c r="K56" s="11" t="s">
        <v>557</v>
      </c>
      <c r="L56" s="18" t="s">
        <v>641</v>
      </c>
      <c r="M56" s="11" t="s">
        <v>14</v>
      </c>
      <c r="N56" s="12" t="s">
        <v>23</v>
      </c>
      <c r="O56" s="10"/>
      <c r="P56" s="10"/>
      <c r="Q56" s="11" t="s">
        <v>15</v>
      </c>
      <c r="R56" s="21"/>
      <c r="S56" s="10"/>
      <c r="T56" s="10"/>
      <c r="U56" s="10"/>
      <c r="V56" s="21"/>
      <c r="W56" s="11" t="s">
        <v>618</v>
      </c>
      <c r="X56" s="18">
        <v>8.0</v>
      </c>
      <c r="Y56" s="11" t="s">
        <v>14</v>
      </c>
      <c r="Z56" s="24" t="s">
        <v>23</v>
      </c>
      <c r="AA56" s="36">
        <f t="shared" si="6"/>
        <v>3</v>
      </c>
      <c r="AB56" s="36">
        <f t="shared" si="7"/>
        <v>1</v>
      </c>
      <c r="AC56" s="36">
        <f t="shared" si="8"/>
        <v>0</v>
      </c>
      <c r="AD56" s="36">
        <f t="shared" si="9"/>
        <v>0</v>
      </c>
      <c r="AE56" s="36">
        <f t="shared" si="10"/>
        <v>1</v>
      </c>
      <c r="AF56" s="10" t="s">
        <v>122</v>
      </c>
    </row>
    <row r="57">
      <c r="A57" s="9">
        <v>18.0</v>
      </c>
      <c r="B57" s="10" t="s">
        <v>128</v>
      </c>
      <c r="C57" s="22" t="s">
        <v>642</v>
      </c>
      <c r="D57" s="18">
        <v>30.0</v>
      </c>
      <c r="E57" s="12" t="s">
        <v>14</v>
      </c>
      <c r="F57" s="12" t="s">
        <v>27</v>
      </c>
      <c r="G57" s="11" t="s">
        <v>581</v>
      </c>
      <c r="H57" s="18" t="s">
        <v>568</v>
      </c>
      <c r="I57" s="11" t="s">
        <v>14</v>
      </c>
      <c r="J57" s="24" t="s">
        <v>23</v>
      </c>
      <c r="K57" s="10"/>
      <c r="L57" s="10"/>
      <c r="M57" s="11" t="s">
        <v>16</v>
      </c>
      <c r="N57" s="12"/>
      <c r="O57" s="11" t="s">
        <v>643</v>
      </c>
      <c r="P57" s="18">
        <v>30.0</v>
      </c>
      <c r="Q57" s="11" t="s">
        <v>14</v>
      </c>
      <c r="R57" s="24" t="s">
        <v>23</v>
      </c>
      <c r="S57" s="10"/>
      <c r="T57" s="9"/>
      <c r="U57" s="10"/>
      <c r="V57" s="21"/>
      <c r="W57" s="11" t="s">
        <v>644</v>
      </c>
      <c r="X57" s="18">
        <v>30.0</v>
      </c>
      <c r="Y57" s="11" t="s">
        <v>14</v>
      </c>
      <c r="Z57" s="24" t="s">
        <v>23</v>
      </c>
      <c r="AA57" s="36">
        <f t="shared" si="6"/>
        <v>4</v>
      </c>
      <c r="AB57" s="36">
        <f t="shared" si="7"/>
        <v>0</v>
      </c>
      <c r="AC57" s="36">
        <f t="shared" si="8"/>
        <v>1</v>
      </c>
      <c r="AD57" s="36">
        <f t="shared" si="9"/>
        <v>0</v>
      </c>
      <c r="AE57" s="36">
        <f t="shared" si="10"/>
        <v>0</v>
      </c>
      <c r="AF57" s="10" t="s">
        <v>128</v>
      </c>
    </row>
    <row r="58">
      <c r="A58" s="9">
        <v>19.0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9">
        <v>20.0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9">
        <v>21.0</v>
      </c>
    </row>
    <row r="61">
      <c r="A61" s="9">
        <v>22.0</v>
      </c>
    </row>
    <row r="62">
      <c r="A62" s="9">
        <v>23.0</v>
      </c>
    </row>
    <row r="63">
      <c r="A63" s="9">
        <v>24.0</v>
      </c>
    </row>
    <row r="64">
      <c r="A64" s="9">
        <v>25.0</v>
      </c>
    </row>
    <row r="67">
      <c r="A67" s="1" t="s">
        <v>542</v>
      </c>
    </row>
    <row r="70">
      <c r="A70" s="31" t="s">
        <v>645</v>
      </c>
    </row>
    <row r="71">
      <c r="A71" s="3" t="s">
        <v>2</v>
      </c>
      <c r="B71" s="3" t="s">
        <v>3</v>
      </c>
      <c r="C71" s="32" t="s">
        <v>354</v>
      </c>
      <c r="G71" s="32" t="s">
        <v>544</v>
      </c>
      <c r="K71" s="32" t="s">
        <v>545</v>
      </c>
      <c r="O71" s="32" t="s">
        <v>357</v>
      </c>
      <c r="S71" s="32" t="s">
        <v>546</v>
      </c>
      <c r="W71" s="32" t="s">
        <v>547</v>
      </c>
      <c r="AA71" s="33" t="s">
        <v>548</v>
      </c>
    </row>
    <row r="72">
      <c r="C72" s="6" t="s">
        <v>549</v>
      </c>
      <c r="D72" s="6" t="s">
        <v>550</v>
      </c>
      <c r="E72" s="6"/>
      <c r="F72" s="7" t="s">
        <v>12</v>
      </c>
      <c r="G72" s="6" t="s">
        <v>549</v>
      </c>
      <c r="H72" s="6" t="s">
        <v>550</v>
      </c>
      <c r="I72" s="6"/>
      <c r="J72" s="7" t="s">
        <v>12</v>
      </c>
      <c r="K72" s="6" t="s">
        <v>549</v>
      </c>
      <c r="L72" s="6" t="s">
        <v>550</v>
      </c>
      <c r="M72" s="6"/>
      <c r="N72" s="7" t="s">
        <v>12</v>
      </c>
      <c r="O72" s="6" t="s">
        <v>549</v>
      </c>
      <c r="P72" s="6" t="s">
        <v>550</v>
      </c>
      <c r="Q72" s="6"/>
      <c r="R72" s="7" t="s">
        <v>12</v>
      </c>
      <c r="S72" s="6" t="s">
        <v>549</v>
      </c>
      <c r="T72" s="6" t="s">
        <v>550</v>
      </c>
      <c r="U72" s="6"/>
      <c r="V72" s="7" t="s">
        <v>12</v>
      </c>
      <c r="W72" s="6" t="s">
        <v>549</v>
      </c>
      <c r="X72" s="6" t="s">
        <v>550</v>
      </c>
      <c r="Y72" s="6"/>
      <c r="Z72" s="7" t="s">
        <v>12</v>
      </c>
      <c r="AA72" s="33" t="s">
        <v>14</v>
      </c>
      <c r="AB72" s="33" t="s">
        <v>15</v>
      </c>
      <c r="AC72" s="33" t="s">
        <v>16</v>
      </c>
      <c r="AD72" s="33" t="s">
        <v>17</v>
      </c>
      <c r="AE72" s="33" t="s">
        <v>18</v>
      </c>
    </row>
    <row r="73">
      <c r="A73" s="9">
        <v>1.0</v>
      </c>
      <c r="B73" s="10" t="s">
        <v>19</v>
      </c>
      <c r="C73" s="11"/>
      <c r="D73" s="18"/>
      <c r="E73" s="11"/>
      <c r="F73" s="12"/>
      <c r="G73" s="11"/>
      <c r="H73" s="18"/>
      <c r="I73" s="11"/>
      <c r="J73" s="34"/>
      <c r="K73" s="10"/>
      <c r="L73" s="9"/>
      <c r="M73" s="11" t="s">
        <v>15</v>
      </c>
      <c r="N73" s="12"/>
      <c r="O73" s="10"/>
      <c r="P73" s="9"/>
      <c r="Q73" s="11" t="s">
        <v>15</v>
      </c>
      <c r="R73" s="21"/>
      <c r="S73" s="37"/>
      <c r="T73" s="9"/>
      <c r="U73" s="10"/>
      <c r="V73" s="21"/>
      <c r="W73" s="37"/>
      <c r="X73" s="9"/>
      <c r="Y73" s="12"/>
      <c r="Z73" s="34"/>
      <c r="AA73" s="36">
        <f t="shared" ref="AA73:AA90" si="11">COUNTIF(C73:Y73,"H")</f>
        <v>0</v>
      </c>
      <c r="AB73" s="36">
        <f t="shared" ref="AB73:AB90" si="12">COUNTIF(C73:Y73,"I")</f>
        <v>2</v>
      </c>
      <c r="AC73" s="36">
        <f t="shared" ref="AC73:AC90" si="13">COUNTIF(C73:Y73,"TD")</f>
        <v>0</v>
      </c>
      <c r="AD73" s="36">
        <f t="shared" ref="AD73:AD90" si="14">COUNTIF(C73:Y73,"S")</f>
        <v>0</v>
      </c>
      <c r="AE73" s="36">
        <f t="shared" ref="AE73:AE90" si="15">COUNTIF(C73:Y73,"A")</f>
        <v>0</v>
      </c>
      <c r="AF73" s="10" t="s">
        <v>19</v>
      </c>
    </row>
    <row r="74">
      <c r="A74" s="9">
        <v>2.0</v>
      </c>
      <c r="B74" s="10" t="s">
        <v>24</v>
      </c>
      <c r="C74" s="11" t="s">
        <v>646</v>
      </c>
      <c r="D74" s="18">
        <v>29.0</v>
      </c>
      <c r="E74" s="12" t="s">
        <v>14</v>
      </c>
      <c r="F74" s="12" t="s">
        <v>29</v>
      </c>
      <c r="G74" s="11"/>
      <c r="H74" s="18"/>
      <c r="I74" s="11"/>
      <c r="J74" s="34"/>
      <c r="K74" s="22" t="s">
        <v>647</v>
      </c>
      <c r="L74" s="18">
        <v>30.0</v>
      </c>
      <c r="M74" s="11" t="s">
        <v>14</v>
      </c>
      <c r="N74" s="12"/>
      <c r="O74" s="11" t="s">
        <v>648</v>
      </c>
      <c r="P74" s="9"/>
      <c r="Q74" s="11" t="s">
        <v>15</v>
      </c>
      <c r="R74" s="21"/>
      <c r="S74" s="38" t="s">
        <v>649</v>
      </c>
      <c r="T74" s="18">
        <v>29.0</v>
      </c>
      <c r="U74" s="11" t="s">
        <v>14</v>
      </c>
      <c r="V74" s="24" t="s">
        <v>29</v>
      </c>
      <c r="W74" s="38" t="s">
        <v>650</v>
      </c>
      <c r="X74" s="18">
        <v>29.0</v>
      </c>
      <c r="Y74" s="11" t="s">
        <v>14</v>
      </c>
      <c r="Z74" s="24" t="s">
        <v>29</v>
      </c>
      <c r="AA74" s="36">
        <f t="shared" si="11"/>
        <v>4</v>
      </c>
      <c r="AB74" s="36">
        <f t="shared" si="12"/>
        <v>1</v>
      </c>
      <c r="AC74" s="36">
        <f t="shared" si="13"/>
        <v>0</v>
      </c>
      <c r="AD74" s="36">
        <f t="shared" si="14"/>
        <v>0</v>
      </c>
      <c r="AE74" s="36">
        <f t="shared" si="15"/>
        <v>0</v>
      </c>
      <c r="AF74" s="10" t="s">
        <v>24</v>
      </c>
    </row>
    <row r="75">
      <c r="A75" s="9">
        <v>3.0</v>
      </c>
      <c r="B75" s="10" t="s">
        <v>34</v>
      </c>
      <c r="C75" s="11" t="s">
        <v>283</v>
      </c>
      <c r="D75" s="18"/>
      <c r="E75" s="11"/>
      <c r="F75" s="12"/>
      <c r="G75" s="11"/>
      <c r="H75" s="18"/>
      <c r="I75" s="11"/>
      <c r="J75" s="34"/>
      <c r="K75" s="10"/>
      <c r="L75" s="9"/>
      <c r="M75" s="10"/>
      <c r="N75" s="12" t="s">
        <v>27</v>
      </c>
      <c r="O75" s="22" t="s">
        <v>651</v>
      </c>
      <c r="P75" s="18">
        <v>29.0</v>
      </c>
      <c r="Q75" s="11" t="s">
        <v>14</v>
      </c>
      <c r="R75" s="24" t="s">
        <v>27</v>
      </c>
      <c r="S75" s="29" t="s">
        <v>648</v>
      </c>
      <c r="T75" s="9"/>
      <c r="U75" s="11" t="s">
        <v>15</v>
      </c>
      <c r="V75" s="21"/>
      <c r="W75" s="29" t="s">
        <v>652</v>
      </c>
      <c r="X75" s="18">
        <v>2.0</v>
      </c>
      <c r="Y75" s="11" t="s">
        <v>14</v>
      </c>
      <c r="Z75" s="24" t="s">
        <v>23</v>
      </c>
      <c r="AA75" s="36">
        <f t="shared" si="11"/>
        <v>2</v>
      </c>
      <c r="AB75" s="36">
        <f t="shared" si="12"/>
        <v>1</v>
      </c>
      <c r="AC75" s="36">
        <f t="shared" si="13"/>
        <v>0</v>
      </c>
      <c r="AD75" s="36">
        <f t="shared" si="14"/>
        <v>0</v>
      </c>
      <c r="AE75" s="36">
        <f t="shared" si="15"/>
        <v>0</v>
      </c>
      <c r="AF75" s="10" t="s">
        <v>34</v>
      </c>
    </row>
    <row r="76">
      <c r="A76" s="9">
        <v>4.0</v>
      </c>
      <c r="B76" s="10" t="s">
        <v>39</v>
      </c>
      <c r="C76" s="11" t="s">
        <v>283</v>
      </c>
      <c r="D76" s="18"/>
      <c r="E76" s="11"/>
      <c r="F76" s="12"/>
      <c r="G76" s="10"/>
      <c r="H76" s="9"/>
      <c r="I76" s="10"/>
      <c r="J76" s="21"/>
      <c r="K76" s="10"/>
      <c r="L76" s="9"/>
      <c r="M76" s="10"/>
      <c r="N76" s="12"/>
      <c r="O76" s="11" t="s">
        <v>653</v>
      </c>
      <c r="P76" s="18">
        <v>3.0</v>
      </c>
      <c r="Q76" s="11" t="s">
        <v>14</v>
      </c>
      <c r="R76" s="24" t="s">
        <v>27</v>
      </c>
      <c r="S76" s="29" t="s">
        <v>283</v>
      </c>
      <c r="T76" s="9"/>
      <c r="U76" s="10"/>
      <c r="V76" s="21"/>
      <c r="W76" s="37"/>
      <c r="X76" s="9"/>
      <c r="Y76" s="10"/>
      <c r="Z76" s="21"/>
      <c r="AA76" s="36">
        <f t="shared" si="11"/>
        <v>1</v>
      </c>
      <c r="AB76" s="36">
        <f t="shared" si="12"/>
        <v>0</v>
      </c>
      <c r="AC76" s="36">
        <f t="shared" si="13"/>
        <v>0</v>
      </c>
      <c r="AD76" s="36">
        <f t="shared" si="14"/>
        <v>0</v>
      </c>
      <c r="AE76" s="36">
        <f t="shared" si="15"/>
        <v>0</v>
      </c>
      <c r="AF76" s="10" t="s">
        <v>39</v>
      </c>
    </row>
    <row r="77">
      <c r="A77" s="9">
        <v>5.0</v>
      </c>
      <c r="B77" s="10" t="s">
        <v>43</v>
      </c>
      <c r="C77" s="11"/>
      <c r="D77" s="18"/>
      <c r="E77" s="11" t="s">
        <v>15</v>
      </c>
      <c r="F77" s="12"/>
      <c r="G77" s="10"/>
      <c r="H77" s="9"/>
      <c r="I77" s="10"/>
      <c r="J77" s="21"/>
      <c r="K77" s="10"/>
      <c r="L77" s="9"/>
      <c r="M77" s="11" t="s">
        <v>15</v>
      </c>
      <c r="N77" s="12"/>
      <c r="O77" s="22" t="s">
        <v>654</v>
      </c>
      <c r="P77" s="18">
        <v>30.0</v>
      </c>
      <c r="Q77" s="11" t="s">
        <v>14</v>
      </c>
      <c r="R77" s="24" t="s">
        <v>29</v>
      </c>
      <c r="S77" s="38" t="s">
        <v>655</v>
      </c>
      <c r="T77" s="18">
        <v>30.0</v>
      </c>
      <c r="U77" s="11" t="s">
        <v>14</v>
      </c>
      <c r="V77" s="24" t="s">
        <v>29</v>
      </c>
      <c r="W77" s="29" t="s">
        <v>656</v>
      </c>
      <c r="X77" s="18">
        <v>30.0</v>
      </c>
      <c r="Y77" s="11" t="s">
        <v>14</v>
      </c>
      <c r="Z77" s="24" t="s">
        <v>23</v>
      </c>
      <c r="AA77" s="36">
        <f t="shared" si="11"/>
        <v>3</v>
      </c>
      <c r="AB77" s="36">
        <f t="shared" si="12"/>
        <v>2</v>
      </c>
      <c r="AC77" s="36">
        <f t="shared" si="13"/>
        <v>0</v>
      </c>
      <c r="AD77" s="36">
        <f t="shared" si="14"/>
        <v>0</v>
      </c>
      <c r="AE77" s="36">
        <f t="shared" si="15"/>
        <v>0</v>
      </c>
      <c r="AF77" s="10" t="s">
        <v>43</v>
      </c>
    </row>
    <row r="78">
      <c r="A78" s="9">
        <v>6.0</v>
      </c>
      <c r="B78" s="10" t="s">
        <v>49</v>
      </c>
      <c r="C78" s="10"/>
      <c r="D78" s="9"/>
      <c r="E78" s="12" t="s">
        <v>15</v>
      </c>
      <c r="F78" s="12"/>
      <c r="G78" s="10"/>
      <c r="H78" s="9"/>
      <c r="I78" s="10"/>
      <c r="J78" s="21"/>
      <c r="K78" s="10"/>
      <c r="L78" s="9"/>
      <c r="M78" s="11" t="s">
        <v>15</v>
      </c>
      <c r="N78" s="12"/>
      <c r="O78" s="10"/>
      <c r="P78" s="9"/>
      <c r="Q78" s="11" t="s">
        <v>15</v>
      </c>
      <c r="R78" s="21"/>
      <c r="S78" s="37"/>
      <c r="T78" s="9"/>
      <c r="U78" s="11" t="s">
        <v>15</v>
      </c>
      <c r="V78" s="21"/>
      <c r="W78" s="37"/>
      <c r="X78" s="9"/>
      <c r="Y78" s="10"/>
      <c r="Z78" s="21"/>
      <c r="AA78" s="36">
        <f t="shared" si="11"/>
        <v>0</v>
      </c>
      <c r="AB78" s="36">
        <f t="shared" si="12"/>
        <v>4</v>
      </c>
      <c r="AC78" s="36">
        <f t="shared" si="13"/>
        <v>0</v>
      </c>
      <c r="AD78" s="36">
        <f t="shared" si="14"/>
        <v>0</v>
      </c>
      <c r="AE78" s="36">
        <f t="shared" si="15"/>
        <v>0</v>
      </c>
      <c r="AF78" s="10" t="s">
        <v>49</v>
      </c>
    </row>
    <row r="79">
      <c r="A79" s="9">
        <v>7.0</v>
      </c>
      <c r="B79" s="10" t="s">
        <v>50</v>
      </c>
      <c r="C79" s="11" t="s">
        <v>581</v>
      </c>
      <c r="D79" s="18">
        <v>5.0</v>
      </c>
      <c r="E79" s="12" t="s">
        <v>14</v>
      </c>
      <c r="F79" s="12" t="s">
        <v>29</v>
      </c>
      <c r="G79" s="11"/>
      <c r="H79" s="18"/>
      <c r="I79" s="11"/>
      <c r="J79" s="34"/>
      <c r="K79" s="11" t="s">
        <v>283</v>
      </c>
      <c r="L79" s="9"/>
      <c r="M79" s="10"/>
      <c r="N79" s="12"/>
      <c r="O79" s="11" t="s">
        <v>569</v>
      </c>
      <c r="P79" s="18">
        <v>5.0</v>
      </c>
      <c r="Q79" s="11" t="s">
        <v>14</v>
      </c>
      <c r="R79" s="24" t="s">
        <v>27</v>
      </c>
      <c r="S79" s="29" t="s">
        <v>657</v>
      </c>
      <c r="T79" s="18">
        <v>5.0</v>
      </c>
      <c r="U79" s="10"/>
      <c r="V79" s="21"/>
      <c r="W79" s="29" t="s">
        <v>658</v>
      </c>
      <c r="X79" s="18">
        <v>5.0</v>
      </c>
      <c r="Y79" s="11" t="s">
        <v>14</v>
      </c>
      <c r="Z79" s="24" t="s">
        <v>29</v>
      </c>
      <c r="AA79" s="36">
        <f t="shared" si="11"/>
        <v>3</v>
      </c>
      <c r="AB79" s="36">
        <f t="shared" si="12"/>
        <v>0</v>
      </c>
      <c r="AC79" s="36">
        <f t="shared" si="13"/>
        <v>0</v>
      </c>
      <c r="AD79" s="36">
        <f t="shared" si="14"/>
        <v>0</v>
      </c>
      <c r="AE79" s="36">
        <f t="shared" si="15"/>
        <v>0</v>
      </c>
      <c r="AF79" s="10" t="s">
        <v>50</v>
      </c>
    </row>
    <row r="80">
      <c r="A80" s="9">
        <v>8.0</v>
      </c>
      <c r="B80" s="10" t="s">
        <v>61</v>
      </c>
      <c r="C80" s="11" t="s">
        <v>659</v>
      </c>
      <c r="D80" s="18">
        <v>30.0</v>
      </c>
      <c r="E80" s="11" t="s">
        <v>14</v>
      </c>
      <c r="F80" s="12" t="s">
        <v>29</v>
      </c>
      <c r="G80" s="22" t="s">
        <v>660</v>
      </c>
      <c r="H80" s="18">
        <v>30.0</v>
      </c>
      <c r="I80" s="11" t="s">
        <v>14</v>
      </c>
      <c r="J80" s="24" t="s">
        <v>27</v>
      </c>
      <c r="K80" s="22" t="s">
        <v>660</v>
      </c>
      <c r="L80" s="18">
        <v>30.0</v>
      </c>
      <c r="M80" s="10"/>
      <c r="N80" s="12" t="s">
        <v>27</v>
      </c>
      <c r="O80" s="22" t="s">
        <v>661</v>
      </c>
      <c r="P80" s="18">
        <v>30.0</v>
      </c>
      <c r="Q80" s="11" t="s">
        <v>14</v>
      </c>
      <c r="R80" s="24" t="s">
        <v>27</v>
      </c>
      <c r="S80" s="38" t="s">
        <v>662</v>
      </c>
      <c r="T80" s="18">
        <v>30.0</v>
      </c>
      <c r="U80" s="11" t="s">
        <v>14</v>
      </c>
      <c r="V80" s="24" t="s">
        <v>29</v>
      </c>
      <c r="W80" s="38" t="s">
        <v>654</v>
      </c>
      <c r="X80" s="18">
        <v>30.0</v>
      </c>
      <c r="Y80" s="11" t="s">
        <v>14</v>
      </c>
      <c r="Z80" s="24" t="s">
        <v>29</v>
      </c>
      <c r="AA80" s="36">
        <f t="shared" si="11"/>
        <v>5</v>
      </c>
      <c r="AB80" s="36">
        <f t="shared" si="12"/>
        <v>0</v>
      </c>
      <c r="AC80" s="36">
        <f t="shared" si="13"/>
        <v>0</v>
      </c>
      <c r="AD80" s="36">
        <f t="shared" si="14"/>
        <v>0</v>
      </c>
      <c r="AE80" s="36">
        <f t="shared" si="15"/>
        <v>0</v>
      </c>
      <c r="AF80" s="10" t="s">
        <v>61</v>
      </c>
    </row>
    <row r="81">
      <c r="A81" s="9">
        <v>9.0</v>
      </c>
      <c r="B81" s="11" t="s">
        <v>70</v>
      </c>
      <c r="C81" s="11" t="s">
        <v>581</v>
      </c>
      <c r="D81" s="18">
        <v>6.0</v>
      </c>
      <c r="E81" s="11"/>
      <c r="F81" s="12"/>
      <c r="G81" s="22" t="s">
        <v>663</v>
      </c>
      <c r="H81" s="18">
        <v>6.0</v>
      </c>
      <c r="I81" s="11" t="s">
        <v>14</v>
      </c>
      <c r="J81" s="24" t="s">
        <v>27</v>
      </c>
      <c r="K81" s="11" t="s">
        <v>653</v>
      </c>
      <c r="L81" s="18">
        <v>6.0</v>
      </c>
      <c r="M81" s="11" t="s">
        <v>14</v>
      </c>
      <c r="N81" s="12" t="s">
        <v>27</v>
      </c>
      <c r="O81" s="11" t="s">
        <v>664</v>
      </c>
      <c r="P81" s="18">
        <v>6.0</v>
      </c>
      <c r="Q81" s="11" t="s">
        <v>14</v>
      </c>
      <c r="R81" s="24" t="s">
        <v>29</v>
      </c>
      <c r="S81" s="29" t="s">
        <v>665</v>
      </c>
      <c r="T81" s="18">
        <v>6.0</v>
      </c>
      <c r="U81" s="11" t="s">
        <v>14</v>
      </c>
      <c r="V81" s="24" t="s">
        <v>29</v>
      </c>
      <c r="W81" s="37"/>
      <c r="X81" s="9"/>
      <c r="Y81" s="10"/>
      <c r="Z81" s="21"/>
      <c r="AA81" s="36">
        <f t="shared" si="11"/>
        <v>4</v>
      </c>
      <c r="AB81" s="36">
        <f t="shared" si="12"/>
        <v>0</v>
      </c>
      <c r="AC81" s="36">
        <f t="shared" si="13"/>
        <v>0</v>
      </c>
      <c r="AD81" s="36">
        <f t="shared" si="14"/>
        <v>0</v>
      </c>
      <c r="AE81" s="36">
        <f t="shared" si="15"/>
        <v>0</v>
      </c>
      <c r="AF81" s="11" t="s">
        <v>70</v>
      </c>
    </row>
    <row r="82">
      <c r="A82" s="9">
        <v>10.0</v>
      </c>
      <c r="B82" s="10" t="s">
        <v>75</v>
      </c>
      <c r="C82" s="11" t="s">
        <v>572</v>
      </c>
      <c r="D82" s="18">
        <v>5.0</v>
      </c>
      <c r="E82" s="12" t="s">
        <v>14</v>
      </c>
      <c r="F82" s="12" t="s">
        <v>29</v>
      </c>
      <c r="G82" s="10"/>
      <c r="H82" s="9"/>
      <c r="I82" s="10"/>
      <c r="J82" s="21"/>
      <c r="K82" s="11" t="s">
        <v>653</v>
      </c>
      <c r="L82" s="18">
        <v>5.0</v>
      </c>
      <c r="M82" s="11" t="s">
        <v>14</v>
      </c>
      <c r="N82" s="12" t="s">
        <v>29</v>
      </c>
      <c r="O82" s="11" t="s">
        <v>653</v>
      </c>
      <c r="P82" s="9"/>
      <c r="Q82" s="11" t="s">
        <v>14</v>
      </c>
      <c r="R82" s="24" t="s">
        <v>27</v>
      </c>
      <c r="S82" s="29" t="s">
        <v>603</v>
      </c>
      <c r="T82" s="18">
        <v>5.0</v>
      </c>
      <c r="U82" s="11" t="s">
        <v>14</v>
      </c>
      <c r="V82" s="24" t="s">
        <v>29</v>
      </c>
      <c r="W82" s="29" t="s">
        <v>666</v>
      </c>
      <c r="X82" s="18">
        <v>5.0</v>
      </c>
      <c r="Y82" s="11" t="s">
        <v>14</v>
      </c>
      <c r="Z82" s="24" t="s">
        <v>23</v>
      </c>
      <c r="AA82" s="36">
        <f t="shared" si="11"/>
        <v>5</v>
      </c>
      <c r="AB82" s="36">
        <f t="shared" si="12"/>
        <v>0</v>
      </c>
      <c r="AC82" s="36">
        <f t="shared" si="13"/>
        <v>0</v>
      </c>
      <c r="AD82" s="36">
        <f t="shared" si="14"/>
        <v>0</v>
      </c>
      <c r="AE82" s="36">
        <f t="shared" si="15"/>
        <v>0</v>
      </c>
      <c r="AF82" s="10" t="s">
        <v>75</v>
      </c>
    </row>
    <row r="83">
      <c r="A83" s="9">
        <v>11.0</v>
      </c>
      <c r="B83" s="10" t="s">
        <v>83</v>
      </c>
      <c r="C83" s="11" t="s">
        <v>581</v>
      </c>
      <c r="D83" s="18">
        <v>2.0</v>
      </c>
      <c r="E83" s="11" t="s">
        <v>14</v>
      </c>
      <c r="F83" s="12" t="s">
        <v>29</v>
      </c>
      <c r="G83" s="11"/>
      <c r="H83" s="18"/>
      <c r="I83" s="11"/>
      <c r="J83" s="34"/>
      <c r="K83" s="11" t="s">
        <v>667</v>
      </c>
      <c r="L83" s="18">
        <v>2.0</v>
      </c>
      <c r="M83" s="11" t="s">
        <v>14</v>
      </c>
      <c r="N83" s="12" t="s">
        <v>27</v>
      </c>
      <c r="O83" s="11" t="s">
        <v>619</v>
      </c>
      <c r="P83" s="18">
        <v>2.0</v>
      </c>
      <c r="Q83" s="11" t="s">
        <v>14</v>
      </c>
      <c r="R83" s="24" t="s">
        <v>27</v>
      </c>
      <c r="S83" s="29" t="s">
        <v>668</v>
      </c>
      <c r="T83" s="18">
        <v>2.0</v>
      </c>
      <c r="U83" s="11" t="s">
        <v>14</v>
      </c>
      <c r="V83" s="24" t="s">
        <v>29</v>
      </c>
      <c r="W83" s="37"/>
      <c r="X83" s="9"/>
      <c r="Y83" s="11" t="s">
        <v>17</v>
      </c>
      <c r="Z83" s="21"/>
      <c r="AA83" s="36">
        <f t="shared" si="11"/>
        <v>4</v>
      </c>
      <c r="AB83" s="36">
        <f t="shared" si="12"/>
        <v>0</v>
      </c>
      <c r="AC83" s="36">
        <f t="shared" si="13"/>
        <v>0</v>
      </c>
      <c r="AD83" s="36">
        <f t="shared" si="14"/>
        <v>1</v>
      </c>
      <c r="AE83" s="36">
        <f t="shared" si="15"/>
        <v>0</v>
      </c>
      <c r="AF83" s="10" t="s">
        <v>83</v>
      </c>
    </row>
    <row r="84">
      <c r="A84" s="9">
        <v>12.0</v>
      </c>
      <c r="B84" s="10" t="s">
        <v>87</v>
      </c>
      <c r="C84" s="11"/>
      <c r="D84" s="18"/>
      <c r="E84" s="11"/>
      <c r="F84" s="12"/>
      <c r="G84" s="11"/>
      <c r="H84" s="18"/>
      <c r="I84" s="11"/>
      <c r="J84" s="34"/>
      <c r="K84" s="10"/>
      <c r="L84" s="9"/>
      <c r="M84" s="10"/>
      <c r="N84" s="12"/>
      <c r="O84" s="10"/>
      <c r="P84" s="9"/>
      <c r="Q84" s="10"/>
      <c r="R84" s="21"/>
      <c r="S84" s="37"/>
      <c r="T84" s="9"/>
      <c r="U84" s="10"/>
      <c r="V84" s="21"/>
      <c r="W84" s="37"/>
      <c r="X84" s="9"/>
      <c r="Y84" s="10"/>
      <c r="Z84" s="21"/>
      <c r="AA84" s="36">
        <f t="shared" si="11"/>
        <v>0</v>
      </c>
      <c r="AB84" s="36">
        <f t="shared" si="12"/>
        <v>0</v>
      </c>
      <c r="AC84" s="36">
        <f t="shared" si="13"/>
        <v>0</v>
      </c>
      <c r="AD84" s="36">
        <f t="shared" si="14"/>
        <v>0</v>
      </c>
      <c r="AE84" s="36">
        <f t="shared" si="15"/>
        <v>0</v>
      </c>
      <c r="AF84" s="10" t="s">
        <v>87</v>
      </c>
    </row>
    <row r="85">
      <c r="A85" s="9">
        <v>13.0</v>
      </c>
      <c r="B85" s="10" t="s">
        <v>90</v>
      </c>
      <c r="C85" s="11" t="s">
        <v>283</v>
      </c>
      <c r="D85" s="18"/>
      <c r="E85" s="11"/>
      <c r="F85" s="12"/>
      <c r="G85" s="10"/>
      <c r="H85" s="9"/>
      <c r="I85" s="10"/>
      <c r="J85" s="21"/>
      <c r="K85" s="11" t="s">
        <v>283</v>
      </c>
      <c r="L85" s="9"/>
      <c r="M85" s="10"/>
      <c r="N85" s="12"/>
      <c r="O85" s="11" t="s">
        <v>283</v>
      </c>
      <c r="P85" s="9"/>
      <c r="Q85" s="11" t="s">
        <v>16</v>
      </c>
      <c r="R85" s="21"/>
      <c r="S85" s="37"/>
      <c r="T85" s="9"/>
      <c r="U85" s="11" t="s">
        <v>16</v>
      </c>
      <c r="V85" s="21"/>
      <c r="W85" s="37"/>
      <c r="X85" s="9"/>
      <c r="Y85" s="10"/>
      <c r="Z85" s="21"/>
      <c r="AA85" s="36">
        <f t="shared" si="11"/>
        <v>0</v>
      </c>
      <c r="AB85" s="36">
        <f t="shared" si="12"/>
        <v>0</v>
      </c>
      <c r="AC85" s="36">
        <f t="shared" si="13"/>
        <v>2</v>
      </c>
      <c r="AD85" s="36">
        <f t="shared" si="14"/>
        <v>0</v>
      </c>
      <c r="AE85" s="36">
        <f t="shared" si="15"/>
        <v>0</v>
      </c>
      <c r="AF85" s="10" t="s">
        <v>90</v>
      </c>
    </row>
    <row r="86">
      <c r="A86" s="9">
        <v>14.0</v>
      </c>
      <c r="B86" s="10" t="s">
        <v>94</v>
      </c>
      <c r="C86" s="11" t="s">
        <v>669</v>
      </c>
      <c r="D86" s="18">
        <v>28.0</v>
      </c>
      <c r="E86" s="11" t="s">
        <v>14</v>
      </c>
      <c r="F86" s="12" t="s">
        <v>29</v>
      </c>
      <c r="G86" s="11"/>
      <c r="H86" s="18"/>
      <c r="I86" s="11"/>
      <c r="J86" s="34"/>
      <c r="K86" s="22" t="s">
        <v>670</v>
      </c>
      <c r="L86" s="18">
        <v>28.0</v>
      </c>
      <c r="M86" s="11" t="s">
        <v>14</v>
      </c>
      <c r="N86" s="12" t="s">
        <v>27</v>
      </c>
      <c r="O86" s="22" t="s">
        <v>671</v>
      </c>
      <c r="P86" s="18">
        <v>29.0</v>
      </c>
      <c r="Q86" s="11" t="s">
        <v>14</v>
      </c>
      <c r="R86" s="24" t="s">
        <v>29</v>
      </c>
      <c r="S86" s="29" t="s">
        <v>672</v>
      </c>
      <c r="T86" s="18">
        <v>28.0</v>
      </c>
      <c r="U86" s="11" t="s">
        <v>14</v>
      </c>
      <c r="V86" s="24" t="s">
        <v>29</v>
      </c>
      <c r="W86" s="29" t="s">
        <v>673</v>
      </c>
      <c r="X86" s="18">
        <v>28.0</v>
      </c>
      <c r="Y86" s="11" t="s">
        <v>14</v>
      </c>
      <c r="Z86" s="24" t="s">
        <v>29</v>
      </c>
      <c r="AA86" s="36">
        <f t="shared" si="11"/>
        <v>5</v>
      </c>
      <c r="AB86" s="36">
        <f t="shared" si="12"/>
        <v>0</v>
      </c>
      <c r="AC86" s="36">
        <f t="shared" si="13"/>
        <v>0</v>
      </c>
      <c r="AD86" s="36">
        <f t="shared" si="14"/>
        <v>0</v>
      </c>
      <c r="AE86" s="36">
        <f t="shared" si="15"/>
        <v>0</v>
      </c>
      <c r="AF86" s="10" t="s">
        <v>94</v>
      </c>
    </row>
    <row r="87">
      <c r="A87" s="9">
        <v>15.0</v>
      </c>
      <c r="B87" s="10" t="s">
        <v>105</v>
      </c>
      <c r="C87" s="11" t="s">
        <v>674</v>
      </c>
      <c r="D87" s="18">
        <v>30.0</v>
      </c>
      <c r="E87" s="11" t="s">
        <v>14</v>
      </c>
      <c r="F87" s="12" t="s">
        <v>29</v>
      </c>
      <c r="G87" s="22" t="s">
        <v>675</v>
      </c>
      <c r="H87" s="18">
        <v>30.0</v>
      </c>
      <c r="I87" s="11" t="s">
        <v>14</v>
      </c>
      <c r="J87" s="24" t="s">
        <v>27</v>
      </c>
      <c r="K87" s="22" t="s">
        <v>675</v>
      </c>
      <c r="L87" s="18">
        <v>30.0</v>
      </c>
      <c r="M87" s="11" t="s">
        <v>14</v>
      </c>
      <c r="N87" s="12" t="s">
        <v>27</v>
      </c>
      <c r="O87" s="11" t="s">
        <v>648</v>
      </c>
      <c r="P87" s="9"/>
      <c r="Q87" s="11" t="s">
        <v>15</v>
      </c>
      <c r="R87" s="21"/>
      <c r="S87" s="38" t="s">
        <v>660</v>
      </c>
      <c r="T87" s="18">
        <v>30.0</v>
      </c>
      <c r="U87" s="11" t="s">
        <v>14</v>
      </c>
      <c r="V87" s="24" t="s">
        <v>29</v>
      </c>
      <c r="W87" s="38" t="s">
        <v>661</v>
      </c>
      <c r="X87" s="18">
        <v>30.0</v>
      </c>
      <c r="Y87" s="11" t="s">
        <v>14</v>
      </c>
      <c r="Z87" s="24" t="s">
        <v>29</v>
      </c>
      <c r="AA87" s="36">
        <f t="shared" si="11"/>
        <v>5</v>
      </c>
      <c r="AB87" s="36">
        <f t="shared" si="12"/>
        <v>1</v>
      </c>
      <c r="AC87" s="36">
        <f t="shared" si="13"/>
        <v>0</v>
      </c>
      <c r="AD87" s="36">
        <f t="shared" si="14"/>
        <v>0</v>
      </c>
      <c r="AE87" s="36">
        <f t="shared" si="15"/>
        <v>0</v>
      </c>
      <c r="AF87" s="10" t="s">
        <v>105</v>
      </c>
    </row>
    <row r="88">
      <c r="A88" s="9">
        <v>16.0</v>
      </c>
      <c r="B88" s="10" t="s">
        <v>113</v>
      </c>
      <c r="C88" s="11" t="s">
        <v>676</v>
      </c>
      <c r="D88" s="18"/>
      <c r="E88" s="11" t="s">
        <v>15</v>
      </c>
      <c r="F88" s="12"/>
      <c r="G88" s="10"/>
      <c r="H88" s="9"/>
      <c r="I88" s="10"/>
      <c r="J88" s="21"/>
      <c r="K88" s="11" t="s">
        <v>639</v>
      </c>
      <c r="L88" s="18">
        <v>1.0</v>
      </c>
      <c r="M88" s="11" t="s">
        <v>14</v>
      </c>
      <c r="N88" s="12" t="s">
        <v>29</v>
      </c>
      <c r="O88" s="11" t="s">
        <v>558</v>
      </c>
      <c r="P88" s="18">
        <v>1.0</v>
      </c>
      <c r="Q88" s="11" t="s">
        <v>14</v>
      </c>
      <c r="R88" s="24" t="s">
        <v>27</v>
      </c>
      <c r="S88" s="29" t="s">
        <v>677</v>
      </c>
      <c r="T88" s="18">
        <v>1.0</v>
      </c>
      <c r="U88" s="11" t="s">
        <v>14</v>
      </c>
      <c r="V88" s="24" t="s">
        <v>29</v>
      </c>
      <c r="W88" s="29" t="s">
        <v>678</v>
      </c>
      <c r="X88" s="18">
        <v>1.0</v>
      </c>
      <c r="Y88" s="11" t="s">
        <v>14</v>
      </c>
      <c r="Z88" s="24" t="s">
        <v>29</v>
      </c>
      <c r="AA88" s="36">
        <f t="shared" si="11"/>
        <v>4</v>
      </c>
      <c r="AB88" s="36">
        <f t="shared" si="12"/>
        <v>1</v>
      </c>
      <c r="AC88" s="36">
        <f t="shared" si="13"/>
        <v>0</v>
      </c>
      <c r="AD88" s="36">
        <f t="shared" si="14"/>
        <v>0</v>
      </c>
      <c r="AE88" s="36">
        <f t="shared" si="15"/>
        <v>0</v>
      </c>
      <c r="AF88" s="10" t="s">
        <v>113</v>
      </c>
    </row>
    <row r="89">
      <c r="A89" s="9">
        <v>17.0</v>
      </c>
      <c r="B89" s="10" t="s">
        <v>122</v>
      </c>
      <c r="C89" s="11" t="s">
        <v>557</v>
      </c>
      <c r="D89" s="18">
        <v>8.0</v>
      </c>
      <c r="E89" s="11" t="s">
        <v>14</v>
      </c>
      <c r="F89" s="12" t="s">
        <v>29</v>
      </c>
      <c r="G89" s="10"/>
      <c r="H89" s="9"/>
      <c r="I89" s="10"/>
      <c r="J89" s="21"/>
      <c r="K89" s="11" t="s">
        <v>653</v>
      </c>
      <c r="L89" s="18">
        <v>8.0</v>
      </c>
      <c r="M89" s="11" t="s">
        <v>14</v>
      </c>
      <c r="N89" s="12" t="s">
        <v>29</v>
      </c>
      <c r="O89" s="10"/>
      <c r="P89" s="9"/>
      <c r="Q89" s="10"/>
      <c r="R89" s="21"/>
      <c r="S89" s="29" t="s">
        <v>679</v>
      </c>
      <c r="T89" s="18">
        <v>8.0</v>
      </c>
      <c r="U89" s="11" t="s">
        <v>14</v>
      </c>
      <c r="V89" s="24" t="s">
        <v>29</v>
      </c>
      <c r="W89" s="37"/>
      <c r="X89" s="9"/>
      <c r="Y89" s="10"/>
      <c r="Z89" s="21"/>
      <c r="AA89" s="36">
        <f t="shared" si="11"/>
        <v>3</v>
      </c>
      <c r="AB89" s="36">
        <f t="shared" si="12"/>
        <v>0</v>
      </c>
      <c r="AC89" s="36">
        <f t="shared" si="13"/>
        <v>0</v>
      </c>
      <c r="AD89" s="36">
        <f t="shared" si="14"/>
        <v>0</v>
      </c>
      <c r="AE89" s="36">
        <f t="shared" si="15"/>
        <v>0</v>
      </c>
      <c r="AF89" s="10" t="s">
        <v>122</v>
      </c>
    </row>
    <row r="90">
      <c r="A90" s="9">
        <v>18.0</v>
      </c>
      <c r="B90" s="10" t="s">
        <v>128</v>
      </c>
      <c r="C90" s="11" t="s">
        <v>283</v>
      </c>
      <c r="D90" s="9"/>
      <c r="E90" s="12"/>
      <c r="F90" s="12"/>
      <c r="G90" s="22" t="s">
        <v>680</v>
      </c>
      <c r="H90" s="18">
        <v>30.0</v>
      </c>
      <c r="I90" s="11" t="s">
        <v>14</v>
      </c>
      <c r="J90" s="24" t="s">
        <v>27</v>
      </c>
      <c r="K90" s="22" t="s">
        <v>675</v>
      </c>
      <c r="L90" s="18">
        <v>30.0</v>
      </c>
      <c r="M90" s="11" t="s">
        <v>14</v>
      </c>
      <c r="N90" s="12" t="s">
        <v>27</v>
      </c>
      <c r="O90" s="22" t="s">
        <v>329</v>
      </c>
      <c r="P90" s="18">
        <v>30.0</v>
      </c>
      <c r="Q90" s="11" t="s">
        <v>14</v>
      </c>
      <c r="R90" s="24" t="s">
        <v>27</v>
      </c>
      <c r="S90" s="29" t="s">
        <v>648</v>
      </c>
      <c r="T90" s="9"/>
      <c r="U90" s="11" t="s">
        <v>15</v>
      </c>
      <c r="V90" s="21"/>
      <c r="W90" s="37"/>
      <c r="X90" s="9"/>
      <c r="Y90" s="10"/>
      <c r="Z90" s="21"/>
      <c r="AA90" s="36">
        <f t="shared" si="11"/>
        <v>3</v>
      </c>
      <c r="AB90" s="36">
        <f t="shared" si="12"/>
        <v>1</v>
      </c>
      <c r="AC90" s="36">
        <f t="shared" si="13"/>
        <v>0</v>
      </c>
      <c r="AD90" s="36">
        <f t="shared" si="14"/>
        <v>0</v>
      </c>
      <c r="AE90" s="36">
        <f t="shared" si="15"/>
        <v>0</v>
      </c>
      <c r="AF90" s="10" t="s">
        <v>128</v>
      </c>
    </row>
    <row r="91">
      <c r="A91" s="9">
        <v>19.0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9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9">
        <v>20.0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9">
        <v>21.0</v>
      </c>
    </row>
    <row r="94">
      <c r="A94" s="9">
        <v>22.0</v>
      </c>
    </row>
    <row r="95">
      <c r="A95" s="9">
        <v>23.0</v>
      </c>
    </row>
    <row r="96">
      <c r="A96" s="9">
        <v>24.0</v>
      </c>
    </row>
    <row r="97">
      <c r="A97" s="9">
        <v>25.0</v>
      </c>
    </row>
    <row r="100">
      <c r="A100" s="1" t="s">
        <v>542</v>
      </c>
    </row>
    <row r="103">
      <c r="A103" s="31" t="s">
        <v>681</v>
      </c>
    </row>
    <row r="104">
      <c r="A104" s="3" t="s">
        <v>2</v>
      </c>
      <c r="B104" s="3" t="s">
        <v>3</v>
      </c>
      <c r="C104" s="32" t="s">
        <v>354</v>
      </c>
      <c r="G104" s="32" t="s">
        <v>544</v>
      </c>
      <c r="K104" s="32" t="s">
        <v>545</v>
      </c>
      <c r="O104" s="32" t="s">
        <v>357</v>
      </c>
      <c r="S104" s="32" t="s">
        <v>546</v>
      </c>
      <c r="W104" s="32" t="s">
        <v>547</v>
      </c>
      <c r="AA104" s="33" t="s">
        <v>548</v>
      </c>
    </row>
    <row r="105">
      <c r="C105" s="6" t="s">
        <v>549</v>
      </c>
      <c r="D105" s="6" t="s">
        <v>550</v>
      </c>
      <c r="E105" s="6"/>
      <c r="F105" s="7" t="s">
        <v>12</v>
      </c>
      <c r="G105" s="6" t="s">
        <v>549</v>
      </c>
      <c r="H105" s="6" t="s">
        <v>550</v>
      </c>
      <c r="I105" s="6"/>
      <c r="J105" s="7" t="s">
        <v>12</v>
      </c>
      <c r="K105" s="6" t="s">
        <v>549</v>
      </c>
      <c r="L105" s="6" t="s">
        <v>550</v>
      </c>
      <c r="M105" s="6"/>
      <c r="N105" s="7" t="s">
        <v>12</v>
      </c>
      <c r="O105" s="6" t="s">
        <v>549</v>
      </c>
      <c r="P105" s="6" t="s">
        <v>550</v>
      </c>
      <c r="Q105" s="6"/>
      <c r="R105" s="7" t="s">
        <v>12</v>
      </c>
      <c r="S105" s="6" t="s">
        <v>549</v>
      </c>
      <c r="T105" s="6" t="s">
        <v>550</v>
      </c>
      <c r="U105" s="6"/>
      <c r="V105" s="7" t="s">
        <v>12</v>
      </c>
      <c r="W105" s="6" t="s">
        <v>549</v>
      </c>
      <c r="X105" s="6" t="s">
        <v>550</v>
      </c>
      <c r="Y105" s="6"/>
      <c r="Z105" s="7" t="s">
        <v>12</v>
      </c>
      <c r="AA105" s="33" t="s">
        <v>14</v>
      </c>
      <c r="AB105" s="33" t="s">
        <v>15</v>
      </c>
      <c r="AC105" s="33" t="s">
        <v>16</v>
      </c>
      <c r="AD105" s="33" t="s">
        <v>17</v>
      </c>
      <c r="AE105" s="33" t="s">
        <v>18</v>
      </c>
    </row>
    <row r="106">
      <c r="A106" s="9">
        <v>1.0</v>
      </c>
      <c r="B106" s="10" t="s">
        <v>19</v>
      </c>
      <c r="C106" s="29"/>
      <c r="D106" s="18"/>
      <c r="E106" s="11"/>
      <c r="F106" s="12"/>
      <c r="G106" s="11"/>
      <c r="H106" s="18"/>
      <c r="I106" s="11"/>
      <c r="J106" s="34"/>
      <c r="K106" s="10"/>
      <c r="L106" s="9"/>
      <c r="M106" s="10"/>
      <c r="N106" s="12"/>
      <c r="O106" s="10"/>
      <c r="P106" s="9"/>
      <c r="Q106" s="10"/>
      <c r="R106" s="21"/>
      <c r="S106" s="10"/>
      <c r="T106" s="9"/>
      <c r="U106" s="10"/>
      <c r="V106" s="21"/>
      <c r="W106" s="10"/>
      <c r="X106" s="9"/>
      <c r="Y106" s="12"/>
      <c r="Z106" s="34"/>
      <c r="AA106" s="36">
        <f t="shared" ref="AA106:AA123" si="16">COUNTIF(C106:Y106,"H")</f>
        <v>0</v>
      </c>
      <c r="AB106" s="36">
        <f t="shared" ref="AB106:AB123" si="17">COUNTIF(C106:Y106,"I")</f>
        <v>0</v>
      </c>
      <c r="AC106" s="36">
        <f t="shared" ref="AC106:AC123" si="18">COUNTIF(C106:Y106,"TD")</f>
        <v>0</v>
      </c>
      <c r="AD106" s="36">
        <f t="shared" ref="AD106:AD123" si="19">COUNTIF(C106:Y106,"S")</f>
        <v>0</v>
      </c>
      <c r="AE106" s="36">
        <f t="shared" ref="AE106:AE123" si="20">COUNTIF(C106:Y106,"A")</f>
        <v>0</v>
      </c>
      <c r="AF106" s="10" t="s">
        <v>19</v>
      </c>
    </row>
    <row r="107">
      <c r="A107" s="9">
        <v>2.0</v>
      </c>
      <c r="B107" s="10" t="s">
        <v>24</v>
      </c>
      <c r="C107" s="38" t="s">
        <v>682</v>
      </c>
      <c r="D107" s="18">
        <v>29.0</v>
      </c>
      <c r="E107" s="12" t="s">
        <v>14</v>
      </c>
      <c r="F107" s="12" t="s">
        <v>29</v>
      </c>
      <c r="G107" s="22" t="s">
        <v>683</v>
      </c>
      <c r="H107" s="18">
        <v>29.0</v>
      </c>
      <c r="I107" s="11" t="s">
        <v>14</v>
      </c>
      <c r="J107" s="24" t="s">
        <v>29</v>
      </c>
      <c r="K107" s="11" t="s">
        <v>684</v>
      </c>
      <c r="L107" s="18">
        <v>29.0</v>
      </c>
      <c r="M107" s="10"/>
      <c r="N107" s="12" t="s">
        <v>23</v>
      </c>
      <c r="O107" s="10"/>
      <c r="P107" s="9"/>
      <c r="Q107" s="10"/>
      <c r="R107" s="21"/>
      <c r="S107" s="11" t="s">
        <v>685</v>
      </c>
      <c r="T107" s="18">
        <v>30.0</v>
      </c>
      <c r="U107" s="11" t="s">
        <v>14</v>
      </c>
      <c r="V107" s="24" t="s">
        <v>23</v>
      </c>
      <c r="W107" s="10"/>
      <c r="X107" s="18">
        <v>30.0</v>
      </c>
      <c r="Y107" s="11" t="s">
        <v>14</v>
      </c>
      <c r="Z107" s="24" t="s">
        <v>23</v>
      </c>
      <c r="AA107" s="36">
        <f t="shared" si="16"/>
        <v>4</v>
      </c>
      <c r="AB107" s="36">
        <f t="shared" si="17"/>
        <v>0</v>
      </c>
      <c r="AC107" s="36">
        <f t="shared" si="18"/>
        <v>0</v>
      </c>
      <c r="AD107" s="36">
        <f t="shared" si="19"/>
        <v>0</v>
      </c>
      <c r="AE107" s="36">
        <f t="shared" si="20"/>
        <v>0</v>
      </c>
      <c r="AF107" s="10" t="s">
        <v>24</v>
      </c>
    </row>
    <row r="108">
      <c r="A108" s="9">
        <v>3.0</v>
      </c>
      <c r="B108" s="10" t="s">
        <v>34</v>
      </c>
      <c r="C108" s="29" t="s">
        <v>283</v>
      </c>
      <c r="D108" s="18"/>
      <c r="E108" s="11"/>
      <c r="F108" s="12"/>
      <c r="G108" s="11"/>
      <c r="H108" s="18"/>
      <c r="I108" s="11"/>
      <c r="J108" s="34"/>
      <c r="K108" s="10"/>
      <c r="L108" s="9"/>
      <c r="M108" s="10"/>
      <c r="N108" s="12"/>
      <c r="O108" s="10"/>
      <c r="P108" s="9"/>
      <c r="Q108" s="10"/>
      <c r="R108" s="21"/>
      <c r="S108" s="10"/>
      <c r="T108" s="10"/>
      <c r="U108" s="11" t="s">
        <v>18</v>
      </c>
      <c r="V108" s="21"/>
      <c r="W108" s="10"/>
      <c r="X108" s="9"/>
      <c r="Y108" s="10"/>
      <c r="Z108" s="21"/>
      <c r="AA108" s="36">
        <f t="shared" si="16"/>
        <v>0</v>
      </c>
      <c r="AB108" s="36">
        <f t="shared" si="17"/>
        <v>0</v>
      </c>
      <c r="AC108" s="36">
        <f t="shared" si="18"/>
        <v>0</v>
      </c>
      <c r="AD108" s="36">
        <f t="shared" si="19"/>
        <v>0</v>
      </c>
      <c r="AE108" s="36">
        <f t="shared" si="20"/>
        <v>1</v>
      </c>
      <c r="AF108" s="10" t="s">
        <v>34</v>
      </c>
    </row>
    <row r="109">
      <c r="A109" s="9">
        <v>4.0</v>
      </c>
      <c r="B109" s="10" t="s">
        <v>39</v>
      </c>
      <c r="C109" s="29" t="s">
        <v>686</v>
      </c>
      <c r="D109" s="18">
        <v>4.0</v>
      </c>
      <c r="E109" s="11" t="s">
        <v>14</v>
      </c>
      <c r="F109" s="12" t="s">
        <v>29</v>
      </c>
      <c r="G109" s="11" t="s">
        <v>687</v>
      </c>
      <c r="H109" s="18">
        <v>4.0</v>
      </c>
      <c r="I109" s="11" t="s">
        <v>14</v>
      </c>
      <c r="J109" s="24" t="s">
        <v>23</v>
      </c>
      <c r="K109" s="10"/>
      <c r="L109" s="18"/>
      <c r="M109" s="10"/>
      <c r="N109" s="12"/>
      <c r="O109" s="11" t="s">
        <v>688</v>
      </c>
      <c r="P109" s="18">
        <v>5.0</v>
      </c>
      <c r="Q109" s="11" t="s">
        <v>14</v>
      </c>
      <c r="R109" s="24" t="s">
        <v>23</v>
      </c>
      <c r="S109" s="11" t="s">
        <v>689</v>
      </c>
      <c r="T109" s="18">
        <v>4.0</v>
      </c>
      <c r="U109" s="11" t="s">
        <v>14</v>
      </c>
      <c r="V109" s="24" t="s">
        <v>23</v>
      </c>
      <c r="W109" s="10"/>
      <c r="X109" s="9"/>
      <c r="Y109" s="10"/>
      <c r="Z109" s="21"/>
      <c r="AA109" s="36">
        <f t="shared" si="16"/>
        <v>4</v>
      </c>
      <c r="AB109" s="36">
        <f t="shared" si="17"/>
        <v>0</v>
      </c>
      <c r="AC109" s="36">
        <f t="shared" si="18"/>
        <v>0</v>
      </c>
      <c r="AD109" s="36">
        <f t="shared" si="19"/>
        <v>0</v>
      </c>
      <c r="AE109" s="36">
        <f t="shared" si="20"/>
        <v>0</v>
      </c>
      <c r="AF109" s="10" t="s">
        <v>39</v>
      </c>
    </row>
    <row r="110">
      <c r="A110" s="9">
        <v>5.0</v>
      </c>
      <c r="B110" s="10" t="s">
        <v>43</v>
      </c>
      <c r="C110" s="29"/>
      <c r="D110" s="18"/>
      <c r="E110" s="11"/>
      <c r="F110" s="12"/>
      <c r="G110" s="11" t="s">
        <v>690</v>
      </c>
      <c r="H110" s="18">
        <v>29.0</v>
      </c>
      <c r="I110" s="11" t="s">
        <v>14</v>
      </c>
      <c r="J110" s="24" t="s">
        <v>23</v>
      </c>
      <c r="K110" s="10"/>
      <c r="L110" s="10"/>
      <c r="M110" s="10"/>
      <c r="N110" s="12"/>
      <c r="O110" s="11" t="s">
        <v>691</v>
      </c>
      <c r="P110" s="18">
        <v>29.0</v>
      </c>
      <c r="Q110" s="11" t="s">
        <v>14</v>
      </c>
      <c r="R110" s="24" t="s">
        <v>23</v>
      </c>
      <c r="S110" s="11" t="s">
        <v>692</v>
      </c>
      <c r="T110" s="18">
        <v>30.0</v>
      </c>
      <c r="U110" s="11" t="s">
        <v>14</v>
      </c>
      <c r="V110" s="24" t="s">
        <v>23</v>
      </c>
      <c r="W110" s="11" t="s">
        <v>693</v>
      </c>
      <c r="X110" s="18">
        <v>30.0</v>
      </c>
      <c r="Y110" s="11" t="s">
        <v>14</v>
      </c>
      <c r="Z110" s="24" t="s">
        <v>23</v>
      </c>
      <c r="AA110" s="36">
        <f t="shared" si="16"/>
        <v>4</v>
      </c>
      <c r="AB110" s="36">
        <f t="shared" si="17"/>
        <v>0</v>
      </c>
      <c r="AC110" s="36">
        <f t="shared" si="18"/>
        <v>0</v>
      </c>
      <c r="AD110" s="36">
        <f t="shared" si="19"/>
        <v>0</v>
      </c>
      <c r="AE110" s="36">
        <f t="shared" si="20"/>
        <v>0</v>
      </c>
      <c r="AF110" s="10" t="s">
        <v>43</v>
      </c>
    </row>
    <row r="111">
      <c r="A111" s="9">
        <v>6.0</v>
      </c>
      <c r="B111" s="10" t="s">
        <v>49</v>
      </c>
      <c r="C111" s="37"/>
      <c r="D111" s="9"/>
      <c r="E111" s="12"/>
      <c r="F111" s="12"/>
      <c r="G111" s="10"/>
      <c r="H111" s="9"/>
      <c r="I111" s="11" t="s">
        <v>15</v>
      </c>
      <c r="J111" s="21"/>
      <c r="K111" s="10"/>
      <c r="L111" s="10"/>
      <c r="M111" s="10"/>
      <c r="N111" s="12"/>
      <c r="O111" s="10"/>
      <c r="P111" s="10"/>
      <c r="Q111" s="10"/>
      <c r="R111" s="21"/>
      <c r="S111" s="10"/>
      <c r="T111" s="10"/>
      <c r="U111" s="10"/>
      <c r="V111" s="21"/>
      <c r="W111" s="10"/>
      <c r="X111" s="9"/>
      <c r="Y111" s="10"/>
      <c r="Z111" s="21"/>
      <c r="AA111" s="36">
        <f t="shared" si="16"/>
        <v>0</v>
      </c>
      <c r="AB111" s="36">
        <f t="shared" si="17"/>
        <v>1</v>
      </c>
      <c r="AC111" s="36">
        <f t="shared" si="18"/>
        <v>0</v>
      </c>
      <c r="AD111" s="36">
        <f t="shared" si="19"/>
        <v>0</v>
      </c>
      <c r="AE111" s="36">
        <f t="shared" si="20"/>
        <v>0</v>
      </c>
      <c r="AF111" s="10" t="s">
        <v>49</v>
      </c>
    </row>
    <row r="112">
      <c r="A112" s="9">
        <v>7.0</v>
      </c>
      <c r="B112" s="10" t="s">
        <v>50</v>
      </c>
      <c r="C112" s="29" t="s">
        <v>694</v>
      </c>
      <c r="D112" s="18">
        <v>5.0</v>
      </c>
      <c r="E112" s="12" t="s">
        <v>14</v>
      </c>
      <c r="F112" s="12" t="s">
        <v>29</v>
      </c>
      <c r="G112" s="11" t="s">
        <v>695</v>
      </c>
      <c r="H112" s="18">
        <v>5.0</v>
      </c>
      <c r="I112" s="11" t="s">
        <v>14</v>
      </c>
      <c r="J112" s="24" t="s">
        <v>29</v>
      </c>
      <c r="K112" s="11" t="s">
        <v>696</v>
      </c>
      <c r="L112" s="18">
        <v>5.0</v>
      </c>
      <c r="M112" s="11" t="s">
        <v>14</v>
      </c>
      <c r="N112" s="12" t="s">
        <v>23</v>
      </c>
      <c r="O112" s="10"/>
      <c r="P112" s="10"/>
      <c r="Q112" s="10"/>
      <c r="R112" s="21"/>
      <c r="S112" s="11" t="s">
        <v>697</v>
      </c>
      <c r="T112" s="18">
        <v>5.0</v>
      </c>
      <c r="U112" s="11" t="s">
        <v>14</v>
      </c>
      <c r="V112" s="24" t="s">
        <v>23</v>
      </c>
      <c r="W112" s="22" t="s">
        <v>698</v>
      </c>
      <c r="X112" s="18">
        <v>5.0</v>
      </c>
      <c r="Y112" s="11" t="s">
        <v>14</v>
      </c>
      <c r="Z112" s="24" t="s">
        <v>29</v>
      </c>
      <c r="AA112" s="36">
        <f t="shared" si="16"/>
        <v>5</v>
      </c>
      <c r="AB112" s="36">
        <f t="shared" si="17"/>
        <v>0</v>
      </c>
      <c r="AC112" s="36">
        <f t="shared" si="18"/>
        <v>0</v>
      </c>
      <c r="AD112" s="36">
        <f t="shared" si="19"/>
        <v>0</v>
      </c>
      <c r="AE112" s="36">
        <f t="shared" si="20"/>
        <v>0</v>
      </c>
      <c r="AF112" s="10" t="s">
        <v>50</v>
      </c>
    </row>
    <row r="113">
      <c r="A113" s="9">
        <v>8.0</v>
      </c>
      <c r="B113" s="10" t="s">
        <v>61</v>
      </c>
      <c r="C113" s="38" t="s">
        <v>699</v>
      </c>
      <c r="D113" s="18">
        <v>30.0</v>
      </c>
      <c r="E113" s="11" t="s">
        <v>14</v>
      </c>
      <c r="F113" s="12" t="s">
        <v>29</v>
      </c>
      <c r="G113" s="10"/>
      <c r="H113" s="9"/>
      <c r="I113" s="10"/>
      <c r="J113" s="21"/>
      <c r="K113" s="11" t="s">
        <v>700</v>
      </c>
      <c r="L113" s="18">
        <v>30.0</v>
      </c>
      <c r="M113" s="11" t="s">
        <v>14</v>
      </c>
      <c r="N113" s="12" t="s">
        <v>23</v>
      </c>
      <c r="O113" s="11" t="s">
        <v>701</v>
      </c>
      <c r="P113" s="18">
        <v>30.0</v>
      </c>
      <c r="Q113" s="11" t="s">
        <v>14</v>
      </c>
      <c r="R113" s="24" t="s">
        <v>23</v>
      </c>
      <c r="S113" s="11" t="s">
        <v>702</v>
      </c>
      <c r="T113" s="18">
        <v>30.0</v>
      </c>
      <c r="U113" s="11" t="s">
        <v>14</v>
      </c>
      <c r="V113" s="24" t="s">
        <v>23</v>
      </c>
      <c r="W113" s="10"/>
      <c r="X113" s="9"/>
      <c r="Y113" s="10"/>
      <c r="Z113" s="21"/>
      <c r="AA113" s="36">
        <f t="shared" si="16"/>
        <v>4</v>
      </c>
      <c r="AB113" s="36">
        <f t="shared" si="17"/>
        <v>0</v>
      </c>
      <c r="AC113" s="36">
        <f t="shared" si="18"/>
        <v>0</v>
      </c>
      <c r="AD113" s="36">
        <f t="shared" si="19"/>
        <v>0</v>
      </c>
      <c r="AE113" s="36">
        <f t="shared" si="20"/>
        <v>0</v>
      </c>
      <c r="AF113" s="10" t="s">
        <v>61</v>
      </c>
    </row>
    <row r="114">
      <c r="A114" s="9">
        <v>9.0</v>
      </c>
      <c r="B114" s="11" t="s">
        <v>70</v>
      </c>
      <c r="C114" s="29" t="s">
        <v>703</v>
      </c>
      <c r="D114" s="18">
        <v>6.0</v>
      </c>
      <c r="E114" s="11" t="s">
        <v>14</v>
      </c>
      <c r="F114" s="12" t="s">
        <v>29</v>
      </c>
      <c r="G114" s="11" t="s">
        <v>704</v>
      </c>
      <c r="H114" s="18">
        <v>6.0</v>
      </c>
      <c r="I114" s="11" t="s">
        <v>14</v>
      </c>
      <c r="J114" s="24" t="s">
        <v>23</v>
      </c>
      <c r="K114" s="10"/>
      <c r="L114" s="18"/>
      <c r="M114" s="10"/>
      <c r="N114" s="12"/>
      <c r="O114" s="11" t="s">
        <v>705</v>
      </c>
      <c r="P114" s="18">
        <v>6.0</v>
      </c>
      <c r="Q114" s="11" t="s">
        <v>14</v>
      </c>
      <c r="R114" s="24" t="s">
        <v>23</v>
      </c>
      <c r="S114" s="10"/>
      <c r="T114" s="9"/>
      <c r="U114" s="10"/>
      <c r="V114" s="21"/>
      <c r="W114" s="11" t="s">
        <v>706</v>
      </c>
      <c r="X114" s="18">
        <v>7.0</v>
      </c>
      <c r="Y114" s="11" t="s">
        <v>14</v>
      </c>
      <c r="Z114" s="24" t="s">
        <v>23</v>
      </c>
      <c r="AA114" s="36">
        <f t="shared" si="16"/>
        <v>4</v>
      </c>
      <c r="AB114" s="36">
        <f t="shared" si="17"/>
        <v>0</v>
      </c>
      <c r="AC114" s="36">
        <f t="shared" si="18"/>
        <v>0</v>
      </c>
      <c r="AD114" s="36">
        <f t="shared" si="19"/>
        <v>0</v>
      </c>
      <c r="AE114" s="36">
        <f t="shared" si="20"/>
        <v>0</v>
      </c>
      <c r="AF114" s="11" t="s">
        <v>70</v>
      </c>
    </row>
    <row r="115">
      <c r="A115" s="9">
        <v>10.0</v>
      </c>
      <c r="B115" s="10" t="s">
        <v>75</v>
      </c>
      <c r="C115" s="29" t="s">
        <v>707</v>
      </c>
      <c r="D115" s="18">
        <v>5.0</v>
      </c>
      <c r="E115" s="12" t="s">
        <v>14</v>
      </c>
      <c r="F115" s="12" t="s">
        <v>29</v>
      </c>
      <c r="G115" s="10"/>
      <c r="H115" s="9"/>
      <c r="I115" s="11" t="s">
        <v>14</v>
      </c>
      <c r="J115" s="21"/>
      <c r="K115" s="10"/>
      <c r="L115" s="10"/>
      <c r="M115" s="11" t="s">
        <v>14</v>
      </c>
      <c r="N115" s="12"/>
      <c r="O115" s="10"/>
      <c r="P115" s="10"/>
      <c r="Q115" s="11" t="s">
        <v>14</v>
      </c>
      <c r="R115" s="21"/>
      <c r="S115" s="11" t="s">
        <v>708</v>
      </c>
      <c r="T115" s="18">
        <v>5.0</v>
      </c>
      <c r="U115" s="11" t="s">
        <v>14</v>
      </c>
      <c r="V115" s="24" t="s">
        <v>23</v>
      </c>
      <c r="W115" s="10"/>
      <c r="X115" s="9"/>
      <c r="Y115" s="10"/>
      <c r="Z115" s="21"/>
      <c r="AA115" s="36">
        <f t="shared" si="16"/>
        <v>5</v>
      </c>
      <c r="AB115" s="36">
        <f t="shared" si="17"/>
        <v>0</v>
      </c>
      <c r="AC115" s="36">
        <f t="shared" si="18"/>
        <v>0</v>
      </c>
      <c r="AD115" s="36">
        <f t="shared" si="19"/>
        <v>0</v>
      </c>
      <c r="AE115" s="36">
        <f t="shared" si="20"/>
        <v>0</v>
      </c>
      <c r="AF115" s="10" t="s">
        <v>75</v>
      </c>
    </row>
    <row r="116">
      <c r="A116" s="9">
        <v>11.0</v>
      </c>
      <c r="B116" s="10" t="s">
        <v>83</v>
      </c>
      <c r="C116" s="29" t="s">
        <v>709</v>
      </c>
      <c r="D116" s="18">
        <v>2.0</v>
      </c>
      <c r="E116" s="11" t="s">
        <v>14</v>
      </c>
      <c r="F116" s="12" t="s">
        <v>29</v>
      </c>
      <c r="G116" s="11" t="s">
        <v>710</v>
      </c>
      <c r="H116" s="18">
        <v>2.0</v>
      </c>
      <c r="I116" s="11" t="s">
        <v>14</v>
      </c>
      <c r="J116" s="24" t="s">
        <v>29</v>
      </c>
      <c r="K116" s="11" t="s">
        <v>711</v>
      </c>
      <c r="L116" s="18"/>
      <c r="M116" s="11" t="s">
        <v>14</v>
      </c>
      <c r="N116" s="12" t="s">
        <v>23</v>
      </c>
      <c r="O116" s="11" t="s">
        <v>712</v>
      </c>
      <c r="P116" s="18">
        <v>2.0</v>
      </c>
      <c r="Q116" s="11" t="s">
        <v>14</v>
      </c>
      <c r="R116" s="24" t="s">
        <v>23</v>
      </c>
      <c r="S116" s="11" t="s">
        <v>713</v>
      </c>
      <c r="T116" s="18">
        <v>2.0</v>
      </c>
      <c r="U116" s="10"/>
      <c r="V116" s="21"/>
      <c r="W116" s="10"/>
      <c r="X116" s="9"/>
      <c r="Y116" s="10"/>
      <c r="Z116" s="21"/>
      <c r="AA116" s="36">
        <f t="shared" si="16"/>
        <v>4</v>
      </c>
      <c r="AB116" s="36">
        <f t="shared" si="17"/>
        <v>0</v>
      </c>
      <c r="AC116" s="36">
        <f t="shared" si="18"/>
        <v>0</v>
      </c>
      <c r="AD116" s="36">
        <f t="shared" si="19"/>
        <v>0</v>
      </c>
      <c r="AE116" s="36">
        <f t="shared" si="20"/>
        <v>0</v>
      </c>
      <c r="AF116" s="10" t="s">
        <v>83</v>
      </c>
    </row>
    <row r="117">
      <c r="A117" s="9">
        <v>12.0</v>
      </c>
      <c r="B117" s="10" t="s">
        <v>87</v>
      </c>
      <c r="C117" s="29"/>
      <c r="D117" s="18"/>
      <c r="E117" s="11"/>
      <c r="F117" s="12"/>
      <c r="G117" s="11"/>
      <c r="H117" s="18"/>
      <c r="I117" s="11"/>
      <c r="J117" s="34"/>
      <c r="K117" s="10"/>
      <c r="L117" s="10"/>
      <c r="M117" s="10"/>
      <c r="N117" s="12"/>
      <c r="O117" s="10"/>
      <c r="P117" s="10"/>
      <c r="Q117" s="10"/>
      <c r="R117" s="21"/>
      <c r="S117" s="10"/>
      <c r="T117" s="10"/>
      <c r="U117" s="10"/>
      <c r="V117" s="21"/>
      <c r="W117" s="10"/>
      <c r="X117" s="9"/>
      <c r="Y117" s="10"/>
      <c r="Z117" s="21"/>
      <c r="AA117" s="36">
        <f t="shared" si="16"/>
        <v>0</v>
      </c>
      <c r="AB117" s="36">
        <f t="shared" si="17"/>
        <v>0</v>
      </c>
      <c r="AC117" s="36">
        <f t="shared" si="18"/>
        <v>0</v>
      </c>
      <c r="AD117" s="36">
        <f t="shared" si="19"/>
        <v>0</v>
      </c>
      <c r="AE117" s="36">
        <f t="shared" si="20"/>
        <v>0</v>
      </c>
      <c r="AF117" s="10" t="s">
        <v>87</v>
      </c>
    </row>
    <row r="118">
      <c r="A118" s="9">
        <v>13.0</v>
      </c>
      <c r="B118" s="10" t="s">
        <v>90</v>
      </c>
      <c r="C118" s="29"/>
      <c r="D118" s="18"/>
      <c r="E118" s="11"/>
      <c r="F118" s="12"/>
      <c r="G118" s="10"/>
      <c r="H118" s="9"/>
      <c r="I118" s="10"/>
      <c r="J118" s="21"/>
      <c r="K118" s="10"/>
      <c r="L118" s="9"/>
      <c r="M118" s="10"/>
      <c r="N118" s="12"/>
      <c r="O118" s="10"/>
      <c r="P118" s="9"/>
      <c r="Q118" s="10"/>
      <c r="R118" s="21"/>
      <c r="S118" s="11" t="s">
        <v>714</v>
      </c>
      <c r="T118" s="18">
        <v>1.0</v>
      </c>
      <c r="U118" s="11" t="s">
        <v>14</v>
      </c>
      <c r="V118" s="24" t="s">
        <v>23</v>
      </c>
      <c r="W118" s="11" t="s">
        <v>715</v>
      </c>
      <c r="X118" s="18">
        <v>1.0</v>
      </c>
      <c r="Y118" s="11" t="s">
        <v>14</v>
      </c>
      <c r="Z118" s="24" t="s">
        <v>23</v>
      </c>
      <c r="AA118" s="36">
        <f t="shared" si="16"/>
        <v>2</v>
      </c>
      <c r="AB118" s="36">
        <f t="shared" si="17"/>
        <v>0</v>
      </c>
      <c r="AC118" s="36">
        <f t="shared" si="18"/>
        <v>0</v>
      </c>
      <c r="AD118" s="36">
        <f t="shared" si="19"/>
        <v>0</v>
      </c>
      <c r="AE118" s="36">
        <f t="shared" si="20"/>
        <v>0</v>
      </c>
      <c r="AF118" s="10" t="s">
        <v>90</v>
      </c>
    </row>
    <row r="119">
      <c r="A119" s="9">
        <v>14.0</v>
      </c>
      <c r="B119" s="10" t="s">
        <v>94</v>
      </c>
      <c r="C119" s="38" t="s">
        <v>716</v>
      </c>
      <c r="D119" s="18">
        <v>28.0</v>
      </c>
      <c r="E119" s="11" t="s">
        <v>14</v>
      </c>
      <c r="F119" s="12" t="s">
        <v>29</v>
      </c>
      <c r="G119" s="11" t="s">
        <v>617</v>
      </c>
      <c r="H119" s="18">
        <v>28.0</v>
      </c>
      <c r="I119" s="11" t="s">
        <v>14</v>
      </c>
      <c r="J119" s="24" t="s">
        <v>23</v>
      </c>
      <c r="K119" s="11" t="s">
        <v>717</v>
      </c>
      <c r="L119" s="18">
        <v>28.0</v>
      </c>
      <c r="M119" s="11" t="s">
        <v>14</v>
      </c>
      <c r="N119" s="12" t="s">
        <v>23</v>
      </c>
      <c r="O119" s="11" t="s">
        <v>718</v>
      </c>
      <c r="P119" s="18">
        <v>28.0</v>
      </c>
      <c r="Q119" s="11" t="s">
        <v>14</v>
      </c>
      <c r="R119" s="24" t="s">
        <v>23</v>
      </c>
      <c r="S119" s="11" t="s">
        <v>719</v>
      </c>
      <c r="T119" s="18">
        <v>28.0</v>
      </c>
      <c r="U119" s="11" t="s">
        <v>14</v>
      </c>
      <c r="V119" s="24" t="s">
        <v>23</v>
      </c>
      <c r="W119" s="10"/>
      <c r="X119" s="9"/>
      <c r="Y119" s="10"/>
      <c r="Z119" s="21"/>
      <c r="AA119" s="36">
        <f t="shared" si="16"/>
        <v>5</v>
      </c>
      <c r="AB119" s="36">
        <f t="shared" si="17"/>
        <v>0</v>
      </c>
      <c r="AC119" s="36">
        <f t="shared" si="18"/>
        <v>0</v>
      </c>
      <c r="AD119" s="36">
        <f t="shared" si="19"/>
        <v>0</v>
      </c>
      <c r="AE119" s="36">
        <f t="shared" si="20"/>
        <v>0</v>
      </c>
      <c r="AF119" s="10" t="s">
        <v>94</v>
      </c>
    </row>
    <row r="120">
      <c r="A120" s="9">
        <v>15.0</v>
      </c>
      <c r="B120" s="10" t="s">
        <v>105</v>
      </c>
      <c r="C120" s="38" t="s">
        <v>720</v>
      </c>
      <c r="D120" s="18">
        <v>30.0</v>
      </c>
      <c r="E120" s="11" t="s">
        <v>14</v>
      </c>
      <c r="F120" s="12" t="s">
        <v>29</v>
      </c>
      <c r="G120" s="22" t="s">
        <v>654</v>
      </c>
      <c r="H120" s="18">
        <v>30.0</v>
      </c>
      <c r="I120" s="11" t="s">
        <v>14</v>
      </c>
      <c r="J120" s="24" t="s">
        <v>29</v>
      </c>
      <c r="K120" s="11" t="s">
        <v>721</v>
      </c>
      <c r="L120" s="18">
        <v>30.0</v>
      </c>
      <c r="M120" s="11" t="s">
        <v>14</v>
      </c>
      <c r="N120" s="12" t="s">
        <v>23</v>
      </c>
      <c r="O120" s="11" t="s">
        <v>722</v>
      </c>
      <c r="P120" s="18">
        <v>30.0</v>
      </c>
      <c r="Q120" s="11" t="s">
        <v>14</v>
      </c>
      <c r="R120" s="24" t="s">
        <v>23</v>
      </c>
      <c r="S120" s="10"/>
      <c r="T120" s="9"/>
      <c r="U120" s="10"/>
      <c r="V120" s="21"/>
      <c r="W120" s="22" t="s">
        <v>723</v>
      </c>
      <c r="X120" s="18">
        <v>30.0</v>
      </c>
      <c r="Y120" s="11" t="s">
        <v>14</v>
      </c>
      <c r="Z120" s="24" t="s">
        <v>29</v>
      </c>
      <c r="AA120" s="36">
        <f t="shared" si="16"/>
        <v>5</v>
      </c>
      <c r="AB120" s="36">
        <f t="shared" si="17"/>
        <v>0</v>
      </c>
      <c r="AC120" s="36">
        <f t="shared" si="18"/>
        <v>0</v>
      </c>
      <c r="AD120" s="36">
        <f t="shared" si="19"/>
        <v>0</v>
      </c>
      <c r="AE120" s="36">
        <f t="shared" si="20"/>
        <v>0</v>
      </c>
      <c r="AF120" s="10" t="s">
        <v>105</v>
      </c>
    </row>
    <row r="121">
      <c r="A121" s="9">
        <v>16.0</v>
      </c>
      <c r="B121" s="10" t="s">
        <v>113</v>
      </c>
      <c r="C121" s="29" t="s">
        <v>724</v>
      </c>
      <c r="D121" s="18">
        <v>1.0</v>
      </c>
      <c r="E121" s="11" t="s">
        <v>14</v>
      </c>
      <c r="F121" s="12" t="s">
        <v>29</v>
      </c>
      <c r="G121" s="11" t="s">
        <v>725</v>
      </c>
      <c r="H121" s="18">
        <v>1.0</v>
      </c>
      <c r="I121" s="11" t="s">
        <v>14</v>
      </c>
      <c r="J121" s="24" t="s">
        <v>29</v>
      </c>
      <c r="K121" s="11" t="s">
        <v>726</v>
      </c>
      <c r="L121" s="18">
        <v>1.0</v>
      </c>
      <c r="M121" s="11" t="s">
        <v>14</v>
      </c>
      <c r="N121" s="12" t="s">
        <v>23</v>
      </c>
      <c r="O121" s="11" t="s">
        <v>727</v>
      </c>
      <c r="P121" s="18">
        <v>2.0</v>
      </c>
      <c r="Q121" s="11" t="s">
        <v>14</v>
      </c>
      <c r="R121" s="24" t="s">
        <v>23</v>
      </c>
      <c r="S121" s="11" t="s">
        <v>728</v>
      </c>
      <c r="T121" s="18">
        <v>1.0</v>
      </c>
      <c r="U121" s="11" t="s">
        <v>14</v>
      </c>
      <c r="V121" s="24" t="s">
        <v>23</v>
      </c>
      <c r="W121" s="22" t="s">
        <v>729</v>
      </c>
      <c r="X121" s="18">
        <v>1.0</v>
      </c>
      <c r="Y121" s="11" t="s">
        <v>14</v>
      </c>
      <c r="Z121" s="24" t="s">
        <v>29</v>
      </c>
      <c r="AA121" s="36">
        <f t="shared" si="16"/>
        <v>6</v>
      </c>
      <c r="AB121" s="36">
        <f t="shared" si="17"/>
        <v>0</v>
      </c>
      <c r="AC121" s="36">
        <f t="shared" si="18"/>
        <v>0</v>
      </c>
      <c r="AD121" s="36">
        <f t="shared" si="19"/>
        <v>0</v>
      </c>
      <c r="AE121" s="36">
        <f t="shared" si="20"/>
        <v>0</v>
      </c>
      <c r="AF121" s="10" t="s">
        <v>113</v>
      </c>
    </row>
    <row r="122">
      <c r="A122" s="9">
        <v>17.0</v>
      </c>
      <c r="B122" s="10" t="s">
        <v>122</v>
      </c>
      <c r="C122" s="29" t="s">
        <v>730</v>
      </c>
      <c r="D122" s="18">
        <v>8.0</v>
      </c>
      <c r="E122" s="11" t="s">
        <v>14</v>
      </c>
      <c r="F122" s="12" t="s">
        <v>29</v>
      </c>
      <c r="G122" s="22" t="s">
        <v>731</v>
      </c>
      <c r="H122" s="18">
        <v>8.0</v>
      </c>
      <c r="I122" s="11" t="s">
        <v>14</v>
      </c>
      <c r="J122" s="24" t="s">
        <v>29</v>
      </c>
      <c r="M122" s="11"/>
      <c r="N122" s="12"/>
      <c r="O122" s="11" t="s">
        <v>732</v>
      </c>
      <c r="P122" s="18">
        <v>8.0</v>
      </c>
      <c r="Q122" s="11" t="s">
        <v>14</v>
      </c>
      <c r="R122" s="24" t="s">
        <v>23</v>
      </c>
      <c r="S122" s="11" t="s">
        <v>733</v>
      </c>
      <c r="T122" s="18">
        <v>8.0</v>
      </c>
      <c r="U122" s="11" t="s">
        <v>14</v>
      </c>
      <c r="V122" s="24" t="s">
        <v>23</v>
      </c>
      <c r="W122" s="11" t="s">
        <v>734</v>
      </c>
      <c r="X122" s="18">
        <v>8.0</v>
      </c>
      <c r="Y122" s="11" t="s">
        <v>14</v>
      </c>
      <c r="Z122" s="24" t="s">
        <v>23</v>
      </c>
      <c r="AA122" s="36">
        <f t="shared" si="16"/>
        <v>5</v>
      </c>
      <c r="AB122" s="36">
        <f t="shared" si="17"/>
        <v>0</v>
      </c>
      <c r="AC122" s="36">
        <f t="shared" si="18"/>
        <v>0</v>
      </c>
      <c r="AD122" s="36">
        <f t="shared" si="19"/>
        <v>0</v>
      </c>
      <c r="AE122" s="36">
        <f t="shared" si="20"/>
        <v>0</v>
      </c>
      <c r="AF122" s="10" t="s">
        <v>122</v>
      </c>
    </row>
    <row r="123">
      <c r="A123" s="9">
        <v>18.0</v>
      </c>
      <c r="B123" s="10" t="s">
        <v>128</v>
      </c>
      <c r="C123" s="37"/>
      <c r="D123" s="9"/>
      <c r="E123" s="12"/>
      <c r="F123" s="12"/>
      <c r="G123" s="11" t="s">
        <v>735</v>
      </c>
      <c r="H123" s="18">
        <v>30.0</v>
      </c>
      <c r="I123" s="11" t="s">
        <v>14</v>
      </c>
      <c r="J123" s="24" t="s">
        <v>23</v>
      </c>
      <c r="K123" s="11" t="s">
        <v>225</v>
      </c>
      <c r="L123" s="18">
        <v>30.0</v>
      </c>
      <c r="M123" s="11" t="s">
        <v>14</v>
      </c>
      <c r="N123" s="12" t="s">
        <v>23</v>
      </c>
      <c r="O123" s="10"/>
      <c r="P123" s="9"/>
      <c r="Q123" s="10"/>
      <c r="R123" s="21"/>
      <c r="S123" s="10"/>
      <c r="T123" s="9"/>
      <c r="U123" s="10"/>
      <c r="V123" s="21"/>
      <c r="W123" s="10"/>
      <c r="X123" s="9"/>
      <c r="Y123" s="10"/>
      <c r="Z123" s="21"/>
      <c r="AA123" s="36">
        <f t="shared" si="16"/>
        <v>2</v>
      </c>
      <c r="AB123" s="36">
        <f t="shared" si="17"/>
        <v>0</v>
      </c>
      <c r="AC123" s="36">
        <f t="shared" si="18"/>
        <v>0</v>
      </c>
      <c r="AD123" s="36">
        <f t="shared" si="19"/>
        <v>0</v>
      </c>
      <c r="AE123" s="36">
        <f t="shared" si="20"/>
        <v>0</v>
      </c>
      <c r="AF123" s="10" t="s">
        <v>128</v>
      </c>
    </row>
    <row r="124">
      <c r="A124" s="9">
        <v>19.0</v>
      </c>
      <c r="B124" s="11" t="s">
        <v>485</v>
      </c>
      <c r="C124" s="22" t="s">
        <v>736</v>
      </c>
      <c r="D124" s="11">
        <v>28.0</v>
      </c>
      <c r="E124" s="10"/>
      <c r="F124" s="10"/>
      <c r="G124" s="11" t="s">
        <v>737</v>
      </c>
      <c r="H124" s="11">
        <v>28.0</v>
      </c>
      <c r="I124" s="11" t="s">
        <v>14</v>
      </c>
      <c r="J124" s="11" t="s">
        <v>738</v>
      </c>
      <c r="K124" s="10"/>
      <c r="L124" s="10"/>
      <c r="M124" s="10"/>
      <c r="N124" s="10"/>
      <c r="O124" s="11" t="s">
        <v>739</v>
      </c>
      <c r="P124" s="18">
        <v>28.0</v>
      </c>
      <c r="Q124" s="18" t="s">
        <v>14</v>
      </c>
      <c r="R124" s="11" t="s">
        <v>738</v>
      </c>
      <c r="S124" s="11" t="s">
        <v>740</v>
      </c>
      <c r="T124" s="18">
        <v>28.0</v>
      </c>
      <c r="U124" s="18" t="s">
        <v>14</v>
      </c>
      <c r="V124" s="29" t="s">
        <v>741</v>
      </c>
      <c r="W124" s="10"/>
      <c r="X124" s="10"/>
      <c r="Y124" s="10"/>
      <c r="Z124" s="10"/>
    </row>
    <row r="125">
      <c r="A125" s="9">
        <v>20.0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9">
        <v>21.0</v>
      </c>
    </row>
    <row r="127">
      <c r="A127" s="9">
        <v>22.0</v>
      </c>
    </row>
    <row r="128">
      <c r="A128" s="9">
        <v>23.0</v>
      </c>
    </row>
    <row r="129">
      <c r="A129" s="9">
        <v>24.0</v>
      </c>
    </row>
    <row r="130">
      <c r="A130" s="9">
        <v>25.0</v>
      </c>
    </row>
    <row r="133">
      <c r="A133" s="1" t="s">
        <v>542</v>
      </c>
    </row>
    <row r="136">
      <c r="A136" s="31" t="s">
        <v>742</v>
      </c>
    </row>
    <row r="137">
      <c r="A137" s="3" t="s">
        <v>2</v>
      </c>
      <c r="B137" s="3" t="s">
        <v>3</v>
      </c>
      <c r="C137" s="32" t="s">
        <v>354</v>
      </c>
      <c r="G137" s="32" t="s">
        <v>544</v>
      </c>
      <c r="K137" s="32" t="s">
        <v>545</v>
      </c>
      <c r="O137" s="32" t="s">
        <v>357</v>
      </c>
      <c r="S137" s="32" t="s">
        <v>546</v>
      </c>
      <c r="W137" s="32" t="s">
        <v>547</v>
      </c>
      <c r="AA137" s="33" t="s">
        <v>548</v>
      </c>
    </row>
    <row r="138">
      <c r="C138" s="6" t="s">
        <v>549</v>
      </c>
      <c r="D138" s="6" t="s">
        <v>550</v>
      </c>
      <c r="E138" s="6"/>
      <c r="F138" s="7" t="s">
        <v>12</v>
      </c>
      <c r="G138" s="6" t="s">
        <v>549</v>
      </c>
      <c r="H138" s="6" t="s">
        <v>550</v>
      </c>
      <c r="I138" s="6"/>
      <c r="J138" s="7" t="s">
        <v>12</v>
      </c>
      <c r="K138" s="6" t="s">
        <v>549</v>
      </c>
      <c r="L138" s="6" t="s">
        <v>550</v>
      </c>
      <c r="M138" s="6"/>
      <c r="N138" s="7" t="s">
        <v>12</v>
      </c>
      <c r="O138" s="6" t="s">
        <v>549</v>
      </c>
      <c r="P138" s="6" t="s">
        <v>550</v>
      </c>
      <c r="Q138" s="6"/>
      <c r="R138" s="7" t="s">
        <v>12</v>
      </c>
      <c r="S138" s="6" t="s">
        <v>549</v>
      </c>
      <c r="T138" s="6" t="s">
        <v>550</v>
      </c>
      <c r="U138" s="6"/>
      <c r="V138" s="7" t="s">
        <v>12</v>
      </c>
      <c r="W138" s="6" t="s">
        <v>549</v>
      </c>
      <c r="X138" s="6" t="s">
        <v>550</v>
      </c>
      <c r="Y138" s="6"/>
      <c r="Z138" s="7" t="s">
        <v>12</v>
      </c>
      <c r="AA138" s="33" t="s">
        <v>14</v>
      </c>
      <c r="AB138" s="33" t="s">
        <v>15</v>
      </c>
      <c r="AC138" s="33" t="s">
        <v>16</v>
      </c>
      <c r="AD138" s="33" t="s">
        <v>17</v>
      </c>
      <c r="AE138" s="33" t="s">
        <v>18</v>
      </c>
    </row>
    <row r="139">
      <c r="A139" s="9">
        <v>1.0</v>
      </c>
      <c r="B139" s="10" t="s">
        <v>19</v>
      </c>
      <c r="C139" s="39"/>
      <c r="D139" s="18"/>
      <c r="E139" s="11" t="s">
        <v>15</v>
      </c>
      <c r="F139" s="12"/>
      <c r="G139" s="11"/>
      <c r="H139" s="18"/>
      <c r="I139" s="11"/>
      <c r="J139" s="34"/>
      <c r="K139" s="10"/>
      <c r="L139" s="9"/>
      <c r="M139" s="10"/>
      <c r="N139" s="12"/>
      <c r="O139" s="10"/>
      <c r="P139" s="9"/>
      <c r="Q139" s="10"/>
      <c r="R139" s="21"/>
      <c r="S139" s="10"/>
      <c r="T139" s="9"/>
      <c r="U139" s="10"/>
      <c r="V139" s="21"/>
      <c r="W139" s="10"/>
      <c r="X139" s="9"/>
      <c r="Y139" s="12"/>
      <c r="Z139" s="34"/>
      <c r="AA139" s="36">
        <f t="shared" ref="AA139:AA162" si="21">COUNTIF(C139:Y139,"H")</f>
        <v>0</v>
      </c>
      <c r="AB139" s="36">
        <f t="shared" ref="AB139:AB162" si="22">COUNTIF(C139:Y139,"I")</f>
        <v>1</v>
      </c>
      <c r="AC139" s="36">
        <f t="shared" ref="AC139:AC162" si="23">COUNTIF(C139:Y139,"TD")</f>
        <v>0</v>
      </c>
      <c r="AD139" s="36">
        <f t="shared" ref="AD139:AD162" si="24">COUNTIF(C139:Y139,"S")</f>
        <v>0</v>
      </c>
      <c r="AE139" s="36">
        <f t="shared" ref="AE139:AE162" si="25">COUNTIF(C139:Y139,"A")</f>
        <v>0</v>
      </c>
      <c r="AF139" s="10" t="s">
        <v>19</v>
      </c>
    </row>
    <row r="140">
      <c r="A140" s="9">
        <v>2.0</v>
      </c>
      <c r="B140" s="10" t="s">
        <v>24</v>
      </c>
      <c r="C140" s="40"/>
      <c r="D140" s="18"/>
      <c r="E140" s="12"/>
      <c r="F140" s="12"/>
      <c r="G140" s="22"/>
      <c r="H140" s="18"/>
      <c r="I140" s="11"/>
      <c r="J140" s="24"/>
      <c r="K140" s="11"/>
      <c r="L140" s="18"/>
      <c r="M140" s="10"/>
      <c r="N140" s="12"/>
      <c r="O140" s="10"/>
      <c r="P140" s="9"/>
      <c r="Q140" s="10"/>
      <c r="R140" s="21"/>
      <c r="S140" s="11"/>
      <c r="T140" s="18"/>
      <c r="U140" s="11"/>
      <c r="V140" s="24"/>
      <c r="W140" s="10"/>
      <c r="X140" s="18"/>
      <c r="Y140" s="11"/>
      <c r="Z140" s="24"/>
      <c r="AA140" s="36">
        <f t="shared" si="21"/>
        <v>0</v>
      </c>
      <c r="AB140" s="36">
        <f t="shared" si="22"/>
        <v>0</v>
      </c>
      <c r="AC140" s="36">
        <f t="shared" si="23"/>
        <v>0</v>
      </c>
      <c r="AD140" s="36">
        <f t="shared" si="24"/>
        <v>0</v>
      </c>
      <c r="AE140" s="36">
        <f t="shared" si="25"/>
        <v>0</v>
      </c>
      <c r="AF140" s="10" t="s">
        <v>24</v>
      </c>
    </row>
    <row r="141">
      <c r="A141" s="9">
        <v>3.0</v>
      </c>
      <c r="B141" s="10" t="s">
        <v>34</v>
      </c>
      <c r="C141" s="39"/>
      <c r="D141" s="18"/>
      <c r="E141" s="11"/>
      <c r="F141" s="12"/>
      <c r="G141" s="11"/>
      <c r="H141" s="18"/>
      <c r="I141" s="11"/>
      <c r="J141" s="34"/>
      <c r="K141" s="10"/>
      <c r="L141" s="9"/>
      <c r="M141" s="10"/>
      <c r="N141" s="12"/>
      <c r="O141" s="10"/>
      <c r="P141" s="9"/>
      <c r="Q141" s="10"/>
      <c r="R141" s="21"/>
      <c r="S141" s="10"/>
      <c r="T141" s="10"/>
      <c r="U141" s="11"/>
      <c r="V141" s="21"/>
      <c r="W141" s="10"/>
      <c r="X141" s="9"/>
      <c r="Y141" s="10"/>
      <c r="Z141" s="21"/>
      <c r="AA141" s="36">
        <f t="shared" si="21"/>
        <v>0</v>
      </c>
      <c r="AB141" s="36">
        <f t="shared" si="22"/>
        <v>0</v>
      </c>
      <c r="AC141" s="36">
        <f t="shared" si="23"/>
        <v>0</v>
      </c>
      <c r="AD141" s="36">
        <f t="shared" si="24"/>
        <v>0</v>
      </c>
      <c r="AE141" s="36">
        <f t="shared" si="25"/>
        <v>0</v>
      </c>
      <c r="AF141" s="10" t="s">
        <v>34</v>
      </c>
    </row>
    <row r="142">
      <c r="A142" s="9">
        <v>4.0</v>
      </c>
      <c r="B142" s="10" t="s">
        <v>39</v>
      </c>
      <c r="C142" s="39"/>
      <c r="D142" s="18"/>
      <c r="E142" s="11"/>
      <c r="F142" s="12"/>
      <c r="G142" s="11"/>
      <c r="H142" s="18"/>
      <c r="I142" s="11"/>
      <c r="J142" s="24"/>
      <c r="K142" s="10"/>
      <c r="L142" s="18"/>
      <c r="M142" s="10"/>
      <c r="N142" s="12"/>
      <c r="O142" s="11"/>
      <c r="P142" s="18"/>
      <c r="Q142" s="11"/>
      <c r="R142" s="24"/>
      <c r="S142" s="11"/>
      <c r="T142" s="18"/>
      <c r="U142" s="11"/>
      <c r="V142" s="24"/>
      <c r="W142" s="10"/>
      <c r="X142" s="9"/>
      <c r="Y142" s="10"/>
      <c r="Z142" s="21"/>
      <c r="AA142" s="36">
        <f t="shared" si="21"/>
        <v>0</v>
      </c>
      <c r="AB142" s="36">
        <f t="shared" si="22"/>
        <v>0</v>
      </c>
      <c r="AC142" s="36">
        <f t="shared" si="23"/>
        <v>0</v>
      </c>
      <c r="AD142" s="36">
        <f t="shared" si="24"/>
        <v>0</v>
      </c>
      <c r="AE142" s="36">
        <f t="shared" si="25"/>
        <v>0</v>
      </c>
      <c r="AF142" s="10" t="s">
        <v>39</v>
      </c>
    </row>
    <row r="143">
      <c r="A143" s="9">
        <v>5.0</v>
      </c>
      <c r="B143" s="10" t="s">
        <v>43</v>
      </c>
      <c r="C143" s="40" t="s">
        <v>743</v>
      </c>
      <c r="D143" s="18">
        <v>29.0</v>
      </c>
      <c r="E143" s="11" t="s">
        <v>14</v>
      </c>
      <c r="F143" s="12" t="s">
        <v>29</v>
      </c>
      <c r="G143" s="11"/>
      <c r="H143" s="18"/>
      <c r="I143" s="11"/>
      <c r="J143" s="24"/>
      <c r="K143" s="11"/>
      <c r="L143" s="18"/>
      <c r="M143" s="11"/>
      <c r="N143" s="12"/>
      <c r="O143" s="11"/>
      <c r="P143" s="18"/>
      <c r="Q143" s="11"/>
      <c r="R143" s="24"/>
      <c r="S143" s="11"/>
      <c r="T143" s="18"/>
      <c r="U143" s="11"/>
      <c r="V143" s="24"/>
      <c r="W143" s="11"/>
      <c r="X143" s="18"/>
      <c r="Y143" s="11"/>
      <c r="Z143" s="24"/>
      <c r="AA143" s="36">
        <f t="shared" si="21"/>
        <v>1</v>
      </c>
      <c r="AB143" s="36">
        <f t="shared" si="22"/>
        <v>0</v>
      </c>
      <c r="AC143" s="36">
        <f t="shared" si="23"/>
        <v>0</v>
      </c>
      <c r="AD143" s="36">
        <f t="shared" si="24"/>
        <v>0</v>
      </c>
      <c r="AE143" s="36">
        <f t="shared" si="25"/>
        <v>0</v>
      </c>
      <c r="AF143" s="10" t="s">
        <v>43</v>
      </c>
    </row>
    <row r="144">
      <c r="A144" s="9">
        <v>6.0</v>
      </c>
      <c r="B144" s="10" t="s">
        <v>49</v>
      </c>
      <c r="C144" s="41"/>
      <c r="D144" s="9"/>
      <c r="E144" s="12" t="s">
        <v>15</v>
      </c>
      <c r="F144" s="12"/>
      <c r="G144" s="10"/>
      <c r="H144" s="9"/>
      <c r="I144" s="11"/>
      <c r="J144" s="21"/>
      <c r="K144" s="10"/>
      <c r="L144" s="10"/>
      <c r="M144" s="10"/>
      <c r="N144" s="12"/>
      <c r="O144" s="10"/>
      <c r="P144" s="10"/>
      <c r="Q144" s="10"/>
      <c r="R144" s="21"/>
      <c r="S144" s="10"/>
      <c r="T144" s="10"/>
      <c r="U144" s="10"/>
      <c r="V144" s="21"/>
      <c r="W144" s="10"/>
      <c r="X144" s="9"/>
      <c r="Y144" s="10"/>
      <c r="Z144" s="21"/>
      <c r="AA144" s="36">
        <f t="shared" si="21"/>
        <v>0</v>
      </c>
      <c r="AB144" s="36">
        <f t="shared" si="22"/>
        <v>1</v>
      </c>
      <c r="AC144" s="36">
        <f t="shared" si="23"/>
        <v>0</v>
      </c>
      <c r="AD144" s="36">
        <f t="shared" si="24"/>
        <v>0</v>
      </c>
      <c r="AE144" s="36">
        <f t="shared" si="25"/>
        <v>0</v>
      </c>
      <c r="AF144" s="10" t="s">
        <v>49</v>
      </c>
    </row>
    <row r="145">
      <c r="A145" s="9">
        <v>7.0</v>
      </c>
      <c r="B145" s="10" t="s">
        <v>50</v>
      </c>
      <c r="C145" s="40" t="s">
        <v>744</v>
      </c>
      <c r="D145" s="18">
        <v>5.0</v>
      </c>
      <c r="E145" s="12" t="s">
        <v>14</v>
      </c>
      <c r="F145" s="12" t="s">
        <v>29</v>
      </c>
      <c r="G145" s="11"/>
      <c r="H145" s="18"/>
      <c r="I145" s="11"/>
      <c r="J145" s="24"/>
      <c r="K145" s="11"/>
      <c r="L145" s="18"/>
      <c r="M145" s="11"/>
      <c r="N145" s="12"/>
      <c r="O145" s="10"/>
      <c r="P145" s="10"/>
      <c r="Q145" s="10"/>
      <c r="R145" s="21"/>
      <c r="S145" s="11"/>
      <c r="T145" s="18"/>
      <c r="U145" s="11"/>
      <c r="V145" s="24"/>
      <c r="W145" s="22"/>
      <c r="X145" s="18"/>
      <c r="Y145" s="11"/>
      <c r="Z145" s="24"/>
      <c r="AA145" s="36">
        <f t="shared" si="21"/>
        <v>1</v>
      </c>
      <c r="AB145" s="36">
        <f t="shared" si="22"/>
        <v>0</v>
      </c>
      <c r="AC145" s="36">
        <f t="shared" si="23"/>
        <v>0</v>
      </c>
      <c r="AD145" s="36">
        <f t="shared" si="24"/>
        <v>0</v>
      </c>
      <c r="AE145" s="36">
        <f t="shared" si="25"/>
        <v>0</v>
      </c>
      <c r="AF145" s="10" t="s">
        <v>50</v>
      </c>
    </row>
    <row r="146">
      <c r="A146" s="9">
        <v>8.0</v>
      </c>
      <c r="B146" s="10" t="s">
        <v>61</v>
      </c>
      <c r="C146" s="40" t="s">
        <v>745</v>
      </c>
      <c r="D146" s="18">
        <v>30.0</v>
      </c>
      <c r="E146" s="11" t="s">
        <v>14</v>
      </c>
      <c r="F146" s="12" t="s">
        <v>29</v>
      </c>
      <c r="G146" s="10"/>
      <c r="H146" s="9"/>
      <c r="I146" s="10"/>
      <c r="J146" s="21"/>
      <c r="K146" s="11"/>
      <c r="L146" s="18"/>
      <c r="M146" s="11"/>
      <c r="N146" s="12"/>
      <c r="O146" s="11"/>
      <c r="P146" s="18"/>
      <c r="Q146" s="11"/>
      <c r="R146" s="24"/>
      <c r="S146" s="11"/>
      <c r="T146" s="18"/>
      <c r="U146" s="11"/>
      <c r="V146" s="24"/>
      <c r="W146" s="10"/>
      <c r="X146" s="9"/>
      <c r="Y146" s="10"/>
      <c r="Z146" s="21"/>
      <c r="AA146" s="36">
        <f t="shared" si="21"/>
        <v>1</v>
      </c>
      <c r="AB146" s="36">
        <f t="shared" si="22"/>
        <v>0</v>
      </c>
      <c r="AC146" s="36">
        <f t="shared" si="23"/>
        <v>0</v>
      </c>
      <c r="AD146" s="36">
        <f t="shared" si="24"/>
        <v>0</v>
      </c>
      <c r="AE146" s="36">
        <f t="shared" si="25"/>
        <v>0</v>
      </c>
      <c r="AF146" s="10" t="s">
        <v>61</v>
      </c>
    </row>
    <row r="147">
      <c r="A147" s="9">
        <v>9.0</v>
      </c>
      <c r="B147" s="11" t="s">
        <v>70</v>
      </c>
      <c r="C147" s="40" t="s">
        <v>746</v>
      </c>
      <c r="D147" s="18">
        <v>7.0</v>
      </c>
      <c r="E147" s="11" t="s">
        <v>14</v>
      </c>
      <c r="F147" s="12" t="s">
        <v>29</v>
      </c>
      <c r="G147" s="11"/>
      <c r="H147" s="18"/>
      <c r="I147" s="11"/>
      <c r="J147" s="24"/>
      <c r="K147" s="10"/>
      <c r="L147" s="18"/>
      <c r="M147" s="10"/>
      <c r="N147" s="12"/>
      <c r="O147" s="11"/>
      <c r="P147" s="18"/>
      <c r="Q147" s="11"/>
      <c r="R147" s="24"/>
      <c r="S147" s="10"/>
      <c r="T147" s="9"/>
      <c r="U147" s="10"/>
      <c r="V147" s="21"/>
      <c r="W147" s="11"/>
      <c r="X147" s="18"/>
      <c r="Y147" s="11"/>
      <c r="Z147" s="24"/>
      <c r="AA147" s="36">
        <f t="shared" si="21"/>
        <v>1</v>
      </c>
      <c r="AB147" s="36">
        <f t="shared" si="22"/>
        <v>0</v>
      </c>
      <c r="AC147" s="36">
        <f t="shared" si="23"/>
        <v>0</v>
      </c>
      <c r="AD147" s="36">
        <f t="shared" si="24"/>
        <v>0</v>
      </c>
      <c r="AE147" s="36">
        <f t="shared" si="25"/>
        <v>0</v>
      </c>
      <c r="AF147" s="11" t="s">
        <v>70</v>
      </c>
    </row>
    <row r="148">
      <c r="A148" s="9">
        <v>10.0</v>
      </c>
      <c r="B148" s="10" t="s">
        <v>75</v>
      </c>
      <c r="C148" s="40" t="s">
        <v>747</v>
      </c>
      <c r="D148" s="18">
        <v>5.0</v>
      </c>
      <c r="E148" s="12" t="s">
        <v>14</v>
      </c>
      <c r="F148" s="12" t="s">
        <v>29</v>
      </c>
      <c r="G148" s="10"/>
      <c r="H148" s="9"/>
      <c r="I148" s="11"/>
      <c r="J148" s="21"/>
      <c r="K148" s="10"/>
      <c r="L148" s="10"/>
      <c r="M148" s="11"/>
      <c r="N148" s="12"/>
      <c r="O148" s="10"/>
      <c r="P148" s="10"/>
      <c r="Q148" s="11"/>
      <c r="R148" s="21"/>
      <c r="S148" s="11"/>
      <c r="T148" s="18"/>
      <c r="U148" s="11"/>
      <c r="V148" s="24"/>
      <c r="W148" s="10"/>
      <c r="X148" s="9"/>
      <c r="Y148" s="10"/>
      <c r="Z148" s="21"/>
      <c r="AA148" s="36">
        <f t="shared" si="21"/>
        <v>1</v>
      </c>
      <c r="AB148" s="36">
        <f t="shared" si="22"/>
        <v>0</v>
      </c>
      <c r="AC148" s="36">
        <f t="shared" si="23"/>
        <v>0</v>
      </c>
      <c r="AD148" s="36">
        <f t="shared" si="24"/>
        <v>0</v>
      </c>
      <c r="AE148" s="36">
        <f t="shared" si="25"/>
        <v>0</v>
      </c>
      <c r="AF148" s="10" t="s">
        <v>75</v>
      </c>
    </row>
    <row r="149">
      <c r="A149" s="9">
        <v>11.0</v>
      </c>
      <c r="B149" s="10" t="s">
        <v>83</v>
      </c>
      <c r="C149" s="40" t="s">
        <v>748</v>
      </c>
      <c r="D149" s="18">
        <v>2.0</v>
      </c>
      <c r="E149" s="11" t="s">
        <v>14</v>
      </c>
      <c r="F149" s="12" t="s">
        <v>29</v>
      </c>
      <c r="G149" s="11"/>
      <c r="H149" s="18"/>
      <c r="I149" s="11"/>
      <c r="J149" s="24"/>
      <c r="K149" s="11"/>
      <c r="L149" s="18"/>
      <c r="M149" s="11"/>
      <c r="N149" s="12"/>
      <c r="O149" s="11"/>
      <c r="P149" s="18"/>
      <c r="Q149" s="11"/>
      <c r="R149" s="24"/>
      <c r="S149" s="11"/>
      <c r="T149" s="18"/>
      <c r="U149" s="10"/>
      <c r="V149" s="21"/>
      <c r="W149" s="10"/>
      <c r="X149" s="9"/>
      <c r="Y149" s="10"/>
      <c r="Z149" s="21"/>
      <c r="AA149" s="36">
        <f t="shared" si="21"/>
        <v>1</v>
      </c>
      <c r="AB149" s="36">
        <f t="shared" si="22"/>
        <v>0</v>
      </c>
      <c r="AC149" s="36">
        <f t="shared" si="23"/>
        <v>0</v>
      </c>
      <c r="AD149" s="36">
        <f t="shared" si="24"/>
        <v>0</v>
      </c>
      <c r="AE149" s="36">
        <f t="shared" si="25"/>
        <v>0</v>
      </c>
      <c r="AF149" s="10" t="s">
        <v>83</v>
      </c>
    </row>
    <row r="150">
      <c r="A150" s="9">
        <v>12.0</v>
      </c>
      <c r="B150" s="10" t="s">
        <v>87</v>
      </c>
      <c r="C150" s="39"/>
      <c r="D150" s="18"/>
      <c r="E150" s="11"/>
      <c r="F150" s="12"/>
      <c r="G150" s="11"/>
      <c r="H150" s="18"/>
      <c r="I150" s="11"/>
      <c r="J150" s="34"/>
      <c r="K150" s="10"/>
      <c r="L150" s="10"/>
      <c r="M150" s="10"/>
      <c r="N150" s="12"/>
      <c r="O150" s="10"/>
      <c r="P150" s="10"/>
      <c r="Q150" s="10"/>
      <c r="R150" s="21"/>
      <c r="S150" s="10"/>
      <c r="T150" s="10"/>
      <c r="U150" s="10"/>
      <c r="V150" s="21"/>
      <c r="W150" s="10"/>
      <c r="X150" s="9"/>
      <c r="Y150" s="10"/>
      <c r="Z150" s="21"/>
      <c r="AA150" s="36">
        <f t="shared" si="21"/>
        <v>0</v>
      </c>
      <c r="AB150" s="36">
        <f t="shared" si="22"/>
        <v>0</v>
      </c>
      <c r="AC150" s="36">
        <f t="shared" si="23"/>
        <v>0</v>
      </c>
      <c r="AD150" s="36">
        <f t="shared" si="24"/>
        <v>0</v>
      </c>
      <c r="AE150" s="36">
        <f t="shared" si="25"/>
        <v>0</v>
      </c>
      <c r="AF150" s="10" t="s">
        <v>87</v>
      </c>
    </row>
    <row r="151">
      <c r="A151" s="9">
        <v>13.0</v>
      </c>
      <c r="B151" s="10" t="s">
        <v>90</v>
      </c>
      <c r="C151" s="40" t="s">
        <v>749</v>
      </c>
      <c r="D151" s="18">
        <v>1.0</v>
      </c>
      <c r="E151" s="11" t="s">
        <v>14</v>
      </c>
      <c r="F151" s="12" t="s">
        <v>29</v>
      </c>
      <c r="G151" s="10"/>
      <c r="H151" s="9"/>
      <c r="I151" s="10"/>
      <c r="J151" s="21"/>
      <c r="K151" s="10"/>
      <c r="L151" s="9"/>
      <c r="M151" s="10"/>
      <c r="N151" s="12"/>
      <c r="O151" s="10"/>
      <c r="P151" s="9"/>
      <c r="Q151" s="10"/>
      <c r="R151" s="21"/>
      <c r="S151" s="11"/>
      <c r="T151" s="18"/>
      <c r="U151" s="11"/>
      <c r="V151" s="24"/>
      <c r="W151" s="11"/>
      <c r="X151" s="18"/>
      <c r="Y151" s="11"/>
      <c r="Z151" s="24"/>
      <c r="AA151" s="36">
        <f t="shared" si="21"/>
        <v>1</v>
      </c>
      <c r="AB151" s="36">
        <f t="shared" si="22"/>
        <v>0</v>
      </c>
      <c r="AC151" s="36">
        <f t="shared" si="23"/>
        <v>0</v>
      </c>
      <c r="AD151" s="36">
        <f t="shared" si="24"/>
        <v>0</v>
      </c>
      <c r="AE151" s="36">
        <f t="shared" si="25"/>
        <v>0</v>
      </c>
      <c r="AF151" s="10" t="s">
        <v>90</v>
      </c>
    </row>
    <row r="152">
      <c r="A152" s="9">
        <v>14.0</v>
      </c>
      <c r="B152" s="10" t="s">
        <v>94</v>
      </c>
      <c r="C152" s="40" t="s">
        <v>750</v>
      </c>
      <c r="D152" s="18">
        <v>28.0</v>
      </c>
      <c r="E152" s="11" t="s">
        <v>14</v>
      </c>
      <c r="F152" s="12" t="s">
        <v>29</v>
      </c>
      <c r="G152" s="11"/>
      <c r="H152" s="18"/>
      <c r="I152" s="11"/>
      <c r="J152" s="24"/>
      <c r="K152" s="11"/>
      <c r="L152" s="18"/>
      <c r="M152" s="11"/>
      <c r="N152" s="12"/>
      <c r="O152" s="11"/>
      <c r="P152" s="18"/>
      <c r="Q152" s="11"/>
      <c r="R152" s="24"/>
      <c r="S152" s="11"/>
      <c r="T152" s="18"/>
      <c r="U152" s="11"/>
      <c r="V152" s="24"/>
      <c r="W152" s="10"/>
      <c r="X152" s="9"/>
      <c r="Y152" s="10"/>
      <c r="Z152" s="21"/>
      <c r="AA152" s="36">
        <f t="shared" si="21"/>
        <v>1</v>
      </c>
      <c r="AB152" s="36">
        <f t="shared" si="22"/>
        <v>0</v>
      </c>
      <c r="AC152" s="36">
        <f t="shared" si="23"/>
        <v>0</v>
      </c>
      <c r="AD152" s="36">
        <f t="shared" si="24"/>
        <v>0</v>
      </c>
      <c r="AE152" s="36">
        <f t="shared" si="25"/>
        <v>0</v>
      </c>
      <c r="AF152" s="10" t="s">
        <v>94</v>
      </c>
    </row>
    <row r="153">
      <c r="A153" s="9">
        <v>15.0</v>
      </c>
      <c r="B153" s="10" t="s">
        <v>105</v>
      </c>
      <c r="C153" s="40"/>
      <c r="D153" s="18"/>
      <c r="E153" s="11"/>
      <c r="F153" s="12"/>
      <c r="G153" s="22"/>
      <c r="H153" s="18"/>
      <c r="I153" s="11"/>
      <c r="J153" s="24"/>
      <c r="K153" s="11"/>
      <c r="L153" s="18"/>
      <c r="M153" s="11"/>
      <c r="N153" s="12"/>
      <c r="O153" s="11"/>
      <c r="P153" s="18"/>
      <c r="Q153" s="11"/>
      <c r="R153" s="24"/>
      <c r="S153" s="10"/>
      <c r="T153" s="9"/>
      <c r="U153" s="10"/>
      <c r="V153" s="21"/>
      <c r="W153" s="22"/>
      <c r="X153" s="18"/>
      <c r="Y153" s="11"/>
      <c r="Z153" s="24"/>
      <c r="AA153" s="36">
        <f t="shared" si="21"/>
        <v>0</v>
      </c>
      <c r="AB153" s="36">
        <f t="shared" si="22"/>
        <v>0</v>
      </c>
      <c r="AC153" s="36">
        <f t="shared" si="23"/>
        <v>0</v>
      </c>
      <c r="AD153" s="36">
        <f t="shared" si="24"/>
        <v>0</v>
      </c>
      <c r="AE153" s="36">
        <f t="shared" si="25"/>
        <v>0</v>
      </c>
      <c r="AF153" s="10" t="s">
        <v>105</v>
      </c>
    </row>
    <row r="154">
      <c r="A154" s="9">
        <v>16.0</v>
      </c>
      <c r="B154" s="10" t="s">
        <v>113</v>
      </c>
      <c r="C154" s="40" t="s">
        <v>751</v>
      </c>
      <c r="D154" s="18">
        <v>1.0</v>
      </c>
      <c r="E154" s="11" t="s">
        <v>14</v>
      </c>
      <c r="F154" s="12" t="s">
        <v>29</v>
      </c>
      <c r="G154" s="11"/>
      <c r="H154" s="18"/>
      <c r="I154" s="11"/>
      <c r="J154" s="24"/>
      <c r="K154" s="11"/>
      <c r="L154" s="18"/>
      <c r="M154" s="11"/>
      <c r="N154" s="12"/>
      <c r="O154" s="11"/>
      <c r="P154" s="18"/>
      <c r="Q154" s="11"/>
      <c r="R154" s="24"/>
      <c r="S154" s="11"/>
      <c r="T154" s="18"/>
      <c r="U154" s="11"/>
      <c r="V154" s="24"/>
      <c r="W154" s="22"/>
      <c r="X154" s="18"/>
      <c r="Y154" s="11"/>
      <c r="Z154" s="24"/>
      <c r="AA154" s="36">
        <f t="shared" si="21"/>
        <v>1</v>
      </c>
      <c r="AB154" s="36">
        <f t="shared" si="22"/>
        <v>0</v>
      </c>
      <c r="AC154" s="36">
        <f t="shared" si="23"/>
        <v>0</v>
      </c>
      <c r="AD154" s="36">
        <f t="shared" si="24"/>
        <v>0</v>
      </c>
      <c r="AE154" s="36">
        <f t="shared" si="25"/>
        <v>0</v>
      </c>
      <c r="AF154" s="10" t="s">
        <v>113</v>
      </c>
    </row>
    <row r="155">
      <c r="A155" s="9">
        <v>17.0</v>
      </c>
      <c r="B155" s="10" t="s">
        <v>122</v>
      </c>
      <c r="C155" s="40" t="s">
        <v>752</v>
      </c>
      <c r="D155" s="18">
        <v>8.0</v>
      </c>
      <c r="E155" s="11" t="s">
        <v>14</v>
      </c>
      <c r="F155" s="12" t="s">
        <v>29</v>
      </c>
      <c r="G155" s="22"/>
      <c r="H155" s="18"/>
      <c r="I155" s="11"/>
      <c r="J155" s="24"/>
      <c r="M155" s="11"/>
      <c r="N155" s="12"/>
      <c r="O155" s="11"/>
      <c r="P155" s="18"/>
      <c r="Q155" s="11"/>
      <c r="R155" s="24"/>
      <c r="S155" s="11"/>
      <c r="T155" s="18"/>
      <c r="U155" s="11"/>
      <c r="V155" s="24"/>
      <c r="W155" s="11"/>
      <c r="X155" s="18"/>
      <c r="Y155" s="11"/>
      <c r="Z155" s="24"/>
      <c r="AA155" s="36">
        <f t="shared" si="21"/>
        <v>1</v>
      </c>
      <c r="AB155" s="36">
        <f t="shared" si="22"/>
        <v>0</v>
      </c>
      <c r="AC155" s="36">
        <f t="shared" si="23"/>
        <v>0</v>
      </c>
      <c r="AD155" s="36">
        <f t="shared" si="24"/>
        <v>0</v>
      </c>
      <c r="AE155" s="36">
        <f t="shared" si="25"/>
        <v>0</v>
      </c>
      <c r="AF155" s="10" t="s">
        <v>122</v>
      </c>
    </row>
    <row r="156">
      <c r="A156" s="9">
        <v>18.0</v>
      </c>
      <c r="B156" s="10" t="s">
        <v>128</v>
      </c>
      <c r="C156" s="41"/>
      <c r="D156" s="9"/>
      <c r="E156" s="12"/>
      <c r="F156" s="12"/>
      <c r="G156" s="11"/>
      <c r="H156" s="18"/>
      <c r="I156" s="11"/>
      <c r="J156" s="24"/>
      <c r="K156" s="11"/>
      <c r="L156" s="18"/>
      <c r="M156" s="11"/>
      <c r="N156" s="12"/>
      <c r="O156" s="10"/>
      <c r="P156" s="9"/>
      <c r="Q156" s="10"/>
      <c r="R156" s="21"/>
      <c r="S156" s="10"/>
      <c r="T156" s="9"/>
      <c r="U156" s="10"/>
      <c r="V156" s="21"/>
      <c r="W156" s="10"/>
      <c r="X156" s="9"/>
      <c r="Y156" s="10"/>
      <c r="Z156" s="21"/>
      <c r="AA156" s="36">
        <f t="shared" si="21"/>
        <v>0</v>
      </c>
      <c r="AB156" s="36">
        <f t="shared" si="22"/>
        <v>0</v>
      </c>
      <c r="AC156" s="36">
        <f t="shared" si="23"/>
        <v>0</v>
      </c>
      <c r="AD156" s="36">
        <f t="shared" si="24"/>
        <v>0</v>
      </c>
      <c r="AE156" s="36">
        <f t="shared" si="25"/>
        <v>0</v>
      </c>
      <c r="AF156" s="10" t="s">
        <v>128</v>
      </c>
    </row>
    <row r="157">
      <c r="A157" s="9">
        <v>19.0</v>
      </c>
      <c r="B157" s="11" t="s">
        <v>485</v>
      </c>
      <c r="C157" s="40" t="s">
        <v>753</v>
      </c>
      <c r="D157" s="18">
        <v>38.0</v>
      </c>
      <c r="E157" s="12" t="s">
        <v>14</v>
      </c>
      <c r="F157" s="12" t="s">
        <v>29</v>
      </c>
      <c r="G157" s="11"/>
      <c r="H157" s="11"/>
      <c r="I157" s="12"/>
      <c r="J157" s="12"/>
      <c r="K157" s="11"/>
      <c r="L157" s="18"/>
      <c r="M157" s="12"/>
      <c r="N157" s="12"/>
      <c r="O157" s="11"/>
      <c r="P157" s="18"/>
      <c r="Q157" s="12"/>
      <c r="R157" s="12"/>
      <c r="S157" s="11"/>
      <c r="T157" s="18"/>
      <c r="U157" s="12"/>
      <c r="V157" s="12"/>
      <c r="W157" s="10"/>
      <c r="X157" s="10"/>
      <c r="Y157" s="12"/>
      <c r="Z157" s="12"/>
      <c r="AA157" s="36">
        <f t="shared" si="21"/>
        <v>1</v>
      </c>
      <c r="AB157" s="36">
        <f t="shared" si="22"/>
        <v>0</v>
      </c>
      <c r="AC157" s="36">
        <f t="shared" si="23"/>
        <v>0</v>
      </c>
      <c r="AD157" s="36">
        <f t="shared" si="24"/>
        <v>0</v>
      </c>
      <c r="AE157" s="36">
        <f t="shared" si="25"/>
        <v>0</v>
      </c>
    </row>
    <row r="158">
      <c r="A158" s="9">
        <v>20.0</v>
      </c>
      <c r="B158" s="10"/>
      <c r="C158" s="10"/>
      <c r="D158" s="10"/>
      <c r="E158" s="11"/>
      <c r="F158" s="12"/>
      <c r="G158" s="10"/>
      <c r="H158" s="10"/>
      <c r="I158" s="11"/>
      <c r="J158" s="12"/>
      <c r="K158" s="10"/>
      <c r="L158" s="10"/>
      <c r="M158" s="11"/>
      <c r="N158" s="12"/>
      <c r="O158" s="10"/>
      <c r="P158" s="10"/>
      <c r="Q158" s="11"/>
      <c r="R158" s="12"/>
      <c r="S158" s="10"/>
      <c r="T158" s="10"/>
      <c r="U158" s="11"/>
      <c r="V158" s="12"/>
      <c r="W158" s="10"/>
      <c r="X158" s="10"/>
      <c r="Y158" s="11"/>
      <c r="Z158" s="12"/>
      <c r="AA158" s="36">
        <f t="shared" si="21"/>
        <v>0</v>
      </c>
      <c r="AB158" s="36">
        <f t="shared" si="22"/>
        <v>0</v>
      </c>
      <c r="AC158" s="36">
        <f t="shared" si="23"/>
        <v>0</v>
      </c>
      <c r="AD158" s="36">
        <f t="shared" si="24"/>
        <v>0</v>
      </c>
      <c r="AE158" s="36">
        <f t="shared" si="25"/>
        <v>0</v>
      </c>
    </row>
    <row r="159">
      <c r="A159" s="9">
        <v>21.0</v>
      </c>
      <c r="E159" s="10"/>
      <c r="F159" s="12"/>
      <c r="I159" s="10"/>
      <c r="J159" s="12"/>
      <c r="M159" s="10"/>
      <c r="N159" s="12"/>
      <c r="Q159" s="10"/>
      <c r="R159" s="12"/>
      <c r="U159" s="10"/>
      <c r="V159" s="12"/>
      <c r="Y159" s="10"/>
      <c r="Z159" s="12"/>
      <c r="AA159" s="36">
        <f t="shared" si="21"/>
        <v>0</v>
      </c>
      <c r="AB159" s="36">
        <f t="shared" si="22"/>
        <v>0</v>
      </c>
      <c r="AC159" s="36">
        <f t="shared" si="23"/>
        <v>0</v>
      </c>
      <c r="AD159" s="36">
        <f t="shared" si="24"/>
        <v>0</v>
      </c>
      <c r="AE159" s="36">
        <f t="shared" si="25"/>
        <v>0</v>
      </c>
    </row>
    <row r="160">
      <c r="A160" s="9">
        <v>22.0</v>
      </c>
      <c r="E160" s="10"/>
      <c r="F160" s="12"/>
      <c r="I160" s="10"/>
      <c r="J160" s="12"/>
      <c r="M160" s="10"/>
      <c r="N160" s="12"/>
      <c r="Q160" s="10"/>
      <c r="R160" s="12"/>
      <c r="U160" s="10"/>
      <c r="V160" s="12"/>
      <c r="Y160" s="10"/>
      <c r="Z160" s="12"/>
      <c r="AA160" s="36">
        <f t="shared" si="21"/>
        <v>0</v>
      </c>
      <c r="AB160" s="36">
        <f t="shared" si="22"/>
        <v>0</v>
      </c>
      <c r="AC160" s="36">
        <f t="shared" si="23"/>
        <v>0</v>
      </c>
      <c r="AD160" s="36">
        <f t="shared" si="24"/>
        <v>0</v>
      </c>
      <c r="AE160" s="36">
        <f t="shared" si="25"/>
        <v>0</v>
      </c>
    </row>
    <row r="161">
      <c r="A161" s="9">
        <v>23.0</v>
      </c>
      <c r="E161" s="11"/>
      <c r="F161" s="12"/>
      <c r="I161" s="11"/>
      <c r="J161" s="12"/>
      <c r="M161" s="11"/>
      <c r="N161" s="12"/>
      <c r="Q161" s="11"/>
      <c r="R161" s="12"/>
      <c r="U161" s="11"/>
      <c r="V161" s="12"/>
      <c r="Y161" s="11"/>
      <c r="Z161" s="12"/>
      <c r="AA161" s="36">
        <f t="shared" si="21"/>
        <v>0</v>
      </c>
      <c r="AB161" s="36">
        <f t="shared" si="22"/>
        <v>0</v>
      </c>
      <c r="AC161" s="36">
        <f t="shared" si="23"/>
        <v>0</v>
      </c>
      <c r="AD161" s="36">
        <f t="shared" si="24"/>
        <v>0</v>
      </c>
      <c r="AE161" s="36">
        <f t="shared" si="25"/>
        <v>0</v>
      </c>
    </row>
    <row r="162">
      <c r="A162" s="9">
        <v>24.0</v>
      </c>
      <c r="E162" s="10"/>
      <c r="F162" s="12"/>
      <c r="I162" s="10"/>
      <c r="J162" s="12"/>
      <c r="M162" s="10"/>
      <c r="N162" s="12"/>
      <c r="Q162" s="10"/>
      <c r="R162" s="12"/>
      <c r="U162" s="10"/>
      <c r="V162" s="12"/>
      <c r="Y162" s="10"/>
      <c r="Z162" s="12"/>
      <c r="AA162" s="36">
        <f t="shared" si="21"/>
        <v>0</v>
      </c>
      <c r="AB162" s="36">
        <f t="shared" si="22"/>
        <v>0</v>
      </c>
      <c r="AC162" s="36">
        <f t="shared" si="23"/>
        <v>0</v>
      </c>
      <c r="AD162" s="36">
        <f t="shared" si="24"/>
        <v>0</v>
      </c>
      <c r="AE162" s="36">
        <f t="shared" si="25"/>
        <v>0</v>
      </c>
    </row>
    <row r="163">
      <c r="A163" s="9">
        <v>25.0</v>
      </c>
    </row>
  </sheetData>
  <mergeCells count="55">
    <mergeCell ref="C104:F104"/>
    <mergeCell ref="G104:J104"/>
    <mergeCell ref="K104:N104"/>
    <mergeCell ref="O104:R104"/>
    <mergeCell ref="S104:V104"/>
    <mergeCell ref="W104:Z104"/>
    <mergeCell ref="S71:V71"/>
    <mergeCell ref="W71:Z71"/>
    <mergeCell ref="AA71:AE71"/>
    <mergeCell ref="A100:AF102"/>
    <mergeCell ref="A103:AF103"/>
    <mergeCell ref="A104:A105"/>
    <mergeCell ref="B104:B105"/>
    <mergeCell ref="K137:N137"/>
    <mergeCell ref="O137:R137"/>
    <mergeCell ref="S137:V137"/>
    <mergeCell ref="W137:Z137"/>
    <mergeCell ref="AA104:AE104"/>
    <mergeCell ref="A133:AF135"/>
    <mergeCell ref="A136:AF136"/>
    <mergeCell ref="A137:A138"/>
    <mergeCell ref="B137:B138"/>
    <mergeCell ref="C137:F137"/>
    <mergeCell ref="G137:J137"/>
    <mergeCell ref="AA137:AE137"/>
    <mergeCell ref="W5:Y5"/>
    <mergeCell ref="AA5:AE5"/>
    <mergeCell ref="A1:AF3"/>
    <mergeCell ref="A4:AF4"/>
    <mergeCell ref="A5:A6"/>
    <mergeCell ref="B5:B6"/>
    <mergeCell ref="C5:E5"/>
    <mergeCell ref="G5:I5"/>
    <mergeCell ref="K5:M5"/>
    <mergeCell ref="G38:J38"/>
    <mergeCell ref="K38:N38"/>
    <mergeCell ref="O38:R38"/>
    <mergeCell ref="S38:V38"/>
    <mergeCell ref="AA38:AE38"/>
    <mergeCell ref="O5:Q5"/>
    <mergeCell ref="S5:U5"/>
    <mergeCell ref="A34:Z36"/>
    <mergeCell ref="A37:Z37"/>
    <mergeCell ref="A38:A39"/>
    <mergeCell ref="B38:B39"/>
    <mergeCell ref="C38:F38"/>
    <mergeCell ref="K71:N71"/>
    <mergeCell ref="O71:R71"/>
    <mergeCell ref="W38:Z38"/>
    <mergeCell ref="A67:Z69"/>
    <mergeCell ref="A70:Z70"/>
    <mergeCell ref="A71:A72"/>
    <mergeCell ref="B71:B72"/>
    <mergeCell ref="C71:F71"/>
    <mergeCell ref="G71:J71"/>
  </mergeCells>
  <dataValidations>
    <dataValidation type="list" allowBlank="1" showErrorMessage="1" sqref="E7:E24 I7:I24 M7:M24 Q7:Q24 U7:U24 Y7:Y24 I40:I41 E40:E57 I43:I57 M40:M57 Q40:Q57 U40:U57 Y40:Y57 E73:E90 I73:I90 M73:M90 Q73:Q90 U73:U90 Y73:Y90 E106:E123 I106:I123 M106:M123 Q106:Q123 U106:U123 Y106:Y123 E139:E162 I139:I162 M139:M162 Q139:Q162 U139:U162 Y139:Y162">
      <formula1>"H,S,I,TD,A"</formula1>
    </dataValidation>
    <dataValidation type="list" allowBlank="1" showErrorMessage="1" sqref="F7:F24 J7:J24 N7:N24 R7:R24 V7:V24 Z7:Z24 J40:J41 F40:F57 J43:J57 N40:N57 R40:R57 V40:V57 Z40:Z57 F73:F90 J73:J90 N73:N90 R73:R90 V73:V90 Z73:Z90 F106:F123 J106:J123 N106:N123 R106:R123 V106:V123 Z106:Z123 F139:F162 J139:J162 N139:N162 R139:R162 V139:V162 Z139:Z162">
      <formula1>"A Rifqi,Ahmad,Syakir ,Faliq,Fakhri"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38"/>
    <col customWidth="1" min="15" max="19" width="7.38"/>
    <col customWidth="1" min="20" max="20" width="17.38"/>
  </cols>
  <sheetData>
    <row r="1">
      <c r="A1" s="1" t="s">
        <v>754</v>
      </c>
    </row>
    <row r="4">
      <c r="A4" s="42" t="s">
        <v>755</v>
      </c>
      <c r="U4" s="43"/>
      <c r="V4" s="43"/>
      <c r="W4" s="43"/>
      <c r="X4" s="43"/>
      <c r="Y4" s="43"/>
      <c r="Z4" s="43"/>
    </row>
    <row r="5">
      <c r="A5" s="3" t="s">
        <v>2</v>
      </c>
      <c r="B5" s="3" t="s">
        <v>3</v>
      </c>
      <c r="C5" s="44" t="s">
        <v>4</v>
      </c>
      <c r="E5" s="44" t="s">
        <v>5</v>
      </c>
      <c r="G5" s="44" t="s">
        <v>756</v>
      </c>
      <c r="I5" s="44" t="s">
        <v>7</v>
      </c>
      <c r="K5" s="44" t="s">
        <v>8</v>
      </c>
      <c r="M5" s="44" t="s">
        <v>9</v>
      </c>
      <c r="O5" s="9" t="s">
        <v>10</v>
      </c>
    </row>
    <row r="6">
      <c r="C6" s="32" t="s">
        <v>757</v>
      </c>
      <c r="D6" s="32" t="s">
        <v>11</v>
      </c>
      <c r="E6" s="32" t="s">
        <v>757</v>
      </c>
      <c r="F6" s="32" t="s">
        <v>11</v>
      </c>
      <c r="G6" s="32" t="s">
        <v>757</v>
      </c>
      <c r="H6" s="32" t="s">
        <v>11</v>
      </c>
      <c r="I6" s="32" t="s">
        <v>757</v>
      </c>
      <c r="J6" s="32" t="s">
        <v>11</v>
      </c>
      <c r="K6" s="32" t="s">
        <v>757</v>
      </c>
      <c r="L6" s="32" t="s">
        <v>11</v>
      </c>
      <c r="M6" s="32" t="s">
        <v>757</v>
      </c>
      <c r="N6" s="32" t="s">
        <v>11</v>
      </c>
      <c r="O6" s="9" t="s">
        <v>14</v>
      </c>
      <c r="P6" s="9" t="s">
        <v>15</v>
      </c>
      <c r="Q6" s="9" t="s">
        <v>16</v>
      </c>
      <c r="R6" s="9" t="s">
        <v>17</v>
      </c>
      <c r="S6" s="9" t="s">
        <v>18</v>
      </c>
    </row>
    <row r="7">
      <c r="A7" s="9">
        <v>1.0</v>
      </c>
      <c r="B7" s="10" t="s">
        <v>19</v>
      </c>
      <c r="C7" s="10"/>
      <c r="D7" s="9"/>
      <c r="E7" s="10"/>
      <c r="F7" s="10"/>
      <c r="G7" s="10"/>
      <c r="H7" s="10"/>
      <c r="I7" s="10"/>
      <c r="J7" s="10"/>
      <c r="K7" s="10"/>
      <c r="L7" s="10"/>
      <c r="M7" s="12"/>
      <c r="N7" s="12"/>
      <c r="O7" s="9">
        <f t="shared" ref="O7:O28" si="1">COUNTIF(C7:N7,"H")</f>
        <v>0</v>
      </c>
      <c r="P7" s="9">
        <f t="shared" ref="P7:P28" si="2">COUNTIF(C7:N7,"I")</f>
        <v>0</v>
      </c>
      <c r="Q7" s="9">
        <f t="shared" ref="Q7:Q28" si="3">COUNTIF(C7:N7,"TD")</f>
        <v>0</v>
      </c>
      <c r="R7" s="9">
        <f t="shared" ref="R7:R28" si="4">COUNTIF(C7:N7,"S")</f>
        <v>0</v>
      </c>
      <c r="S7" s="9">
        <f t="shared" ref="S7:S28" si="5">COUNTIF(C7:N7,"A")</f>
        <v>0</v>
      </c>
      <c r="T7" s="10" t="s">
        <v>19</v>
      </c>
    </row>
    <row r="8">
      <c r="A8" s="9">
        <v>2.0</v>
      </c>
      <c r="B8" s="10" t="s">
        <v>24</v>
      </c>
      <c r="C8" s="10"/>
      <c r="D8" s="9"/>
      <c r="E8" s="10"/>
      <c r="F8" s="10"/>
      <c r="G8" s="10"/>
      <c r="H8" s="9"/>
      <c r="I8" s="11" t="s">
        <v>14</v>
      </c>
      <c r="J8" s="9"/>
      <c r="K8" s="10"/>
      <c r="L8" s="10"/>
      <c r="M8" s="11" t="s">
        <v>14</v>
      </c>
      <c r="N8" s="10"/>
      <c r="O8" s="9">
        <f t="shared" si="1"/>
        <v>2</v>
      </c>
      <c r="P8" s="9">
        <f t="shared" si="2"/>
        <v>0</v>
      </c>
      <c r="Q8" s="9">
        <f t="shared" si="3"/>
        <v>0</v>
      </c>
      <c r="R8" s="9">
        <f t="shared" si="4"/>
        <v>0</v>
      </c>
      <c r="S8" s="9">
        <f t="shared" si="5"/>
        <v>0</v>
      </c>
      <c r="T8" s="10" t="s">
        <v>24</v>
      </c>
    </row>
    <row r="9">
      <c r="A9" s="9">
        <v>3.0</v>
      </c>
      <c r="B9" s="10" t="s">
        <v>34</v>
      </c>
      <c r="C9" s="10"/>
      <c r="D9" s="9"/>
      <c r="E9" s="10"/>
      <c r="F9" s="10"/>
      <c r="G9" s="10"/>
      <c r="H9" s="9"/>
      <c r="I9" s="11" t="s">
        <v>14</v>
      </c>
      <c r="J9" s="9"/>
      <c r="K9" s="10"/>
      <c r="L9" s="10"/>
      <c r="M9" s="10"/>
      <c r="N9" s="10"/>
      <c r="O9" s="9">
        <f t="shared" si="1"/>
        <v>1</v>
      </c>
      <c r="P9" s="9">
        <f t="shared" si="2"/>
        <v>0</v>
      </c>
      <c r="Q9" s="9">
        <f t="shared" si="3"/>
        <v>0</v>
      </c>
      <c r="R9" s="9">
        <f t="shared" si="4"/>
        <v>0</v>
      </c>
      <c r="S9" s="9">
        <f t="shared" si="5"/>
        <v>0</v>
      </c>
      <c r="T9" s="10" t="s">
        <v>34</v>
      </c>
    </row>
    <row r="10">
      <c r="A10" s="9">
        <v>4.0</v>
      </c>
      <c r="B10" s="10" t="s">
        <v>39</v>
      </c>
      <c r="C10" s="10"/>
      <c r="D10" s="9"/>
      <c r="E10" s="10"/>
      <c r="F10" s="10"/>
      <c r="G10" s="10"/>
      <c r="H10" s="9"/>
      <c r="I10" s="10"/>
      <c r="J10" s="10"/>
      <c r="K10" s="10"/>
      <c r="L10" s="10"/>
      <c r="M10" s="10"/>
      <c r="N10" s="10"/>
      <c r="O10" s="9">
        <f t="shared" si="1"/>
        <v>0</v>
      </c>
      <c r="P10" s="9">
        <f t="shared" si="2"/>
        <v>0</v>
      </c>
      <c r="Q10" s="9">
        <f t="shared" si="3"/>
        <v>0</v>
      </c>
      <c r="R10" s="9">
        <f t="shared" si="4"/>
        <v>0</v>
      </c>
      <c r="S10" s="9">
        <f t="shared" si="5"/>
        <v>0</v>
      </c>
      <c r="T10" s="10" t="s">
        <v>39</v>
      </c>
    </row>
    <row r="11">
      <c r="A11" s="9">
        <v>5.0</v>
      </c>
      <c r="B11" s="10" t="s">
        <v>43</v>
      </c>
      <c r="C11" s="10"/>
      <c r="D11" s="9"/>
      <c r="E11" s="10"/>
      <c r="F11" s="10"/>
      <c r="G11" s="10"/>
      <c r="H11" s="9"/>
      <c r="I11" s="11" t="s">
        <v>14</v>
      </c>
      <c r="J11" s="9"/>
      <c r="K11" s="10"/>
      <c r="L11" s="10"/>
      <c r="M11" s="10"/>
      <c r="N11" s="10"/>
      <c r="O11" s="9">
        <f t="shared" si="1"/>
        <v>1</v>
      </c>
      <c r="P11" s="9">
        <f t="shared" si="2"/>
        <v>0</v>
      </c>
      <c r="Q11" s="9">
        <f t="shared" si="3"/>
        <v>0</v>
      </c>
      <c r="R11" s="9">
        <f t="shared" si="4"/>
        <v>0</v>
      </c>
      <c r="S11" s="9">
        <f t="shared" si="5"/>
        <v>0</v>
      </c>
      <c r="T11" s="10" t="s">
        <v>43</v>
      </c>
    </row>
    <row r="12">
      <c r="A12" s="9">
        <v>6.0</v>
      </c>
      <c r="B12" s="10" t="s">
        <v>49</v>
      </c>
      <c r="C12" s="10"/>
      <c r="D12" s="9"/>
      <c r="E12" s="10"/>
      <c r="F12" s="10"/>
      <c r="G12" s="10"/>
      <c r="H12" s="9"/>
      <c r="I12" s="11" t="s">
        <v>15</v>
      </c>
      <c r="J12" s="9"/>
      <c r="K12" s="10"/>
      <c r="L12" s="10"/>
      <c r="M12" s="10"/>
      <c r="N12" s="10"/>
      <c r="O12" s="9">
        <f t="shared" si="1"/>
        <v>0</v>
      </c>
      <c r="P12" s="9">
        <f t="shared" si="2"/>
        <v>1</v>
      </c>
      <c r="Q12" s="9">
        <f t="shared" si="3"/>
        <v>0</v>
      </c>
      <c r="R12" s="9">
        <f t="shared" si="4"/>
        <v>0</v>
      </c>
      <c r="S12" s="9">
        <f t="shared" si="5"/>
        <v>0</v>
      </c>
      <c r="T12" s="10" t="s">
        <v>49</v>
      </c>
    </row>
    <row r="13">
      <c r="A13" s="9">
        <v>7.0</v>
      </c>
      <c r="B13" s="10" t="s">
        <v>50</v>
      </c>
      <c r="C13" s="10"/>
      <c r="D13" s="9"/>
      <c r="E13" s="10"/>
      <c r="F13" s="10"/>
      <c r="G13" s="10"/>
      <c r="H13" s="9"/>
      <c r="I13" s="11" t="s">
        <v>14</v>
      </c>
      <c r="J13" s="9"/>
      <c r="K13" s="10"/>
      <c r="L13" s="10"/>
      <c r="M13" s="11" t="s">
        <v>14</v>
      </c>
      <c r="N13" s="10"/>
      <c r="O13" s="9">
        <f t="shared" si="1"/>
        <v>2</v>
      </c>
      <c r="P13" s="9">
        <f t="shared" si="2"/>
        <v>0</v>
      </c>
      <c r="Q13" s="9">
        <f t="shared" si="3"/>
        <v>0</v>
      </c>
      <c r="R13" s="9">
        <f t="shared" si="4"/>
        <v>0</v>
      </c>
      <c r="S13" s="9">
        <f t="shared" si="5"/>
        <v>0</v>
      </c>
      <c r="T13" s="10" t="s">
        <v>50</v>
      </c>
    </row>
    <row r="14">
      <c r="A14" s="9">
        <v>8.0</v>
      </c>
      <c r="B14" s="10" t="s">
        <v>61</v>
      </c>
      <c r="C14" s="10"/>
      <c r="D14" s="9"/>
      <c r="E14" s="10"/>
      <c r="F14" s="10"/>
      <c r="G14" s="10"/>
      <c r="H14" s="9"/>
      <c r="I14" s="11" t="s">
        <v>14</v>
      </c>
      <c r="J14" s="9"/>
      <c r="K14" s="10"/>
      <c r="L14" s="10"/>
      <c r="M14" s="11" t="s">
        <v>14</v>
      </c>
      <c r="N14" s="10"/>
      <c r="O14" s="9">
        <f t="shared" si="1"/>
        <v>2</v>
      </c>
      <c r="P14" s="9">
        <f t="shared" si="2"/>
        <v>0</v>
      </c>
      <c r="Q14" s="9">
        <f t="shared" si="3"/>
        <v>0</v>
      </c>
      <c r="R14" s="9">
        <f t="shared" si="4"/>
        <v>0</v>
      </c>
      <c r="S14" s="9">
        <f t="shared" si="5"/>
        <v>0</v>
      </c>
      <c r="T14" s="10" t="s">
        <v>61</v>
      </c>
    </row>
    <row r="15">
      <c r="A15" s="9">
        <v>9.0</v>
      </c>
      <c r="B15" s="10" t="s">
        <v>70</v>
      </c>
      <c r="C15" s="10"/>
      <c r="D15" s="9"/>
      <c r="E15" s="10"/>
      <c r="F15" s="10"/>
      <c r="G15" s="10"/>
      <c r="H15" s="9"/>
      <c r="I15" s="11" t="s">
        <v>14</v>
      </c>
      <c r="J15" s="9"/>
      <c r="K15" s="10"/>
      <c r="L15" s="10"/>
      <c r="M15" s="11" t="s">
        <v>14</v>
      </c>
      <c r="N15" s="10"/>
      <c r="O15" s="9">
        <f t="shared" si="1"/>
        <v>2</v>
      </c>
      <c r="P15" s="9">
        <f t="shared" si="2"/>
        <v>0</v>
      </c>
      <c r="Q15" s="9">
        <f t="shared" si="3"/>
        <v>0</v>
      </c>
      <c r="R15" s="9">
        <f t="shared" si="4"/>
        <v>0</v>
      </c>
      <c r="S15" s="9">
        <f t="shared" si="5"/>
        <v>0</v>
      </c>
      <c r="T15" s="10" t="s">
        <v>70</v>
      </c>
    </row>
    <row r="16">
      <c r="A16" s="9">
        <v>10.0</v>
      </c>
      <c r="B16" s="10" t="s">
        <v>75</v>
      </c>
      <c r="C16" s="10"/>
      <c r="D16" s="9"/>
      <c r="E16" s="10"/>
      <c r="F16" s="10"/>
      <c r="G16" s="10"/>
      <c r="H16" s="9"/>
      <c r="I16" s="11" t="s">
        <v>14</v>
      </c>
      <c r="J16" s="9"/>
      <c r="K16" s="10"/>
      <c r="L16" s="10"/>
      <c r="M16" s="11" t="s">
        <v>14</v>
      </c>
      <c r="N16" s="10"/>
      <c r="O16" s="9">
        <f t="shared" si="1"/>
        <v>2</v>
      </c>
      <c r="P16" s="9">
        <f t="shared" si="2"/>
        <v>0</v>
      </c>
      <c r="Q16" s="9">
        <f t="shared" si="3"/>
        <v>0</v>
      </c>
      <c r="R16" s="9">
        <f t="shared" si="4"/>
        <v>0</v>
      </c>
      <c r="S16" s="9">
        <f t="shared" si="5"/>
        <v>0</v>
      </c>
      <c r="T16" s="10" t="s">
        <v>75</v>
      </c>
    </row>
    <row r="17">
      <c r="A17" s="9">
        <v>11.0</v>
      </c>
      <c r="B17" s="10" t="s">
        <v>83</v>
      </c>
      <c r="C17" s="10"/>
      <c r="D17" s="9"/>
      <c r="E17" s="10"/>
      <c r="F17" s="10"/>
      <c r="G17" s="10"/>
      <c r="H17" s="9"/>
      <c r="I17" s="10"/>
      <c r="J17" s="9"/>
      <c r="K17" s="10"/>
      <c r="L17" s="10"/>
      <c r="M17" s="11" t="s">
        <v>14</v>
      </c>
      <c r="N17" s="10"/>
      <c r="O17" s="9">
        <f t="shared" si="1"/>
        <v>1</v>
      </c>
      <c r="P17" s="9">
        <f t="shared" si="2"/>
        <v>0</v>
      </c>
      <c r="Q17" s="9">
        <f t="shared" si="3"/>
        <v>0</v>
      </c>
      <c r="R17" s="9">
        <f t="shared" si="4"/>
        <v>0</v>
      </c>
      <c r="S17" s="9">
        <f t="shared" si="5"/>
        <v>0</v>
      </c>
      <c r="T17" s="10" t="s">
        <v>83</v>
      </c>
    </row>
    <row r="18">
      <c r="A18" s="9">
        <v>12.0</v>
      </c>
      <c r="B18" s="10" t="s">
        <v>87</v>
      </c>
      <c r="C18" s="10"/>
      <c r="D18" s="9"/>
      <c r="E18" s="10"/>
      <c r="F18" s="10"/>
      <c r="G18" s="10"/>
      <c r="H18" s="9"/>
      <c r="I18" s="10"/>
      <c r="J18" s="10"/>
      <c r="K18" s="10"/>
      <c r="L18" s="10"/>
      <c r="M18" s="10"/>
      <c r="N18" s="10"/>
      <c r="O18" s="9">
        <f t="shared" si="1"/>
        <v>0</v>
      </c>
      <c r="P18" s="9">
        <f t="shared" si="2"/>
        <v>0</v>
      </c>
      <c r="Q18" s="9">
        <f t="shared" si="3"/>
        <v>0</v>
      </c>
      <c r="R18" s="9">
        <f t="shared" si="4"/>
        <v>0</v>
      </c>
      <c r="S18" s="9">
        <f t="shared" si="5"/>
        <v>0</v>
      </c>
      <c r="T18" s="10" t="s">
        <v>87</v>
      </c>
    </row>
    <row r="19">
      <c r="A19" s="9">
        <v>13.0</v>
      </c>
      <c r="B19" s="10" t="s">
        <v>90</v>
      </c>
      <c r="C19" s="10"/>
      <c r="D19" s="9"/>
      <c r="E19" s="10"/>
      <c r="F19" s="10"/>
      <c r="G19" s="10"/>
      <c r="H19" s="9"/>
      <c r="I19" s="11" t="s">
        <v>14</v>
      </c>
      <c r="J19" s="9"/>
      <c r="K19" s="10"/>
      <c r="L19" s="10"/>
      <c r="M19" s="10"/>
      <c r="N19" s="10"/>
      <c r="O19" s="9">
        <f t="shared" si="1"/>
        <v>1</v>
      </c>
      <c r="P19" s="9">
        <f t="shared" si="2"/>
        <v>0</v>
      </c>
      <c r="Q19" s="9">
        <f t="shared" si="3"/>
        <v>0</v>
      </c>
      <c r="R19" s="9">
        <f t="shared" si="4"/>
        <v>0</v>
      </c>
      <c r="S19" s="9">
        <f t="shared" si="5"/>
        <v>0</v>
      </c>
      <c r="T19" s="10" t="s">
        <v>90</v>
      </c>
    </row>
    <row r="20">
      <c r="A20" s="9">
        <v>14.0</v>
      </c>
      <c r="B20" s="10" t="s">
        <v>94</v>
      </c>
      <c r="C20" s="10"/>
      <c r="D20" s="9"/>
      <c r="E20" s="10"/>
      <c r="F20" s="10"/>
      <c r="G20" s="10"/>
      <c r="H20" s="9"/>
      <c r="I20" s="11" t="s">
        <v>14</v>
      </c>
      <c r="J20" s="9"/>
      <c r="K20" s="10"/>
      <c r="L20" s="10"/>
      <c r="M20" s="11" t="s">
        <v>14</v>
      </c>
      <c r="N20" s="10"/>
      <c r="O20" s="9">
        <f t="shared" si="1"/>
        <v>2</v>
      </c>
      <c r="P20" s="9">
        <f t="shared" si="2"/>
        <v>0</v>
      </c>
      <c r="Q20" s="9">
        <f t="shared" si="3"/>
        <v>0</v>
      </c>
      <c r="R20" s="9">
        <f t="shared" si="4"/>
        <v>0</v>
      </c>
      <c r="S20" s="9">
        <f t="shared" si="5"/>
        <v>0</v>
      </c>
      <c r="T20" s="10" t="s">
        <v>94</v>
      </c>
    </row>
    <row r="21">
      <c r="A21" s="9">
        <v>15.0</v>
      </c>
      <c r="B21" s="10" t="s">
        <v>105</v>
      </c>
      <c r="C21" s="10"/>
      <c r="D21" s="9"/>
      <c r="E21" s="10"/>
      <c r="F21" s="10"/>
      <c r="G21" s="10"/>
      <c r="H21" s="9"/>
      <c r="I21" s="11" t="s">
        <v>14</v>
      </c>
      <c r="J21" s="9"/>
      <c r="K21" s="10"/>
      <c r="L21" s="10"/>
      <c r="M21" s="11" t="s">
        <v>14</v>
      </c>
      <c r="N21" s="10"/>
      <c r="O21" s="9">
        <f t="shared" si="1"/>
        <v>2</v>
      </c>
      <c r="P21" s="9">
        <f t="shared" si="2"/>
        <v>0</v>
      </c>
      <c r="Q21" s="9">
        <f t="shared" si="3"/>
        <v>0</v>
      </c>
      <c r="R21" s="9">
        <f t="shared" si="4"/>
        <v>0</v>
      </c>
      <c r="S21" s="9">
        <f t="shared" si="5"/>
        <v>0</v>
      </c>
      <c r="T21" s="10" t="s">
        <v>105</v>
      </c>
    </row>
    <row r="22">
      <c r="A22" s="9">
        <v>16.0</v>
      </c>
      <c r="B22" s="10" t="s">
        <v>113</v>
      </c>
      <c r="C22" s="10"/>
      <c r="D22" s="9"/>
      <c r="E22" s="10"/>
      <c r="F22" s="10"/>
      <c r="G22" s="10"/>
      <c r="H22" s="9"/>
      <c r="I22" s="11" t="s">
        <v>14</v>
      </c>
      <c r="J22" s="9"/>
      <c r="K22" s="10"/>
      <c r="L22" s="10"/>
      <c r="M22" s="11" t="s">
        <v>14</v>
      </c>
      <c r="N22" s="10"/>
      <c r="O22" s="9">
        <f t="shared" si="1"/>
        <v>2</v>
      </c>
      <c r="P22" s="9">
        <f t="shared" si="2"/>
        <v>0</v>
      </c>
      <c r="Q22" s="9">
        <f t="shared" si="3"/>
        <v>0</v>
      </c>
      <c r="R22" s="9">
        <f t="shared" si="4"/>
        <v>0</v>
      </c>
      <c r="S22" s="9">
        <f t="shared" si="5"/>
        <v>0</v>
      </c>
      <c r="T22" s="10" t="s">
        <v>113</v>
      </c>
    </row>
    <row r="23">
      <c r="A23" s="9">
        <v>17.0</v>
      </c>
      <c r="B23" s="10" t="s">
        <v>122</v>
      </c>
      <c r="C23" s="10"/>
      <c r="D23" s="9"/>
      <c r="E23" s="10"/>
      <c r="F23" s="10"/>
      <c r="G23" s="10"/>
      <c r="H23" s="9"/>
      <c r="I23" s="10"/>
      <c r="J23" s="9"/>
      <c r="K23" s="10"/>
      <c r="L23" s="10"/>
      <c r="M23" s="11" t="s">
        <v>14</v>
      </c>
      <c r="N23" s="10"/>
      <c r="O23" s="9">
        <f t="shared" si="1"/>
        <v>1</v>
      </c>
      <c r="P23" s="9">
        <f t="shared" si="2"/>
        <v>0</v>
      </c>
      <c r="Q23" s="9">
        <f t="shared" si="3"/>
        <v>0</v>
      </c>
      <c r="R23" s="9">
        <f t="shared" si="4"/>
        <v>0</v>
      </c>
      <c r="S23" s="9">
        <f t="shared" si="5"/>
        <v>0</v>
      </c>
      <c r="T23" s="10" t="s">
        <v>122</v>
      </c>
    </row>
    <row r="24">
      <c r="A24" s="9">
        <v>18.0</v>
      </c>
      <c r="B24" s="10" t="s">
        <v>128</v>
      </c>
      <c r="C24" s="10"/>
      <c r="D24" s="9"/>
      <c r="E24" s="10"/>
      <c r="F24" s="10"/>
      <c r="G24" s="10"/>
      <c r="H24" s="9"/>
      <c r="I24" s="11" t="s">
        <v>14</v>
      </c>
      <c r="J24" s="9"/>
      <c r="K24" s="10"/>
      <c r="L24" s="10"/>
      <c r="M24" s="11" t="s">
        <v>14</v>
      </c>
      <c r="N24" s="10"/>
      <c r="O24" s="9">
        <f t="shared" si="1"/>
        <v>2</v>
      </c>
      <c r="P24" s="9">
        <f t="shared" si="2"/>
        <v>0</v>
      </c>
      <c r="Q24" s="9">
        <f t="shared" si="3"/>
        <v>0</v>
      </c>
      <c r="R24" s="9">
        <f t="shared" si="4"/>
        <v>0</v>
      </c>
      <c r="S24" s="9">
        <f t="shared" si="5"/>
        <v>0</v>
      </c>
      <c r="T24" s="10" t="s">
        <v>128</v>
      </c>
    </row>
    <row r="25">
      <c r="A25" s="9">
        <v>19.0</v>
      </c>
      <c r="B25" s="10" t="s">
        <v>758</v>
      </c>
      <c r="C25" s="10"/>
      <c r="D25" s="9"/>
      <c r="E25" s="10"/>
      <c r="F25" s="10"/>
      <c r="G25" s="10"/>
      <c r="H25" s="9"/>
      <c r="I25" s="11" t="s">
        <v>14</v>
      </c>
      <c r="J25" s="9"/>
      <c r="K25" s="10"/>
      <c r="L25" s="10"/>
      <c r="M25" s="11" t="s">
        <v>14</v>
      </c>
      <c r="N25" s="10"/>
      <c r="O25" s="9">
        <f t="shared" si="1"/>
        <v>2</v>
      </c>
      <c r="P25" s="9">
        <f t="shared" si="2"/>
        <v>0</v>
      </c>
      <c r="Q25" s="9">
        <f t="shared" si="3"/>
        <v>0</v>
      </c>
      <c r="R25" s="9">
        <f t="shared" si="4"/>
        <v>0</v>
      </c>
      <c r="S25" s="9">
        <f t="shared" si="5"/>
        <v>0</v>
      </c>
      <c r="T25" s="10" t="s">
        <v>758</v>
      </c>
    </row>
    <row r="26">
      <c r="A26" s="9">
        <v>20.0</v>
      </c>
      <c r="B26" s="10" t="s">
        <v>759</v>
      </c>
      <c r="C26" s="10"/>
      <c r="D26" s="9"/>
      <c r="E26" s="10"/>
      <c r="F26" s="10"/>
      <c r="G26" s="10"/>
      <c r="H26" s="9"/>
      <c r="I26" s="11" t="s">
        <v>14</v>
      </c>
      <c r="J26" s="9"/>
      <c r="K26" s="10"/>
      <c r="L26" s="10"/>
      <c r="M26" s="11" t="s">
        <v>14</v>
      </c>
      <c r="N26" s="10"/>
      <c r="O26" s="9">
        <f t="shared" si="1"/>
        <v>2</v>
      </c>
      <c r="P26" s="9">
        <f t="shared" si="2"/>
        <v>0</v>
      </c>
      <c r="Q26" s="9">
        <f t="shared" si="3"/>
        <v>0</v>
      </c>
      <c r="R26" s="9">
        <f t="shared" si="4"/>
        <v>0</v>
      </c>
      <c r="S26" s="9">
        <f t="shared" si="5"/>
        <v>0</v>
      </c>
      <c r="T26" s="10" t="s">
        <v>759</v>
      </c>
    </row>
    <row r="27">
      <c r="A27" s="9">
        <v>21.0</v>
      </c>
      <c r="B27" s="10" t="s">
        <v>760</v>
      </c>
      <c r="C27" s="10"/>
      <c r="D27" s="10"/>
      <c r="E27" s="10"/>
      <c r="F27" s="10"/>
      <c r="G27" s="10"/>
      <c r="H27" s="9"/>
      <c r="I27" s="11" t="s">
        <v>14</v>
      </c>
      <c r="J27" s="9"/>
      <c r="K27" s="10"/>
      <c r="L27" s="10"/>
      <c r="M27" s="11" t="s">
        <v>14</v>
      </c>
      <c r="N27" s="10"/>
      <c r="O27" s="9">
        <f t="shared" si="1"/>
        <v>2</v>
      </c>
      <c r="P27" s="9">
        <f t="shared" si="2"/>
        <v>0</v>
      </c>
      <c r="Q27" s="9">
        <f t="shared" si="3"/>
        <v>0</v>
      </c>
      <c r="R27" s="9">
        <f t="shared" si="4"/>
        <v>0</v>
      </c>
      <c r="S27" s="9">
        <f t="shared" si="5"/>
        <v>0</v>
      </c>
      <c r="T27" s="10" t="s">
        <v>760</v>
      </c>
    </row>
    <row r="28">
      <c r="A28" s="9">
        <v>22.0</v>
      </c>
      <c r="B28" s="10" t="s">
        <v>761</v>
      </c>
      <c r="C28" s="10"/>
      <c r="D28" s="9"/>
      <c r="E28" s="10"/>
      <c r="F28" s="10"/>
      <c r="G28" s="10"/>
      <c r="H28" s="9"/>
      <c r="I28" s="11"/>
      <c r="J28" s="9"/>
      <c r="K28" s="10"/>
      <c r="L28" s="10"/>
      <c r="M28" s="11" t="s">
        <v>14</v>
      </c>
      <c r="N28" s="10"/>
      <c r="O28" s="9">
        <f t="shared" si="1"/>
        <v>1</v>
      </c>
      <c r="P28" s="9">
        <f t="shared" si="2"/>
        <v>0</v>
      </c>
      <c r="Q28" s="9">
        <f t="shared" si="3"/>
        <v>0</v>
      </c>
      <c r="R28" s="9">
        <f t="shared" si="4"/>
        <v>0</v>
      </c>
      <c r="S28" s="9">
        <f t="shared" si="5"/>
        <v>0</v>
      </c>
      <c r="T28" s="10" t="s">
        <v>761</v>
      </c>
    </row>
    <row r="29">
      <c r="O29" s="36"/>
      <c r="P29" s="36"/>
      <c r="Q29" s="36"/>
      <c r="R29" s="36"/>
      <c r="S29" s="36"/>
    </row>
    <row r="30">
      <c r="O30" s="36"/>
      <c r="P30" s="36"/>
      <c r="Q30" s="36"/>
      <c r="R30" s="36"/>
      <c r="S30" s="36"/>
    </row>
    <row r="31">
      <c r="O31" s="36"/>
      <c r="P31" s="36"/>
      <c r="Q31" s="36"/>
      <c r="R31" s="36"/>
      <c r="S31" s="36"/>
    </row>
    <row r="32">
      <c r="A32" s="1" t="s">
        <v>754</v>
      </c>
      <c r="O32" s="36"/>
      <c r="P32" s="36"/>
      <c r="Q32" s="36"/>
      <c r="R32" s="36"/>
      <c r="S32" s="36"/>
    </row>
    <row r="33">
      <c r="O33" s="36"/>
      <c r="P33" s="36"/>
      <c r="Q33" s="36"/>
      <c r="R33" s="36"/>
      <c r="S33" s="36"/>
    </row>
    <row r="34">
      <c r="O34" s="36"/>
      <c r="P34" s="36"/>
      <c r="Q34" s="36"/>
      <c r="R34" s="36"/>
      <c r="S34" s="36"/>
    </row>
    <row r="35">
      <c r="A35" s="42" t="s">
        <v>762</v>
      </c>
      <c r="O35" s="36"/>
      <c r="P35" s="36"/>
      <c r="Q35" s="36"/>
      <c r="R35" s="36"/>
      <c r="S35" s="36"/>
    </row>
    <row r="36">
      <c r="A36" s="3" t="s">
        <v>2</v>
      </c>
      <c r="B36" s="3" t="s">
        <v>3</v>
      </c>
      <c r="C36" s="44" t="s">
        <v>145</v>
      </c>
      <c r="E36" s="3" t="s">
        <v>544</v>
      </c>
      <c r="G36" s="3" t="s">
        <v>545</v>
      </c>
      <c r="I36" s="3" t="s">
        <v>357</v>
      </c>
      <c r="K36" s="3" t="s">
        <v>546</v>
      </c>
      <c r="M36" s="3" t="s">
        <v>547</v>
      </c>
      <c r="O36" s="9" t="s">
        <v>10</v>
      </c>
    </row>
    <row r="37">
      <c r="C37" s="32" t="s">
        <v>757</v>
      </c>
      <c r="D37" s="32" t="s">
        <v>11</v>
      </c>
      <c r="E37" s="32" t="s">
        <v>757</v>
      </c>
      <c r="F37" s="32" t="s">
        <v>11</v>
      </c>
      <c r="G37" s="32" t="s">
        <v>757</v>
      </c>
      <c r="H37" s="32" t="s">
        <v>11</v>
      </c>
      <c r="I37" s="32" t="s">
        <v>757</v>
      </c>
      <c r="J37" s="32" t="s">
        <v>11</v>
      </c>
      <c r="K37" s="32" t="s">
        <v>757</v>
      </c>
      <c r="L37" s="32" t="s">
        <v>11</v>
      </c>
      <c r="M37" s="32" t="s">
        <v>757</v>
      </c>
      <c r="N37" s="32" t="s">
        <v>11</v>
      </c>
      <c r="O37" s="9" t="s">
        <v>14</v>
      </c>
      <c r="P37" s="9" t="s">
        <v>15</v>
      </c>
      <c r="Q37" s="9" t="s">
        <v>16</v>
      </c>
      <c r="R37" s="9" t="s">
        <v>17</v>
      </c>
      <c r="S37" s="9" t="s">
        <v>18</v>
      </c>
    </row>
    <row r="38">
      <c r="A38" s="9">
        <v>1.0</v>
      </c>
      <c r="B38" s="10" t="s">
        <v>19</v>
      </c>
      <c r="C38" s="10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2"/>
      <c r="O38" s="9">
        <f t="shared" ref="O38:O59" si="6">COUNTIF(C38:N38,"H")</f>
        <v>0</v>
      </c>
      <c r="P38" s="9">
        <f t="shared" ref="P38:P59" si="7">COUNTIF(C38:N38,"I")</f>
        <v>0</v>
      </c>
      <c r="Q38" s="9">
        <f t="shared" ref="Q38:Q59" si="8">COUNTIF(C38:N38,"TD")</f>
        <v>0</v>
      </c>
      <c r="R38" s="9">
        <f t="shared" ref="R38:R59" si="9">COUNTIF(C38:N38,"S")</f>
        <v>0</v>
      </c>
      <c r="S38" s="9">
        <f t="shared" ref="S38:S59" si="10">COUNTIF(C38:N38,"A")</f>
        <v>0</v>
      </c>
      <c r="T38" s="10" t="s">
        <v>19</v>
      </c>
    </row>
    <row r="39">
      <c r="A39" s="9">
        <v>2.0</v>
      </c>
      <c r="B39" s="10" t="s">
        <v>24</v>
      </c>
      <c r="C39" s="11" t="s">
        <v>14</v>
      </c>
      <c r="D39" s="9"/>
      <c r="E39" s="10"/>
      <c r="F39" s="10"/>
      <c r="G39" s="10"/>
      <c r="H39" s="9"/>
      <c r="I39" s="10"/>
      <c r="J39" s="18" t="s">
        <v>14</v>
      </c>
      <c r="K39" s="10"/>
      <c r="L39" s="10"/>
      <c r="M39" s="10"/>
      <c r="N39" s="10"/>
      <c r="O39" s="9">
        <f t="shared" si="6"/>
        <v>2</v>
      </c>
      <c r="P39" s="9">
        <f t="shared" si="7"/>
        <v>0</v>
      </c>
      <c r="Q39" s="9">
        <f t="shared" si="8"/>
        <v>0</v>
      </c>
      <c r="R39" s="9">
        <f t="shared" si="9"/>
        <v>0</v>
      </c>
      <c r="S39" s="9">
        <f t="shared" si="10"/>
        <v>0</v>
      </c>
      <c r="T39" s="10" t="s">
        <v>24</v>
      </c>
    </row>
    <row r="40">
      <c r="A40" s="9">
        <v>3.0</v>
      </c>
      <c r="B40" s="10" t="s">
        <v>34</v>
      </c>
      <c r="C40" s="10"/>
      <c r="D40" s="18" t="s">
        <v>14</v>
      </c>
      <c r="E40" s="10"/>
      <c r="F40" s="10"/>
      <c r="G40" s="10"/>
      <c r="H40" s="9"/>
      <c r="I40" s="10"/>
      <c r="J40" s="18" t="s">
        <v>14</v>
      </c>
      <c r="K40" s="10"/>
      <c r="L40" s="10"/>
      <c r="M40" s="10"/>
      <c r="N40" s="10"/>
      <c r="O40" s="9">
        <f t="shared" si="6"/>
        <v>2</v>
      </c>
      <c r="P40" s="9">
        <f t="shared" si="7"/>
        <v>0</v>
      </c>
      <c r="Q40" s="9">
        <f t="shared" si="8"/>
        <v>0</v>
      </c>
      <c r="R40" s="9">
        <f t="shared" si="9"/>
        <v>0</v>
      </c>
      <c r="S40" s="9">
        <f t="shared" si="10"/>
        <v>0</v>
      </c>
      <c r="T40" s="10" t="s">
        <v>34</v>
      </c>
    </row>
    <row r="41">
      <c r="A41" s="9">
        <v>4.0</v>
      </c>
      <c r="B41" s="10" t="s">
        <v>39</v>
      </c>
      <c r="C41" s="10"/>
      <c r="D41" s="9"/>
      <c r="E41" s="10"/>
      <c r="F41" s="10"/>
      <c r="G41" s="10"/>
      <c r="H41" s="9"/>
      <c r="I41" s="10"/>
      <c r="J41" s="10"/>
      <c r="K41" s="10"/>
      <c r="L41" s="10"/>
      <c r="M41" s="10"/>
      <c r="N41" s="10"/>
      <c r="O41" s="9">
        <f t="shared" si="6"/>
        <v>0</v>
      </c>
      <c r="P41" s="9">
        <f t="shared" si="7"/>
        <v>0</v>
      </c>
      <c r="Q41" s="9">
        <f t="shared" si="8"/>
        <v>0</v>
      </c>
      <c r="R41" s="9">
        <f t="shared" si="9"/>
        <v>0</v>
      </c>
      <c r="S41" s="9">
        <f t="shared" si="10"/>
        <v>0</v>
      </c>
      <c r="T41" s="10" t="s">
        <v>39</v>
      </c>
    </row>
    <row r="42">
      <c r="A42" s="9">
        <v>5.0</v>
      </c>
      <c r="B42" s="10" t="s">
        <v>43</v>
      </c>
      <c r="C42" s="11" t="s">
        <v>17</v>
      </c>
      <c r="D42" s="9"/>
      <c r="E42" s="10"/>
      <c r="F42" s="10"/>
      <c r="G42" s="10"/>
      <c r="H42" s="9"/>
      <c r="I42" s="10"/>
      <c r="J42" s="9"/>
      <c r="K42" s="10"/>
      <c r="L42" s="10"/>
      <c r="M42" s="10"/>
      <c r="N42" s="10"/>
      <c r="O42" s="9">
        <f t="shared" si="6"/>
        <v>0</v>
      </c>
      <c r="P42" s="9">
        <f t="shared" si="7"/>
        <v>0</v>
      </c>
      <c r="Q42" s="9">
        <f t="shared" si="8"/>
        <v>0</v>
      </c>
      <c r="R42" s="9">
        <f t="shared" si="9"/>
        <v>1</v>
      </c>
      <c r="S42" s="9">
        <f t="shared" si="10"/>
        <v>0</v>
      </c>
      <c r="T42" s="10" t="s">
        <v>43</v>
      </c>
    </row>
    <row r="43">
      <c r="A43" s="9">
        <v>6.0</v>
      </c>
      <c r="B43" s="10" t="s">
        <v>49</v>
      </c>
      <c r="C43" s="10"/>
      <c r="D43" s="9"/>
      <c r="E43" s="10"/>
      <c r="F43" s="10"/>
      <c r="G43" s="10"/>
      <c r="H43" s="9"/>
      <c r="I43" s="10"/>
      <c r="J43" s="9"/>
      <c r="K43" s="10"/>
      <c r="L43" s="10"/>
      <c r="M43" s="10"/>
      <c r="N43" s="10"/>
      <c r="O43" s="9">
        <f t="shared" si="6"/>
        <v>0</v>
      </c>
      <c r="P43" s="9">
        <f t="shared" si="7"/>
        <v>0</v>
      </c>
      <c r="Q43" s="9">
        <f t="shared" si="8"/>
        <v>0</v>
      </c>
      <c r="R43" s="9">
        <f t="shared" si="9"/>
        <v>0</v>
      </c>
      <c r="S43" s="9">
        <f t="shared" si="10"/>
        <v>0</v>
      </c>
      <c r="T43" s="10" t="s">
        <v>49</v>
      </c>
    </row>
    <row r="44">
      <c r="A44" s="9">
        <v>7.0</v>
      </c>
      <c r="B44" s="10" t="s">
        <v>50</v>
      </c>
      <c r="C44" s="11" t="s">
        <v>14</v>
      </c>
      <c r="D44" s="9"/>
      <c r="E44" s="10"/>
      <c r="F44" s="10"/>
      <c r="G44" s="10"/>
      <c r="H44" s="9"/>
      <c r="I44" s="10"/>
      <c r="J44" s="18" t="s">
        <v>14</v>
      </c>
      <c r="K44" s="10"/>
      <c r="L44" s="10"/>
      <c r="M44" s="10"/>
      <c r="N44" s="10"/>
      <c r="O44" s="9">
        <f t="shared" si="6"/>
        <v>2</v>
      </c>
      <c r="P44" s="9">
        <f t="shared" si="7"/>
        <v>0</v>
      </c>
      <c r="Q44" s="9">
        <f t="shared" si="8"/>
        <v>0</v>
      </c>
      <c r="R44" s="9">
        <f t="shared" si="9"/>
        <v>0</v>
      </c>
      <c r="S44" s="9">
        <f t="shared" si="10"/>
        <v>0</v>
      </c>
      <c r="T44" s="10" t="s">
        <v>50</v>
      </c>
    </row>
    <row r="45">
      <c r="A45" s="9">
        <v>8.0</v>
      </c>
      <c r="B45" s="10" t="s">
        <v>61</v>
      </c>
      <c r="C45" s="11" t="s">
        <v>14</v>
      </c>
      <c r="D45" s="9"/>
      <c r="E45" s="10"/>
      <c r="F45" s="10"/>
      <c r="G45" s="10"/>
      <c r="H45" s="9"/>
      <c r="I45" s="10"/>
      <c r="J45" s="18" t="s">
        <v>14</v>
      </c>
      <c r="K45" s="10"/>
      <c r="L45" s="10"/>
      <c r="M45" s="10"/>
      <c r="N45" s="10"/>
      <c r="O45" s="9">
        <f t="shared" si="6"/>
        <v>2</v>
      </c>
      <c r="P45" s="9">
        <f t="shared" si="7"/>
        <v>0</v>
      </c>
      <c r="Q45" s="9">
        <f t="shared" si="8"/>
        <v>0</v>
      </c>
      <c r="R45" s="9">
        <f t="shared" si="9"/>
        <v>0</v>
      </c>
      <c r="S45" s="9">
        <f t="shared" si="10"/>
        <v>0</v>
      </c>
      <c r="T45" s="10" t="s">
        <v>61</v>
      </c>
    </row>
    <row r="46">
      <c r="A46" s="9">
        <v>9.0</v>
      </c>
      <c r="B46" s="10" t="s">
        <v>70</v>
      </c>
      <c r="C46" s="11" t="s">
        <v>14</v>
      </c>
      <c r="D46" s="18" t="s">
        <v>14</v>
      </c>
      <c r="E46" s="10"/>
      <c r="F46" s="10"/>
      <c r="G46" s="10"/>
      <c r="H46" s="9"/>
      <c r="I46" s="10"/>
      <c r="J46" s="18" t="s">
        <v>16</v>
      </c>
      <c r="K46" s="10"/>
      <c r="L46" s="10"/>
      <c r="M46" s="10"/>
      <c r="N46" s="10"/>
      <c r="O46" s="9">
        <f t="shared" si="6"/>
        <v>2</v>
      </c>
      <c r="P46" s="9">
        <f t="shared" si="7"/>
        <v>0</v>
      </c>
      <c r="Q46" s="9">
        <f t="shared" si="8"/>
        <v>1</v>
      </c>
      <c r="R46" s="9">
        <f t="shared" si="9"/>
        <v>0</v>
      </c>
      <c r="S46" s="9">
        <f t="shared" si="10"/>
        <v>0</v>
      </c>
      <c r="T46" s="10" t="s">
        <v>70</v>
      </c>
    </row>
    <row r="47">
      <c r="A47" s="9">
        <v>10.0</v>
      </c>
      <c r="B47" s="10" t="s">
        <v>75</v>
      </c>
      <c r="C47" s="11" t="s">
        <v>14</v>
      </c>
      <c r="D47" s="9"/>
      <c r="E47" s="10"/>
      <c r="F47" s="10"/>
      <c r="G47" s="10"/>
      <c r="H47" s="9"/>
      <c r="I47" s="10"/>
      <c r="J47" s="18" t="s">
        <v>14</v>
      </c>
      <c r="K47" s="10"/>
      <c r="L47" s="10"/>
      <c r="M47" s="10"/>
      <c r="N47" s="10"/>
      <c r="O47" s="9">
        <f t="shared" si="6"/>
        <v>2</v>
      </c>
      <c r="P47" s="9">
        <f t="shared" si="7"/>
        <v>0</v>
      </c>
      <c r="Q47" s="9">
        <f t="shared" si="8"/>
        <v>0</v>
      </c>
      <c r="R47" s="9">
        <f t="shared" si="9"/>
        <v>0</v>
      </c>
      <c r="S47" s="9">
        <f t="shared" si="10"/>
        <v>0</v>
      </c>
      <c r="T47" s="10" t="s">
        <v>75</v>
      </c>
    </row>
    <row r="48">
      <c r="A48" s="9">
        <v>11.0</v>
      </c>
      <c r="B48" s="10" t="s">
        <v>83</v>
      </c>
      <c r="C48" s="11" t="s">
        <v>14</v>
      </c>
      <c r="D48" s="9"/>
      <c r="E48" s="10"/>
      <c r="F48" s="10"/>
      <c r="G48" s="10"/>
      <c r="H48" s="9"/>
      <c r="I48" s="10"/>
      <c r="J48" s="18" t="s">
        <v>14</v>
      </c>
      <c r="K48" s="10"/>
      <c r="L48" s="10"/>
      <c r="M48" s="10"/>
      <c r="N48" s="10"/>
      <c r="O48" s="9">
        <f t="shared" si="6"/>
        <v>2</v>
      </c>
      <c r="P48" s="9">
        <f t="shared" si="7"/>
        <v>0</v>
      </c>
      <c r="Q48" s="9">
        <f t="shared" si="8"/>
        <v>0</v>
      </c>
      <c r="R48" s="9">
        <f t="shared" si="9"/>
        <v>0</v>
      </c>
      <c r="S48" s="9">
        <f t="shared" si="10"/>
        <v>0</v>
      </c>
      <c r="T48" s="10" t="s">
        <v>83</v>
      </c>
    </row>
    <row r="49">
      <c r="A49" s="9">
        <v>12.0</v>
      </c>
      <c r="B49" s="10" t="s">
        <v>87</v>
      </c>
      <c r="C49" s="10"/>
      <c r="D49" s="9"/>
      <c r="E49" s="10"/>
      <c r="F49" s="10"/>
      <c r="G49" s="10"/>
      <c r="H49" s="9"/>
      <c r="I49" s="10"/>
      <c r="J49" s="10"/>
      <c r="K49" s="10"/>
      <c r="L49" s="10"/>
      <c r="M49" s="10"/>
      <c r="N49" s="10"/>
      <c r="O49" s="9">
        <f t="shared" si="6"/>
        <v>0</v>
      </c>
      <c r="P49" s="9">
        <f t="shared" si="7"/>
        <v>0</v>
      </c>
      <c r="Q49" s="9">
        <f t="shared" si="8"/>
        <v>0</v>
      </c>
      <c r="R49" s="9">
        <f t="shared" si="9"/>
        <v>0</v>
      </c>
      <c r="S49" s="9">
        <f t="shared" si="10"/>
        <v>0</v>
      </c>
      <c r="T49" s="10" t="s">
        <v>87</v>
      </c>
    </row>
    <row r="50">
      <c r="A50" s="9">
        <v>13.0</v>
      </c>
      <c r="B50" s="10" t="s">
        <v>90</v>
      </c>
      <c r="C50" s="11" t="s">
        <v>14</v>
      </c>
      <c r="D50" s="9"/>
      <c r="E50" s="10"/>
      <c r="F50" s="10"/>
      <c r="G50" s="10"/>
      <c r="H50" s="9"/>
      <c r="I50" s="10"/>
      <c r="J50" s="18" t="s">
        <v>14</v>
      </c>
      <c r="K50" s="10"/>
      <c r="L50" s="10"/>
      <c r="M50" s="10"/>
      <c r="N50" s="10"/>
      <c r="O50" s="9">
        <f t="shared" si="6"/>
        <v>2</v>
      </c>
      <c r="P50" s="9">
        <f t="shared" si="7"/>
        <v>0</v>
      </c>
      <c r="Q50" s="9">
        <f t="shared" si="8"/>
        <v>0</v>
      </c>
      <c r="R50" s="9">
        <f t="shared" si="9"/>
        <v>0</v>
      </c>
      <c r="S50" s="9">
        <f t="shared" si="10"/>
        <v>0</v>
      </c>
      <c r="T50" s="10" t="s">
        <v>90</v>
      </c>
    </row>
    <row r="51">
      <c r="A51" s="9">
        <v>14.0</v>
      </c>
      <c r="B51" s="10" t="s">
        <v>94</v>
      </c>
      <c r="C51" s="11" t="s">
        <v>14</v>
      </c>
      <c r="D51" s="18" t="s">
        <v>14</v>
      </c>
      <c r="E51" s="10"/>
      <c r="F51" s="10"/>
      <c r="G51" s="10"/>
      <c r="H51" s="9"/>
      <c r="I51" s="10"/>
      <c r="J51" s="18" t="s">
        <v>14</v>
      </c>
      <c r="K51" s="10"/>
      <c r="L51" s="10"/>
      <c r="M51" s="10"/>
      <c r="N51" s="10"/>
      <c r="O51" s="9">
        <f t="shared" si="6"/>
        <v>3</v>
      </c>
      <c r="P51" s="9">
        <f t="shared" si="7"/>
        <v>0</v>
      </c>
      <c r="Q51" s="9">
        <f t="shared" si="8"/>
        <v>0</v>
      </c>
      <c r="R51" s="9">
        <f t="shared" si="9"/>
        <v>0</v>
      </c>
      <c r="S51" s="9">
        <f t="shared" si="10"/>
        <v>0</v>
      </c>
      <c r="T51" s="10" t="s">
        <v>94</v>
      </c>
    </row>
    <row r="52">
      <c r="A52" s="9">
        <v>15.0</v>
      </c>
      <c r="B52" s="10" t="s">
        <v>105</v>
      </c>
      <c r="C52" s="11" t="s">
        <v>14</v>
      </c>
      <c r="D52" s="18" t="s">
        <v>14</v>
      </c>
      <c r="E52" s="10"/>
      <c r="F52" s="10"/>
      <c r="G52" s="10"/>
      <c r="H52" s="9"/>
      <c r="I52" s="10"/>
      <c r="J52" s="18" t="s">
        <v>14</v>
      </c>
      <c r="K52" s="10"/>
      <c r="L52" s="10"/>
      <c r="M52" s="10"/>
      <c r="N52" s="10"/>
      <c r="O52" s="9">
        <f t="shared" si="6"/>
        <v>3</v>
      </c>
      <c r="P52" s="9">
        <f t="shared" si="7"/>
        <v>0</v>
      </c>
      <c r="Q52" s="9">
        <f t="shared" si="8"/>
        <v>0</v>
      </c>
      <c r="R52" s="9">
        <f t="shared" si="9"/>
        <v>0</v>
      </c>
      <c r="S52" s="9">
        <f t="shared" si="10"/>
        <v>0</v>
      </c>
      <c r="T52" s="10" t="s">
        <v>105</v>
      </c>
    </row>
    <row r="53">
      <c r="A53" s="9">
        <v>16.0</v>
      </c>
      <c r="B53" s="10" t="s">
        <v>113</v>
      </c>
      <c r="C53" s="11" t="s">
        <v>14</v>
      </c>
      <c r="D53" s="9"/>
      <c r="E53" s="10"/>
      <c r="F53" s="10"/>
      <c r="G53" s="10"/>
      <c r="H53" s="9"/>
      <c r="I53" s="10"/>
      <c r="J53" s="18" t="s">
        <v>14</v>
      </c>
      <c r="K53" s="10"/>
      <c r="L53" s="10"/>
      <c r="M53" s="10"/>
      <c r="N53" s="10"/>
      <c r="O53" s="9">
        <f t="shared" si="6"/>
        <v>2</v>
      </c>
      <c r="P53" s="9">
        <f t="shared" si="7"/>
        <v>0</v>
      </c>
      <c r="Q53" s="9">
        <f t="shared" si="8"/>
        <v>0</v>
      </c>
      <c r="R53" s="9">
        <f t="shared" si="9"/>
        <v>0</v>
      </c>
      <c r="S53" s="9">
        <f t="shared" si="10"/>
        <v>0</v>
      </c>
      <c r="T53" s="10" t="s">
        <v>113</v>
      </c>
    </row>
    <row r="54">
      <c r="A54" s="9">
        <v>17.0</v>
      </c>
      <c r="B54" s="10" t="s">
        <v>122</v>
      </c>
      <c r="C54" s="11" t="s">
        <v>14</v>
      </c>
      <c r="D54" s="9"/>
      <c r="E54" s="10"/>
      <c r="F54" s="10"/>
      <c r="G54" s="10"/>
      <c r="H54" s="9"/>
      <c r="I54" s="10"/>
      <c r="J54" s="18" t="s">
        <v>14</v>
      </c>
      <c r="K54" s="10"/>
      <c r="L54" s="10"/>
      <c r="M54" s="10"/>
      <c r="N54" s="10"/>
      <c r="O54" s="9">
        <f t="shared" si="6"/>
        <v>2</v>
      </c>
      <c r="P54" s="9">
        <f t="shared" si="7"/>
        <v>0</v>
      </c>
      <c r="Q54" s="9">
        <f t="shared" si="8"/>
        <v>0</v>
      </c>
      <c r="R54" s="9">
        <f t="shared" si="9"/>
        <v>0</v>
      </c>
      <c r="S54" s="9">
        <f t="shared" si="10"/>
        <v>0</v>
      </c>
      <c r="T54" s="10" t="s">
        <v>122</v>
      </c>
    </row>
    <row r="55">
      <c r="A55" s="9">
        <v>18.0</v>
      </c>
      <c r="B55" s="10" t="s">
        <v>128</v>
      </c>
      <c r="C55" s="11" t="s">
        <v>14</v>
      </c>
      <c r="D55" s="18" t="s">
        <v>14</v>
      </c>
      <c r="E55" s="10"/>
      <c r="F55" s="10"/>
      <c r="G55" s="10"/>
      <c r="H55" s="9"/>
      <c r="I55" s="10"/>
      <c r="J55" s="18" t="s">
        <v>14</v>
      </c>
      <c r="K55" s="10"/>
      <c r="L55" s="10"/>
      <c r="M55" s="10"/>
      <c r="N55" s="10"/>
      <c r="O55" s="9">
        <f t="shared" si="6"/>
        <v>3</v>
      </c>
      <c r="P55" s="9">
        <f t="shared" si="7"/>
        <v>0</v>
      </c>
      <c r="Q55" s="9">
        <f t="shared" si="8"/>
        <v>0</v>
      </c>
      <c r="R55" s="9">
        <f t="shared" si="9"/>
        <v>0</v>
      </c>
      <c r="S55" s="9">
        <f t="shared" si="10"/>
        <v>0</v>
      </c>
      <c r="T55" s="10" t="s">
        <v>128</v>
      </c>
    </row>
    <row r="56">
      <c r="A56" s="9">
        <v>19.0</v>
      </c>
      <c r="B56" s="10" t="s">
        <v>758</v>
      </c>
      <c r="C56" s="11" t="s">
        <v>14</v>
      </c>
      <c r="D56" s="18" t="s">
        <v>14</v>
      </c>
      <c r="E56" s="10"/>
      <c r="F56" s="10"/>
      <c r="G56" s="10"/>
      <c r="H56" s="9"/>
      <c r="I56" s="10"/>
      <c r="J56" s="18" t="s">
        <v>14</v>
      </c>
      <c r="K56" s="10"/>
      <c r="L56" s="10"/>
      <c r="M56" s="10"/>
      <c r="N56" s="10"/>
      <c r="O56" s="9">
        <f t="shared" si="6"/>
        <v>3</v>
      </c>
      <c r="P56" s="9">
        <f t="shared" si="7"/>
        <v>0</v>
      </c>
      <c r="Q56" s="9">
        <f t="shared" si="8"/>
        <v>0</v>
      </c>
      <c r="R56" s="9">
        <f t="shared" si="9"/>
        <v>0</v>
      </c>
      <c r="S56" s="9">
        <f t="shared" si="10"/>
        <v>0</v>
      </c>
      <c r="T56" s="10" t="s">
        <v>758</v>
      </c>
    </row>
    <row r="57">
      <c r="A57" s="9">
        <v>20.0</v>
      </c>
      <c r="B57" s="10" t="s">
        <v>759</v>
      </c>
      <c r="C57" s="11" t="s">
        <v>14</v>
      </c>
      <c r="D57" s="18" t="s">
        <v>14</v>
      </c>
      <c r="E57" s="10"/>
      <c r="F57" s="10"/>
      <c r="G57" s="10"/>
      <c r="H57" s="9"/>
      <c r="I57" s="10"/>
      <c r="J57" s="18" t="s">
        <v>14</v>
      </c>
      <c r="K57" s="10"/>
      <c r="L57" s="10"/>
      <c r="M57" s="10"/>
      <c r="N57" s="10"/>
      <c r="O57" s="9">
        <f t="shared" si="6"/>
        <v>3</v>
      </c>
      <c r="P57" s="9">
        <f t="shared" si="7"/>
        <v>0</v>
      </c>
      <c r="Q57" s="9">
        <f t="shared" si="8"/>
        <v>0</v>
      </c>
      <c r="R57" s="9">
        <f t="shared" si="9"/>
        <v>0</v>
      </c>
      <c r="S57" s="9">
        <f t="shared" si="10"/>
        <v>0</v>
      </c>
      <c r="T57" s="10" t="s">
        <v>759</v>
      </c>
    </row>
    <row r="58">
      <c r="A58" s="9">
        <v>21.0</v>
      </c>
      <c r="B58" s="10" t="s">
        <v>760</v>
      </c>
      <c r="C58" s="11" t="s">
        <v>14</v>
      </c>
      <c r="D58" s="11" t="s">
        <v>14</v>
      </c>
      <c r="E58" s="10"/>
      <c r="F58" s="10"/>
      <c r="G58" s="10"/>
      <c r="H58" s="9"/>
      <c r="I58" s="10"/>
      <c r="J58" s="18" t="s">
        <v>14</v>
      </c>
      <c r="K58" s="10"/>
      <c r="L58" s="10"/>
      <c r="M58" s="10"/>
      <c r="N58" s="10"/>
      <c r="O58" s="9">
        <f t="shared" si="6"/>
        <v>3</v>
      </c>
      <c r="P58" s="9">
        <f t="shared" si="7"/>
        <v>0</v>
      </c>
      <c r="Q58" s="9">
        <f t="shared" si="8"/>
        <v>0</v>
      </c>
      <c r="R58" s="9">
        <f t="shared" si="9"/>
        <v>0</v>
      </c>
      <c r="S58" s="9">
        <f t="shared" si="10"/>
        <v>0</v>
      </c>
      <c r="T58" s="10" t="s">
        <v>760</v>
      </c>
    </row>
    <row r="59">
      <c r="A59" s="9">
        <v>22.0</v>
      </c>
      <c r="B59" s="10" t="s">
        <v>761</v>
      </c>
      <c r="C59" s="11" t="s">
        <v>14</v>
      </c>
      <c r="D59" s="9"/>
      <c r="E59" s="10"/>
      <c r="F59" s="10"/>
      <c r="G59" s="10"/>
      <c r="H59" s="9"/>
      <c r="I59" s="10"/>
      <c r="J59" s="18" t="s">
        <v>14</v>
      </c>
      <c r="K59" s="10"/>
      <c r="L59" s="10"/>
      <c r="M59" s="10"/>
      <c r="N59" s="10"/>
      <c r="O59" s="9">
        <f t="shared" si="6"/>
        <v>2</v>
      </c>
      <c r="P59" s="9">
        <f t="shared" si="7"/>
        <v>0</v>
      </c>
      <c r="Q59" s="9">
        <f t="shared" si="8"/>
        <v>0</v>
      </c>
      <c r="R59" s="9">
        <f t="shared" si="9"/>
        <v>0</v>
      </c>
      <c r="S59" s="9">
        <f t="shared" si="10"/>
        <v>0</v>
      </c>
      <c r="T59" s="10" t="s">
        <v>761</v>
      </c>
    </row>
    <row r="60">
      <c r="O60" s="36"/>
      <c r="P60" s="36"/>
      <c r="Q60" s="36"/>
      <c r="R60" s="36"/>
      <c r="S60" s="36"/>
    </row>
    <row r="61">
      <c r="O61" s="36"/>
      <c r="P61" s="36"/>
      <c r="Q61" s="36"/>
      <c r="R61" s="36"/>
      <c r="S61" s="36"/>
    </row>
    <row r="62">
      <c r="O62" s="36"/>
      <c r="P62" s="36"/>
      <c r="Q62" s="36"/>
      <c r="R62" s="36"/>
      <c r="S62" s="36"/>
    </row>
    <row r="63">
      <c r="A63" s="1" t="s">
        <v>754</v>
      </c>
      <c r="O63" s="36"/>
      <c r="P63" s="36"/>
      <c r="Q63" s="36"/>
      <c r="R63" s="36"/>
      <c r="S63" s="36"/>
    </row>
    <row r="64">
      <c r="O64" s="36"/>
      <c r="P64" s="36"/>
      <c r="Q64" s="36"/>
      <c r="R64" s="36"/>
      <c r="S64" s="36"/>
    </row>
    <row r="65">
      <c r="O65" s="36"/>
      <c r="P65" s="36"/>
      <c r="Q65" s="36"/>
      <c r="R65" s="36"/>
      <c r="S65" s="36"/>
    </row>
    <row r="66">
      <c r="A66" s="42" t="s">
        <v>763</v>
      </c>
      <c r="O66" s="36"/>
      <c r="P66" s="36"/>
      <c r="Q66" s="36"/>
      <c r="R66" s="36"/>
      <c r="S66" s="36"/>
    </row>
    <row r="67">
      <c r="A67" s="3" t="s">
        <v>2</v>
      </c>
      <c r="B67" s="3" t="s">
        <v>3</v>
      </c>
      <c r="C67" s="3" t="s">
        <v>354</v>
      </c>
      <c r="E67" s="3" t="s">
        <v>544</v>
      </c>
      <c r="G67" s="3" t="s">
        <v>545</v>
      </c>
      <c r="I67" s="3" t="s">
        <v>357</v>
      </c>
      <c r="K67" s="3" t="s">
        <v>546</v>
      </c>
      <c r="M67" s="3" t="s">
        <v>547</v>
      </c>
      <c r="O67" s="9" t="s">
        <v>10</v>
      </c>
    </row>
    <row r="68">
      <c r="C68" s="32" t="s">
        <v>757</v>
      </c>
      <c r="D68" s="32" t="s">
        <v>11</v>
      </c>
      <c r="E68" s="32" t="s">
        <v>757</v>
      </c>
      <c r="F68" s="32" t="s">
        <v>11</v>
      </c>
      <c r="G68" s="32" t="s">
        <v>757</v>
      </c>
      <c r="H68" s="32" t="s">
        <v>11</v>
      </c>
      <c r="I68" s="32" t="s">
        <v>757</v>
      </c>
      <c r="J68" s="32" t="s">
        <v>11</v>
      </c>
      <c r="K68" s="32" t="s">
        <v>757</v>
      </c>
      <c r="L68" s="32" t="s">
        <v>11</v>
      </c>
      <c r="M68" s="32" t="s">
        <v>757</v>
      </c>
      <c r="N68" s="32" t="s">
        <v>11</v>
      </c>
      <c r="O68" s="9" t="s">
        <v>14</v>
      </c>
      <c r="P68" s="9" t="s">
        <v>15</v>
      </c>
      <c r="Q68" s="9" t="s">
        <v>16</v>
      </c>
      <c r="R68" s="9" t="s">
        <v>17</v>
      </c>
      <c r="S68" s="9" t="s">
        <v>18</v>
      </c>
    </row>
    <row r="69">
      <c r="A69" s="9">
        <v>1.0</v>
      </c>
      <c r="B69" s="10" t="s">
        <v>19</v>
      </c>
      <c r="C69" s="10"/>
      <c r="D69" s="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9">
        <f t="shared" ref="O69:O90" si="11">COUNTIF(C69:N69,"H")</f>
        <v>0</v>
      </c>
      <c r="P69" s="9">
        <f t="shared" ref="P69:P90" si="12">COUNTIF(C69:N69,"I")</f>
        <v>0</v>
      </c>
      <c r="Q69" s="9">
        <f t="shared" ref="Q69:Q90" si="13">COUNTIF(C69:N69,"TD")</f>
        <v>0</v>
      </c>
      <c r="R69" s="9">
        <f t="shared" ref="R69:R90" si="14">COUNTIF(C69:N69,"S")</f>
        <v>0</v>
      </c>
      <c r="S69" s="9">
        <f t="shared" ref="S69:S90" si="15">COUNTIF(C69:N69,"A")</f>
        <v>0</v>
      </c>
      <c r="T69" s="10" t="s">
        <v>19</v>
      </c>
    </row>
    <row r="70">
      <c r="A70" s="9">
        <v>2.0</v>
      </c>
      <c r="B70" s="10" t="s">
        <v>24</v>
      </c>
      <c r="C70" s="10"/>
      <c r="D70" s="9"/>
      <c r="E70" s="10"/>
      <c r="F70" s="10"/>
      <c r="G70" s="11" t="s">
        <v>14</v>
      </c>
      <c r="H70" s="9"/>
      <c r="I70" s="11" t="s">
        <v>14</v>
      </c>
      <c r="J70" s="9"/>
      <c r="K70" s="10"/>
      <c r="L70" s="10"/>
      <c r="M70" s="10"/>
      <c r="N70" s="10"/>
      <c r="O70" s="9">
        <f t="shared" si="11"/>
        <v>2</v>
      </c>
      <c r="P70" s="9">
        <f t="shared" si="12"/>
        <v>0</v>
      </c>
      <c r="Q70" s="9">
        <f t="shared" si="13"/>
        <v>0</v>
      </c>
      <c r="R70" s="9">
        <f t="shared" si="14"/>
        <v>0</v>
      </c>
      <c r="S70" s="9">
        <f t="shared" si="15"/>
        <v>0</v>
      </c>
      <c r="T70" s="10" t="s">
        <v>24</v>
      </c>
    </row>
    <row r="71">
      <c r="A71" s="9">
        <v>3.0</v>
      </c>
      <c r="B71" s="10" t="s">
        <v>34</v>
      </c>
      <c r="C71" s="10"/>
      <c r="D71" s="9"/>
      <c r="E71" s="10"/>
      <c r="F71" s="10"/>
      <c r="G71" s="11" t="s">
        <v>17</v>
      </c>
      <c r="H71" s="9"/>
      <c r="I71" s="10"/>
      <c r="J71" s="9"/>
      <c r="K71" s="10"/>
      <c r="L71" s="10"/>
      <c r="M71" s="10"/>
      <c r="N71" s="10"/>
      <c r="O71" s="9">
        <f t="shared" si="11"/>
        <v>0</v>
      </c>
      <c r="P71" s="9">
        <f t="shared" si="12"/>
        <v>0</v>
      </c>
      <c r="Q71" s="9">
        <f t="shared" si="13"/>
        <v>0</v>
      </c>
      <c r="R71" s="9">
        <f t="shared" si="14"/>
        <v>1</v>
      </c>
      <c r="S71" s="9">
        <f t="shared" si="15"/>
        <v>0</v>
      </c>
      <c r="T71" s="10" t="s">
        <v>34</v>
      </c>
    </row>
    <row r="72">
      <c r="A72" s="9">
        <v>4.0</v>
      </c>
      <c r="B72" s="10" t="s">
        <v>39</v>
      </c>
      <c r="C72" s="10"/>
      <c r="D72" s="9"/>
      <c r="E72" s="10"/>
      <c r="F72" s="10"/>
      <c r="G72" s="10"/>
      <c r="H72" s="9"/>
      <c r="I72" s="10"/>
      <c r="J72" s="10"/>
      <c r="K72" s="10"/>
      <c r="L72" s="10"/>
      <c r="M72" s="10"/>
      <c r="N72" s="10"/>
      <c r="O72" s="9">
        <f t="shared" si="11"/>
        <v>0</v>
      </c>
      <c r="P72" s="9">
        <f t="shared" si="12"/>
        <v>0</v>
      </c>
      <c r="Q72" s="9">
        <f t="shared" si="13"/>
        <v>0</v>
      </c>
      <c r="R72" s="9">
        <f t="shared" si="14"/>
        <v>0</v>
      </c>
      <c r="S72" s="9">
        <f t="shared" si="15"/>
        <v>0</v>
      </c>
      <c r="T72" s="10" t="s">
        <v>39</v>
      </c>
    </row>
    <row r="73">
      <c r="A73" s="9">
        <v>5.0</v>
      </c>
      <c r="B73" s="10" t="s">
        <v>43</v>
      </c>
      <c r="C73" s="10"/>
      <c r="D73" s="9"/>
      <c r="E73" s="10"/>
      <c r="F73" s="10"/>
      <c r="G73" s="11" t="s">
        <v>17</v>
      </c>
      <c r="H73" s="9"/>
      <c r="I73" s="11" t="s">
        <v>14</v>
      </c>
      <c r="J73" s="9"/>
      <c r="K73" s="10"/>
      <c r="L73" s="10"/>
      <c r="M73" s="10"/>
      <c r="N73" s="10"/>
      <c r="O73" s="9">
        <f t="shared" si="11"/>
        <v>1</v>
      </c>
      <c r="P73" s="9">
        <f t="shared" si="12"/>
        <v>0</v>
      </c>
      <c r="Q73" s="9">
        <f t="shared" si="13"/>
        <v>0</v>
      </c>
      <c r="R73" s="9">
        <f t="shared" si="14"/>
        <v>1</v>
      </c>
      <c r="S73" s="9">
        <f t="shared" si="15"/>
        <v>0</v>
      </c>
      <c r="T73" s="10" t="s">
        <v>43</v>
      </c>
    </row>
    <row r="74">
      <c r="A74" s="9">
        <v>6.0</v>
      </c>
      <c r="B74" s="10" t="s">
        <v>49</v>
      </c>
      <c r="C74" s="10"/>
      <c r="D74" s="9"/>
      <c r="E74" s="10"/>
      <c r="F74" s="10"/>
      <c r="G74" s="10"/>
      <c r="H74" s="9"/>
      <c r="I74" s="10"/>
      <c r="J74" s="9"/>
      <c r="K74" s="10"/>
      <c r="L74" s="10"/>
      <c r="M74" s="10"/>
      <c r="N74" s="10"/>
      <c r="O74" s="9">
        <f t="shared" si="11"/>
        <v>0</v>
      </c>
      <c r="P74" s="9">
        <f t="shared" si="12"/>
        <v>0</v>
      </c>
      <c r="Q74" s="9">
        <f t="shared" si="13"/>
        <v>0</v>
      </c>
      <c r="R74" s="9">
        <f t="shared" si="14"/>
        <v>0</v>
      </c>
      <c r="S74" s="9">
        <f t="shared" si="15"/>
        <v>0</v>
      </c>
      <c r="T74" s="10" t="s">
        <v>49</v>
      </c>
    </row>
    <row r="75">
      <c r="A75" s="9">
        <v>7.0</v>
      </c>
      <c r="B75" s="10" t="s">
        <v>50</v>
      </c>
      <c r="C75" s="10"/>
      <c r="D75" s="9"/>
      <c r="E75" s="10"/>
      <c r="F75" s="10"/>
      <c r="G75" s="11" t="s">
        <v>14</v>
      </c>
      <c r="H75" s="9"/>
      <c r="I75" s="11" t="s">
        <v>14</v>
      </c>
      <c r="J75" s="9"/>
      <c r="K75" s="10"/>
      <c r="L75" s="10"/>
      <c r="M75" s="10"/>
      <c r="N75" s="10"/>
      <c r="O75" s="9">
        <f t="shared" si="11"/>
        <v>2</v>
      </c>
      <c r="P75" s="9">
        <f t="shared" si="12"/>
        <v>0</v>
      </c>
      <c r="Q75" s="9">
        <f t="shared" si="13"/>
        <v>0</v>
      </c>
      <c r="R75" s="9">
        <f t="shared" si="14"/>
        <v>0</v>
      </c>
      <c r="S75" s="9">
        <f t="shared" si="15"/>
        <v>0</v>
      </c>
      <c r="T75" s="10" t="s">
        <v>50</v>
      </c>
    </row>
    <row r="76">
      <c r="A76" s="9">
        <v>8.0</v>
      </c>
      <c r="B76" s="10" t="s">
        <v>61</v>
      </c>
      <c r="C76" s="10"/>
      <c r="D76" s="9"/>
      <c r="E76" s="10"/>
      <c r="F76" s="10"/>
      <c r="G76" s="11" t="s">
        <v>14</v>
      </c>
      <c r="H76" s="9"/>
      <c r="I76" s="11" t="s">
        <v>14</v>
      </c>
      <c r="J76" s="9"/>
      <c r="K76" s="10"/>
      <c r="L76" s="10"/>
      <c r="M76" s="10"/>
      <c r="N76" s="10"/>
      <c r="O76" s="9">
        <f t="shared" si="11"/>
        <v>2</v>
      </c>
      <c r="P76" s="9">
        <f t="shared" si="12"/>
        <v>0</v>
      </c>
      <c r="Q76" s="9">
        <f t="shared" si="13"/>
        <v>0</v>
      </c>
      <c r="R76" s="9">
        <f t="shared" si="14"/>
        <v>0</v>
      </c>
      <c r="S76" s="9">
        <f t="shared" si="15"/>
        <v>0</v>
      </c>
      <c r="T76" s="10" t="s">
        <v>61</v>
      </c>
    </row>
    <row r="77">
      <c r="A77" s="9">
        <v>9.0</v>
      </c>
      <c r="B77" s="10" t="s">
        <v>70</v>
      </c>
      <c r="C77" s="10"/>
      <c r="D77" s="9"/>
      <c r="E77" s="10"/>
      <c r="F77" s="10"/>
      <c r="G77" s="11" t="s">
        <v>14</v>
      </c>
      <c r="H77" s="18" t="s">
        <v>14</v>
      </c>
      <c r="I77" s="11" t="s">
        <v>14</v>
      </c>
      <c r="J77" s="9"/>
      <c r="K77" s="10"/>
      <c r="L77" s="10"/>
      <c r="M77" s="10"/>
      <c r="N77" s="10"/>
      <c r="O77" s="9">
        <f t="shared" si="11"/>
        <v>3</v>
      </c>
      <c r="P77" s="9">
        <f t="shared" si="12"/>
        <v>0</v>
      </c>
      <c r="Q77" s="9">
        <f t="shared" si="13"/>
        <v>0</v>
      </c>
      <c r="R77" s="9">
        <f t="shared" si="14"/>
        <v>0</v>
      </c>
      <c r="S77" s="9">
        <f t="shared" si="15"/>
        <v>0</v>
      </c>
      <c r="T77" s="10" t="s">
        <v>70</v>
      </c>
    </row>
    <row r="78">
      <c r="A78" s="9">
        <v>10.0</v>
      </c>
      <c r="B78" s="10" t="s">
        <v>75</v>
      </c>
      <c r="C78" s="10"/>
      <c r="D78" s="9"/>
      <c r="E78" s="10"/>
      <c r="F78" s="10"/>
      <c r="G78" s="11" t="s">
        <v>14</v>
      </c>
      <c r="H78" s="18" t="s">
        <v>14</v>
      </c>
      <c r="I78" s="11" t="s">
        <v>14</v>
      </c>
      <c r="J78" s="9"/>
      <c r="K78" s="10"/>
      <c r="L78" s="10"/>
      <c r="M78" s="10"/>
      <c r="N78" s="10"/>
      <c r="O78" s="9">
        <f t="shared" si="11"/>
        <v>3</v>
      </c>
      <c r="P78" s="9">
        <f t="shared" si="12"/>
        <v>0</v>
      </c>
      <c r="Q78" s="9">
        <f t="shared" si="13"/>
        <v>0</v>
      </c>
      <c r="R78" s="9">
        <f t="shared" si="14"/>
        <v>0</v>
      </c>
      <c r="S78" s="9">
        <f t="shared" si="15"/>
        <v>0</v>
      </c>
      <c r="T78" s="10" t="s">
        <v>75</v>
      </c>
    </row>
    <row r="79">
      <c r="A79" s="9">
        <v>11.0</v>
      </c>
      <c r="B79" s="10" t="s">
        <v>83</v>
      </c>
      <c r="C79" s="10"/>
      <c r="D79" s="9"/>
      <c r="E79" s="10"/>
      <c r="F79" s="10"/>
      <c r="G79" s="11" t="s">
        <v>14</v>
      </c>
      <c r="H79" s="9"/>
      <c r="I79" s="11" t="s">
        <v>14</v>
      </c>
      <c r="J79" s="9"/>
      <c r="K79" s="10"/>
      <c r="L79" s="10"/>
      <c r="M79" s="10"/>
      <c r="N79" s="10"/>
      <c r="O79" s="9">
        <f t="shared" si="11"/>
        <v>2</v>
      </c>
      <c r="P79" s="9">
        <f t="shared" si="12"/>
        <v>0</v>
      </c>
      <c r="Q79" s="9">
        <f t="shared" si="13"/>
        <v>0</v>
      </c>
      <c r="R79" s="9">
        <f t="shared" si="14"/>
        <v>0</v>
      </c>
      <c r="S79" s="9">
        <f t="shared" si="15"/>
        <v>0</v>
      </c>
      <c r="T79" s="10" t="s">
        <v>83</v>
      </c>
    </row>
    <row r="80">
      <c r="A80" s="9">
        <v>12.0</v>
      </c>
      <c r="B80" s="10" t="s">
        <v>87</v>
      </c>
      <c r="C80" s="10"/>
      <c r="D80" s="9"/>
      <c r="E80" s="10"/>
      <c r="F80" s="10"/>
      <c r="G80" s="10"/>
      <c r="H80" s="9"/>
      <c r="I80" s="10"/>
      <c r="J80" s="10"/>
      <c r="K80" s="10"/>
      <c r="L80" s="10"/>
      <c r="M80" s="10"/>
      <c r="N80" s="10"/>
      <c r="O80" s="9">
        <f t="shared" si="11"/>
        <v>0</v>
      </c>
      <c r="P80" s="9">
        <f t="shared" si="12"/>
        <v>0</v>
      </c>
      <c r="Q80" s="9">
        <f t="shared" si="13"/>
        <v>0</v>
      </c>
      <c r="R80" s="9">
        <f t="shared" si="14"/>
        <v>0</v>
      </c>
      <c r="S80" s="9">
        <f t="shared" si="15"/>
        <v>0</v>
      </c>
      <c r="T80" s="10" t="s">
        <v>87</v>
      </c>
    </row>
    <row r="81">
      <c r="A81" s="9">
        <v>13.0</v>
      </c>
      <c r="B81" s="10" t="s">
        <v>90</v>
      </c>
      <c r="C81" s="10"/>
      <c r="D81" s="9"/>
      <c r="E81" s="10"/>
      <c r="F81" s="10"/>
      <c r="G81" s="11" t="s">
        <v>14</v>
      </c>
      <c r="H81" s="18" t="s">
        <v>14</v>
      </c>
      <c r="I81" s="11" t="s">
        <v>14</v>
      </c>
      <c r="J81" s="9"/>
      <c r="K81" s="10"/>
      <c r="L81" s="10"/>
      <c r="M81" s="10"/>
      <c r="N81" s="10"/>
      <c r="O81" s="9">
        <f t="shared" si="11"/>
        <v>3</v>
      </c>
      <c r="P81" s="9">
        <f t="shared" si="12"/>
        <v>0</v>
      </c>
      <c r="Q81" s="9">
        <f t="shared" si="13"/>
        <v>0</v>
      </c>
      <c r="R81" s="9">
        <f t="shared" si="14"/>
        <v>0</v>
      </c>
      <c r="S81" s="9">
        <f t="shared" si="15"/>
        <v>0</v>
      </c>
      <c r="T81" s="10" t="s">
        <v>90</v>
      </c>
    </row>
    <row r="82">
      <c r="A82" s="9">
        <v>14.0</v>
      </c>
      <c r="B82" s="10" t="s">
        <v>94</v>
      </c>
      <c r="C82" s="10"/>
      <c r="D82" s="9"/>
      <c r="E82" s="10"/>
      <c r="F82" s="10"/>
      <c r="G82" s="11" t="s">
        <v>14</v>
      </c>
      <c r="H82" s="18" t="s">
        <v>14</v>
      </c>
      <c r="I82" s="11" t="s">
        <v>14</v>
      </c>
      <c r="J82" s="9"/>
      <c r="K82" s="10"/>
      <c r="L82" s="10"/>
      <c r="M82" s="10"/>
      <c r="N82" s="10"/>
      <c r="O82" s="9">
        <f t="shared" si="11"/>
        <v>3</v>
      </c>
      <c r="P82" s="9">
        <f t="shared" si="12"/>
        <v>0</v>
      </c>
      <c r="Q82" s="9">
        <f t="shared" si="13"/>
        <v>0</v>
      </c>
      <c r="R82" s="9">
        <f t="shared" si="14"/>
        <v>0</v>
      </c>
      <c r="S82" s="9">
        <f t="shared" si="15"/>
        <v>0</v>
      </c>
      <c r="T82" s="10" t="s">
        <v>94</v>
      </c>
    </row>
    <row r="83">
      <c r="A83" s="9">
        <v>15.0</v>
      </c>
      <c r="B83" s="10" t="s">
        <v>105</v>
      </c>
      <c r="C83" s="10"/>
      <c r="D83" s="9"/>
      <c r="E83" s="10"/>
      <c r="F83" s="10"/>
      <c r="G83" s="11" t="s">
        <v>14</v>
      </c>
      <c r="H83" s="18" t="s">
        <v>14</v>
      </c>
      <c r="I83" s="11" t="s">
        <v>14</v>
      </c>
      <c r="J83" s="9"/>
      <c r="K83" s="10"/>
      <c r="L83" s="10"/>
      <c r="M83" s="10"/>
      <c r="N83" s="10"/>
      <c r="O83" s="9">
        <f t="shared" si="11"/>
        <v>3</v>
      </c>
      <c r="P83" s="9">
        <f t="shared" si="12"/>
        <v>0</v>
      </c>
      <c r="Q83" s="9">
        <f t="shared" si="13"/>
        <v>0</v>
      </c>
      <c r="R83" s="9">
        <f t="shared" si="14"/>
        <v>0</v>
      </c>
      <c r="S83" s="9">
        <f t="shared" si="15"/>
        <v>0</v>
      </c>
      <c r="T83" s="10" t="s">
        <v>105</v>
      </c>
    </row>
    <row r="84">
      <c r="A84" s="9">
        <v>16.0</v>
      </c>
      <c r="B84" s="10" t="s">
        <v>113</v>
      </c>
      <c r="C84" s="10"/>
      <c r="D84" s="9"/>
      <c r="E84" s="10"/>
      <c r="F84" s="10"/>
      <c r="G84" s="11" t="s">
        <v>14</v>
      </c>
      <c r="H84" s="9"/>
      <c r="I84" s="11" t="s">
        <v>14</v>
      </c>
      <c r="J84" s="9"/>
      <c r="K84" s="10"/>
      <c r="L84" s="10"/>
      <c r="M84" s="10"/>
      <c r="N84" s="10"/>
      <c r="O84" s="9">
        <f t="shared" si="11"/>
        <v>2</v>
      </c>
      <c r="P84" s="9">
        <f t="shared" si="12"/>
        <v>0</v>
      </c>
      <c r="Q84" s="9">
        <f t="shared" si="13"/>
        <v>0</v>
      </c>
      <c r="R84" s="9">
        <f t="shared" si="14"/>
        <v>0</v>
      </c>
      <c r="S84" s="9">
        <f t="shared" si="15"/>
        <v>0</v>
      </c>
      <c r="T84" s="10" t="s">
        <v>113</v>
      </c>
    </row>
    <row r="85">
      <c r="A85" s="9">
        <v>17.0</v>
      </c>
      <c r="B85" s="10" t="s">
        <v>122</v>
      </c>
      <c r="C85" s="10"/>
      <c r="D85" s="9"/>
      <c r="E85" s="10"/>
      <c r="F85" s="10"/>
      <c r="G85" s="11" t="s">
        <v>14</v>
      </c>
      <c r="H85" s="9"/>
      <c r="I85" s="11" t="s">
        <v>14</v>
      </c>
      <c r="J85" s="9"/>
      <c r="K85" s="10"/>
      <c r="L85" s="10"/>
      <c r="M85" s="10"/>
      <c r="N85" s="10"/>
      <c r="O85" s="9">
        <f t="shared" si="11"/>
        <v>2</v>
      </c>
      <c r="P85" s="9">
        <f t="shared" si="12"/>
        <v>0</v>
      </c>
      <c r="Q85" s="9">
        <f t="shared" si="13"/>
        <v>0</v>
      </c>
      <c r="R85" s="9">
        <f t="shared" si="14"/>
        <v>0</v>
      </c>
      <c r="S85" s="9">
        <f t="shared" si="15"/>
        <v>0</v>
      </c>
      <c r="T85" s="10" t="s">
        <v>122</v>
      </c>
    </row>
    <row r="86">
      <c r="A86" s="9">
        <v>18.0</v>
      </c>
      <c r="B86" s="10" t="s">
        <v>128</v>
      </c>
      <c r="C86" s="10"/>
      <c r="D86" s="9"/>
      <c r="E86" s="10"/>
      <c r="F86" s="10"/>
      <c r="G86" s="11" t="s">
        <v>14</v>
      </c>
      <c r="H86" s="18" t="s">
        <v>14</v>
      </c>
      <c r="I86" s="11" t="s">
        <v>14</v>
      </c>
      <c r="J86" s="9"/>
      <c r="K86" s="10"/>
      <c r="L86" s="10"/>
      <c r="M86" s="10"/>
      <c r="N86" s="10"/>
      <c r="O86" s="9">
        <f t="shared" si="11"/>
        <v>3</v>
      </c>
      <c r="P86" s="9">
        <f t="shared" si="12"/>
        <v>0</v>
      </c>
      <c r="Q86" s="9">
        <f t="shared" si="13"/>
        <v>0</v>
      </c>
      <c r="R86" s="9">
        <f t="shared" si="14"/>
        <v>0</v>
      </c>
      <c r="S86" s="9">
        <f t="shared" si="15"/>
        <v>0</v>
      </c>
      <c r="T86" s="10" t="s">
        <v>128</v>
      </c>
    </row>
    <row r="87">
      <c r="A87" s="9">
        <v>19.0</v>
      </c>
      <c r="B87" s="10" t="s">
        <v>758</v>
      </c>
      <c r="C87" s="10"/>
      <c r="D87" s="9"/>
      <c r="E87" s="10"/>
      <c r="F87" s="10"/>
      <c r="G87" s="11" t="s">
        <v>14</v>
      </c>
      <c r="H87" s="18" t="s">
        <v>14</v>
      </c>
      <c r="I87" s="11" t="s">
        <v>14</v>
      </c>
      <c r="J87" s="9"/>
      <c r="K87" s="10"/>
      <c r="L87" s="10"/>
      <c r="M87" s="10"/>
      <c r="N87" s="10"/>
      <c r="O87" s="9">
        <f t="shared" si="11"/>
        <v>3</v>
      </c>
      <c r="P87" s="9">
        <f t="shared" si="12"/>
        <v>0</v>
      </c>
      <c r="Q87" s="9">
        <f t="shared" si="13"/>
        <v>0</v>
      </c>
      <c r="R87" s="9">
        <f t="shared" si="14"/>
        <v>0</v>
      </c>
      <c r="S87" s="9">
        <f t="shared" si="15"/>
        <v>0</v>
      </c>
      <c r="T87" s="10" t="s">
        <v>758</v>
      </c>
    </row>
    <row r="88">
      <c r="A88" s="9">
        <v>20.0</v>
      </c>
      <c r="B88" s="10" t="s">
        <v>759</v>
      </c>
      <c r="C88" s="10"/>
      <c r="D88" s="9"/>
      <c r="E88" s="10"/>
      <c r="F88" s="10"/>
      <c r="G88" s="11" t="s">
        <v>17</v>
      </c>
      <c r="H88" s="18" t="s">
        <v>17</v>
      </c>
      <c r="I88" s="11" t="s">
        <v>17</v>
      </c>
      <c r="J88" s="9"/>
      <c r="K88" s="10"/>
      <c r="L88" s="10"/>
      <c r="M88" s="10"/>
      <c r="N88" s="10"/>
      <c r="O88" s="9">
        <f t="shared" si="11"/>
        <v>0</v>
      </c>
      <c r="P88" s="9">
        <f t="shared" si="12"/>
        <v>0</v>
      </c>
      <c r="Q88" s="9">
        <f t="shared" si="13"/>
        <v>0</v>
      </c>
      <c r="R88" s="9">
        <f t="shared" si="14"/>
        <v>3</v>
      </c>
      <c r="S88" s="9">
        <f t="shared" si="15"/>
        <v>0</v>
      </c>
      <c r="T88" s="10" t="s">
        <v>759</v>
      </c>
    </row>
    <row r="89">
      <c r="A89" s="9">
        <v>21.0</v>
      </c>
      <c r="B89" s="10" t="s">
        <v>760</v>
      </c>
      <c r="C89" s="10"/>
      <c r="D89" s="10"/>
      <c r="E89" s="10"/>
      <c r="F89" s="10"/>
      <c r="G89" s="11" t="s">
        <v>14</v>
      </c>
      <c r="H89" s="18" t="s">
        <v>14</v>
      </c>
      <c r="I89" s="11" t="s">
        <v>14</v>
      </c>
      <c r="J89" s="9"/>
      <c r="K89" s="10"/>
      <c r="L89" s="10"/>
      <c r="M89" s="10"/>
      <c r="N89" s="10"/>
      <c r="O89" s="9">
        <f t="shared" si="11"/>
        <v>3</v>
      </c>
      <c r="P89" s="9">
        <f t="shared" si="12"/>
        <v>0</v>
      </c>
      <c r="Q89" s="9">
        <f t="shared" si="13"/>
        <v>0</v>
      </c>
      <c r="R89" s="9">
        <f t="shared" si="14"/>
        <v>0</v>
      </c>
      <c r="S89" s="9">
        <f t="shared" si="15"/>
        <v>0</v>
      </c>
      <c r="T89" s="10" t="s">
        <v>760</v>
      </c>
    </row>
    <row r="90">
      <c r="A90" s="9">
        <v>22.0</v>
      </c>
      <c r="B90" s="10" t="s">
        <v>761</v>
      </c>
      <c r="C90" s="10"/>
      <c r="D90" s="9"/>
      <c r="E90" s="10"/>
      <c r="F90" s="10"/>
      <c r="G90" s="11" t="s">
        <v>14</v>
      </c>
      <c r="H90" s="9"/>
      <c r="I90" s="11" t="s">
        <v>14</v>
      </c>
      <c r="J90" s="9"/>
      <c r="K90" s="10"/>
      <c r="L90" s="10"/>
      <c r="M90" s="10"/>
      <c r="N90" s="10"/>
      <c r="O90" s="9">
        <f t="shared" si="11"/>
        <v>2</v>
      </c>
      <c r="P90" s="9">
        <f t="shared" si="12"/>
        <v>0</v>
      </c>
      <c r="Q90" s="9">
        <f t="shared" si="13"/>
        <v>0</v>
      </c>
      <c r="R90" s="9">
        <f t="shared" si="14"/>
        <v>0</v>
      </c>
      <c r="S90" s="9">
        <f t="shared" si="15"/>
        <v>0</v>
      </c>
      <c r="T90" s="10" t="s">
        <v>761</v>
      </c>
    </row>
    <row r="91">
      <c r="O91" s="36"/>
      <c r="P91" s="36"/>
      <c r="Q91" s="36"/>
      <c r="R91" s="36"/>
      <c r="S91" s="36"/>
    </row>
    <row r="92">
      <c r="O92" s="36"/>
      <c r="P92" s="36"/>
      <c r="Q92" s="36"/>
      <c r="R92" s="36"/>
      <c r="S92" s="36"/>
    </row>
    <row r="93">
      <c r="O93" s="36"/>
      <c r="P93" s="36"/>
      <c r="Q93" s="36"/>
      <c r="R93" s="36"/>
      <c r="S93" s="36"/>
    </row>
    <row r="94">
      <c r="A94" s="1" t="s">
        <v>754</v>
      </c>
      <c r="O94" s="36"/>
      <c r="P94" s="36"/>
      <c r="Q94" s="36"/>
      <c r="R94" s="36"/>
      <c r="S94" s="36"/>
    </row>
    <row r="95">
      <c r="O95" s="36"/>
      <c r="P95" s="36"/>
      <c r="Q95" s="36"/>
      <c r="R95" s="36"/>
      <c r="S95" s="36"/>
    </row>
    <row r="96">
      <c r="O96" s="36"/>
      <c r="P96" s="36"/>
      <c r="Q96" s="36"/>
      <c r="R96" s="36"/>
      <c r="S96" s="36"/>
    </row>
    <row r="97">
      <c r="A97" s="42" t="s">
        <v>764</v>
      </c>
      <c r="O97" s="36"/>
      <c r="P97" s="36"/>
      <c r="Q97" s="36"/>
      <c r="R97" s="36"/>
      <c r="S97" s="36"/>
    </row>
    <row r="98">
      <c r="A98" s="3" t="s">
        <v>2</v>
      </c>
      <c r="B98" s="3" t="s">
        <v>3</v>
      </c>
      <c r="C98" s="3" t="s">
        <v>354</v>
      </c>
      <c r="E98" s="3" t="s">
        <v>544</v>
      </c>
      <c r="G98" s="3" t="s">
        <v>545</v>
      </c>
      <c r="I98" s="3" t="s">
        <v>357</v>
      </c>
      <c r="K98" s="3" t="s">
        <v>546</v>
      </c>
      <c r="M98" s="3" t="s">
        <v>547</v>
      </c>
      <c r="O98" s="9" t="s">
        <v>10</v>
      </c>
    </row>
    <row r="99">
      <c r="C99" s="32" t="s">
        <v>757</v>
      </c>
      <c r="D99" s="32" t="s">
        <v>11</v>
      </c>
      <c r="E99" s="32" t="s">
        <v>757</v>
      </c>
      <c r="F99" s="32" t="s">
        <v>11</v>
      </c>
      <c r="G99" s="32" t="s">
        <v>757</v>
      </c>
      <c r="H99" s="32" t="s">
        <v>11</v>
      </c>
      <c r="I99" s="32" t="s">
        <v>757</v>
      </c>
      <c r="J99" s="32" t="s">
        <v>11</v>
      </c>
      <c r="K99" s="32" t="s">
        <v>757</v>
      </c>
      <c r="L99" s="32" t="s">
        <v>11</v>
      </c>
      <c r="M99" s="32" t="s">
        <v>757</v>
      </c>
      <c r="N99" s="32" t="s">
        <v>11</v>
      </c>
      <c r="O99" s="9" t="s">
        <v>14</v>
      </c>
      <c r="P99" s="9" t="s">
        <v>15</v>
      </c>
      <c r="Q99" s="9" t="s">
        <v>16</v>
      </c>
      <c r="R99" s="9" t="s">
        <v>17</v>
      </c>
      <c r="S99" s="9" t="s">
        <v>18</v>
      </c>
    </row>
    <row r="100">
      <c r="A100" s="9">
        <v>1.0</v>
      </c>
      <c r="B100" s="10" t="s">
        <v>19</v>
      </c>
      <c r="C100" s="10"/>
      <c r="D100" s="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9">
        <f t="shared" ref="O100:O121" si="16">COUNTIF(C100:N100,"H")</f>
        <v>0</v>
      </c>
      <c r="P100" s="9">
        <f t="shared" ref="P100:P121" si="17">COUNTIF(C100:N100,"I")</f>
        <v>0</v>
      </c>
      <c r="Q100" s="9">
        <f t="shared" ref="Q100:Q121" si="18">COUNTIF(C100:N100,"TD")</f>
        <v>0</v>
      </c>
      <c r="R100" s="9">
        <f t="shared" ref="R100:R121" si="19">COUNTIF(C100:N100,"S")</f>
        <v>0</v>
      </c>
      <c r="S100" s="9">
        <f t="shared" ref="S100:S121" si="20">COUNTIF(C100:N100,"A")</f>
        <v>0</v>
      </c>
      <c r="T100" s="10" t="s">
        <v>19</v>
      </c>
    </row>
    <row r="101">
      <c r="A101" s="9">
        <v>2.0</v>
      </c>
      <c r="B101" s="10" t="s">
        <v>24</v>
      </c>
      <c r="C101" s="10"/>
      <c r="D101" s="9"/>
      <c r="E101" s="11" t="s">
        <v>14</v>
      </c>
      <c r="F101" s="10"/>
      <c r="G101" s="10"/>
      <c r="H101" s="9"/>
      <c r="I101" s="11" t="s">
        <v>14</v>
      </c>
      <c r="J101" s="9"/>
      <c r="K101" s="10"/>
      <c r="L101" s="10"/>
      <c r="M101" s="10"/>
      <c r="N101" s="10"/>
      <c r="O101" s="9">
        <f t="shared" si="16"/>
        <v>2</v>
      </c>
      <c r="P101" s="9">
        <f t="shared" si="17"/>
        <v>0</v>
      </c>
      <c r="Q101" s="9">
        <f t="shared" si="18"/>
        <v>0</v>
      </c>
      <c r="R101" s="9">
        <f t="shared" si="19"/>
        <v>0</v>
      </c>
      <c r="S101" s="9">
        <f t="shared" si="20"/>
        <v>0</v>
      </c>
      <c r="T101" s="10" t="s">
        <v>24</v>
      </c>
    </row>
    <row r="102">
      <c r="A102" s="9">
        <v>3.0</v>
      </c>
      <c r="B102" s="10" t="s">
        <v>34</v>
      </c>
      <c r="C102" s="10"/>
      <c r="D102" s="18" t="s">
        <v>14</v>
      </c>
      <c r="E102" s="11" t="s">
        <v>14</v>
      </c>
      <c r="F102" s="11" t="s">
        <v>16</v>
      </c>
      <c r="G102" s="10"/>
      <c r="H102" s="18" t="s">
        <v>14</v>
      </c>
      <c r="I102" s="10"/>
      <c r="J102" s="9"/>
      <c r="K102" s="10"/>
      <c r="L102" s="10"/>
      <c r="M102" s="10"/>
      <c r="N102" s="10"/>
      <c r="O102" s="9">
        <f t="shared" si="16"/>
        <v>3</v>
      </c>
      <c r="P102" s="9">
        <f t="shared" si="17"/>
        <v>0</v>
      </c>
      <c r="Q102" s="9">
        <f t="shared" si="18"/>
        <v>1</v>
      </c>
      <c r="R102" s="9">
        <f t="shared" si="19"/>
        <v>0</v>
      </c>
      <c r="S102" s="9">
        <f t="shared" si="20"/>
        <v>0</v>
      </c>
      <c r="T102" s="10" t="s">
        <v>34</v>
      </c>
    </row>
    <row r="103">
      <c r="A103" s="9">
        <v>4.0</v>
      </c>
      <c r="B103" s="10" t="s">
        <v>39</v>
      </c>
      <c r="C103" s="10"/>
      <c r="D103" s="9"/>
      <c r="E103" s="10"/>
      <c r="F103" s="10"/>
      <c r="G103" s="10"/>
      <c r="H103" s="9"/>
      <c r="I103" s="10"/>
      <c r="J103" s="10"/>
      <c r="K103" s="10"/>
      <c r="L103" s="10"/>
      <c r="M103" s="10"/>
      <c r="N103" s="10"/>
      <c r="O103" s="9">
        <f t="shared" si="16"/>
        <v>0</v>
      </c>
      <c r="P103" s="9">
        <f t="shared" si="17"/>
        <v>0</v>
      </c>
      <c r="Q103" s="9">
        <f t="shared" si="18"/>
        <v>0</v>
      </c>
      <c r="R103" s="9">
        <f t="shared" si="19"/>
        <v>0</v>
      </c>
      <c r="S103" s="9">
        <f t="shared" si="20"/>
        <v>0</v>
      </c>
      <c r="T103" s="10" t="s">
        <v>39</v>
      </c>
    </row>
    <row r="104">
      <c r="A104" s="9">
        <v>5.0</v>
      </c>
      <c r="B104" s="10" t="s">
        <v>43</v>
      </c>
      <c r="C104" s="10"/>
      <c r="D104" s="18" t="s">
        <v>14</v>
      </c>
      <c r="E104" s="11" t="s">
        <v>14</v>
      </c>
      <c r="F104" s="11" t="s">
        <v>14</v>
      </c>
      <c r="G104" s="10"/>
      <c r="H104" s="9"/>
      <c r="I104" s="11" t="s">
        <v>14</v>
      </c>
      <c r="J104" s="9"/>
      <c r="K104" s="10"/>
      <c r="L104" s="10"/>
      <c r="M104" s="10"/>
      <c r="N104" s="10"/>
      <c r="O104" s="9">
        <f t="shared" si="16"/>
        <v>4</v>
      </c>
      <c r="P104" s="9">
        <f t="shared" si="17"/>
        <v>0</v>
      </c>
      <c r="Q104" s="9">
        <f t="shared" si="18"/>
        <v>0</v>
      </c>
      <c r="R104" s="9">
        <f t="shared" si="19"/>
        <v>0</v>
      </c>
      <c r="S104" s="9">
        <f t="shared" si="20"/>
        <v>0</v>
      </c>
      <c r="T104" s="10" t="s">
        <v>43</v>
      </c>
    </row>
    <row r="105">
      <c r="A105" s="9">
        <v>6.0</v>
      </c>
      <c r="B105" s="10" t="s">
        <v>49</v>
      </c>
      <c r="C105" s="10"/>
      <c r="D105" s="9"/>
      <c r="E105" s="10"/>
      <c r="F105" s="10"/>
      <c r="G105" s="10"/>
      <c r="H105" s="9"/>
      <c r="I105" s="10"/>
      <c r="J105" s="9"/>
      <c r="K105" s="10"/>
      <c r="L105" s="10"/>
      <c r="M105" s="10"/>
      <c r="N105" s="10"/>
      <c r="O105" s="9">
        <f t="shared" si="16"/>
        <v>0</v>
      </c>
      <c r="P105" s="9">
        <f t="shared" si="17"/>
        <v>0</v>
      </c>
      <c r="Q105" s="9">
        <f t="shared" si="18"/>
        <v>0</v>
      </c>
      <c r="R105" s="9">
        <f t="shared" si="19"/>
        <v>0</v>
      </c>
      <c r="S105" s="9">
        <f t="shared" si="20"/>
        <v>0</v>
      </c>
      <c r="T105" s="10" t="s">
        <v>49</v>
      </c>
    </row>
    <row r="106">
      <c r="A106" s="9">
        <v>7.0</v>
      </c>
      <c r="B106" s="10" t="s">
        <v>50</v>
      </c>
      <c r="C106" s="10"/>
      <c r="D106" s="9"/>
      <c r="E106" s="11" t="s">
        <v>14</v>
      </c>
      <c r="F106" s="10"/>
      <c r="G106" s="10"/>
      <c r="H106" s="9"/>
      <c r="I106" s="11" t="s">
        <v>14</v>
      </c>
      <c r="J106" s="9"/>
      <c r="K106" s="10"/>
      <c r="L106" s="10"/>
      <c r="M106" s="10"/>
      <c r="N106" s="10"/>
      <c r="O106" s="9">
        <f t="shared" si="16"/>
        <v>2</v>
      </c>
      <c r="P106" s="9">
        <f t="shared" si="17"/>
        <v>0</v>
      </c>
      <c r="Q106" s="9">
        <f t="shared" si="18"/>
        <v>0</v>
      </c>
      <c r="R106" s="9">
        <f t="shared" si="19"/>
        <v>0</v>
      </c>
      <c r="S106" s="9">
        <f t="shared" si="20"/>
        <v>0</v>
      </c>
      <c r="T106" s="10" t="s">
        <v>50</v>
      </c>
    </row>
    <row r="107">
      <c r="A107" s="9">
        <v>8.0</v>
      </c>
      <c r="B107" s="10" t="s">
        <v>61</v>
      </c>
      <c r="C107" s="10"/>
      <c r="D107" s="18" t="s">
        <v>14</v>
      </c>
      <c r="E107" s="11" t="s">
        <v>14</v>
      </c>
      <c r="F107" s="10"/>
      <c r="G107" s="10"/>
      <c r="H107" s="9"/>
      <c r="I107" s="11" t="s">
        <v>14</v>
      </c>
      <c r="J107" s="9"/>
      <c r="K107" s="10"/>
      <c r="L107" s="10"/>
      <c r="M107" s="10"/>
      <c r="N107" s="10"/>
      <c r="O107" s="9">
        <f t="shared" si="16"/>
        <v>3</v>
      </c>
      <c r="P107" s="9">
        <f t="shared" si="17"/>
        <v>0</v>
      </c>
      <c r="Q107" s="9">
        <f t="shared" si="18"/>
        <v>0</v>
      </c>
      <c r="R107" s="9">
        <f t="shared" si="19"/>
        <v>0</v>
      </c>
      <c r="S107" s="9">
        <f t="shared" si="20"/>
        <v>0</v>
      </c>
      <c r="T107" s="10" t="s">
        <v>61</v>
      </c>
    </row>
    <row r="108">
      <c r="A108" s="9">
        <v>9.0</v>
      </c>
      <c r="B108" s="10" t="s">
        <v>70</v>
      </c>
      <c r="C108" s="10"/>
      <c r="D108" s="18" t="s">
        <v>14</v>
      </c>
      <c r="E108" s="11" t="s">
        <v>14</v>
      </c>
      <c r="F108" s="11" t="s">
        <v>18</v>
      </c>
      <c r="G108" s="10"/>
      <c r="H108" s="18" t="s">
        <v>14</v>
      </c>
      <c r="I108" s="11" t="s">
        <v>18</v>
      </c>
      <c r="J108" s="9"/>
      <c r="K108" s="10"/>
      <c r="L108" s="10"/>
      <c r="M108" s="10"/>
      <c r="N108" s="10"/>
      <c r="O108" s="9">
        <f t="shared" si="16"/>
        <v>3</v>
      </c>
      <c r="P108" s="9">
        <f t="shared" si="17"/>
        <v>0</v>
      </c>
      <c r="Q108" s="9">
        <f t="shared" si="18"/>
        <v>0</v>
      </c>
      <c r="R108" s="9">
        <f t="shared" si="19"/>
        <v>0</v>
      </c>
      <c r="S108" s="9">
        <f t="shared" si="20"/>
        <v>2</v>
      </c>
      <c r="T108" s="10" t="s">
        <v>70</v>
      </c>
    </row>
    <row r="109">
      <c r="A109" s="9">
        <v>10.0</v>
      </c>
      <c r="B109" s="10" t="s">
        <v>75</v>
      </c>
      <c r="C109" s="10"/>
      <c r="D109" s="9"/>
      <c r="E109" s="11" t="s">
        <v>14</v>
      </c>
      <c r="F109" s="11"/>
      <c r="G109" s="10"/>
      <c r="H109" s="18" t="s">
        <v>14</v>
      </c>
      <c r="I109" s="11" t="s">
        <v>14</v>
      </c>
      <c r="J109" s="9"/>
      <c r="K109" s="10"/>
      <c r="L109" s="10"/>
      <c r="M109" s="10"/>
      <c r="N109" s="10"/>
      <c r="O109" s="9">
        <f t="shared" si="16"/>
        <v>3</v>
      </c>
      <c r="P109" s="9">
        <f t="shared" si="17"/>
        <v>0</v>
      </c>
      <c r="Q109" s="9">
        <f t="shared" si="18"/>
        <v>0</v>
      </c>
      <c r="R109" s="9">
        <f t="shared" si="19"/>
        <v>0</v>
      </c>
      <c r="S109" s="9">
        <f t="shared" si="20"/>
        <v>0</v>
      </c>
      <c r="T109" s="10" t="s">
        <v>75</v>
      </c>
    </row>
    <row r="110">
      <c r="A110" s="9">
        <v>11.0</v>
      </c>
      <c r="B110" s="10" t="s">
        <v>83</v>
      </c>
      <c r="C110" s="10"/>
      <c r="D110" s="18" t="s">
        <v>14</v>
      </c>
      <c r="E110" s="11" t="s">
        <v>14</v>
      </c>
      <c r="F110" s="10"/>
      <c r="G110" s="10"/>
      <c r="H110" s="18" t="s">
        <v>14</v>
      </c>
      <c r="I110" s="11" t="s">
        <v>14</v>
      </c>
      <c r="J110" s="9"/>
      <c r="K110" s="10"/>
      <c r="L110" s="10"/>
      <c r="M110" s="10"/>
      <c r="N110" s="10"/>
      <c r="O110" s="9">
        <f t="shared" si="16"/>
        <v>4</v>
      </c>
      <c r="P110" s="9">
        <f t="shared" si="17"/>
        <v>0</v>
      </c>
      <c r="Q110" s="9">
        <f t="shared" si="18"/>
        <v>0</v>
      </c>
      <c r="R110" s="9">
        <f t="shared" si="19"/>
        <v>0</v>
      </c>
      <c r="S110" s="9">
        <f t="shared" si="20"/>
        <v>0</v>
      </c>
      <c r="T110" s="10" t="s">
        <v>83</v>
      </c>
    </row>
    <row r="111">
      <c r="A111" s="9">
        <v>12.0</v>
      </c>
      <c r="B111" s="10" t="s">
        <v>87</v>
      </c>
      <c r="C111" s="10"/>
      <c r="D111" s="9"/>
      <c r="E111" s="10"/>
      <c r="F111" s="10"/>
      <c r="G111" s="10"/>
      <c r="H111" s="9"/>
      <c r="I111" s="10"/>
      <c r="J111" s="10"/>
      <c r="K111" s="10"/>
      <c r="L111" s="10"/>
      <c r="M111" s="10"/>
      <c r="N111" s="10"/>
      <c r="O111" s="9">
        <f t="shared" si="16"/>
        <v>0</v>
      </c>
      <c r="P111" s="9">
        <f t="shared" si="17"/>
        <v>0</v>
      </c>
      <c r="Q111" s="9">
        <f t="shared" si="18"/>
        <v>0</v>
      </c>
      <c r="R111" s="9">
        <f t="shared" si="19"/>
        <v>0</v>
      </c>
      <c r="S111" s="9">
        <f t="shared" si="20"/>
        <v>0</v>
      </c>
      <c r="T111" s="10" t="s">
        <v>87</v>
      </c>
    </row>
    <row r="112">
      <c r="A112" s="9">
        <v>13.0</v>
      </c>
      <c r="B112" s="10" t="s">
        <v>90</v>
      </c>
      <c r="C112" s="10"/>
      <c r="D112" s="18" t="s">
        <v>14</v>
      </c>
      <c r="E112" s="11" t="s">
        <v>14</v>
      </c>
      <c r="F112" s="11" t="s">
        <v>14</v>
      </c>
      <c r="G112" s="10"/>
      <c r="H112" s="18" t="s">
        <v>14</v>
      </c>
      <c r="I112" s="11" t="s">
        <v>14</v>
      </c>
      <c r="J112" s="9"/>
      <c r="K112" s="10"/>
      <c r="L112" s="10"/>
      <c r="M112" s="10"/>
      <c r="N112" s="10"/>
      <c r="O112" s="9">
        <f t="shared" si="16"/>
        <v>5</v>
      </c>
      <c r="P112" s="9">
        <f t="shared" si="17"/>
        <v>0</v>
      </c>
      <c r="Q112" s="9">
        <f t="shared" si="18"/>
        <v>0</v>
      </c>
      <c r="R112" s="9">
        <f t="shared" si="19"/>
        <v>0</v>
      </c>
      <c r="S112" s="9">
        <f t="shared" si="20"/>
        <v>0</v>
      </c>
      <c r="T112" s="10" t="s">
        <v>90</v>
      </c>
    </row>
    <row r="113">
      <c r="A113" s="9">
        <v>14.0</v>
      </c>
      <c r="B113" s="10" t="s">
        <v>94</v>
      </c>
      <c r="C113" s="10"/>
      <c r="D113" s="18" t="s">
        <v>14</v>
      </c>
      <c r="E113" s="11" t="s">
        <v>14</v>
      </c>
      <c r="F113" s="11" t="s">
        <v>14</v>
      </c>
      <c r="G113" s="10"/>
      <c r="H113" s="18" t="s">
        <v>14</v>
      </c>
      <c r="I113" s="11" t="s">
        <v>14</v>
      </c>
      <c r="J113" s="9"/>
      <c r="K113" s="10"/>
      <c r="L113" s="10"/>
      <c r="M113" s="10"/>
      <c r="N113" s="10"/>
      <c r="O113" s="9">
        <f t="shared" si="16"/>
        <v>5</v>
      </c>
      <c r="P113" s="9">
        <f t="shared" si="17"/>
        <v>0</v>
      </c>
      <c r="Q113" s="9">
        <f t="shared" si="18"/>
        <v>0</v>
      </c>
      <c r="R113" s="9">
        <f t="shared" si="19"/>
        <v>0</v>
      </c>
      <c r="S113" s="9">
        <f t="shared" si="20"/>
        <v>0</v>
      </c>
      <c r="T113" s="10" t="s">
        <v>94</v>
      </c>
    </row>
    <row r="114">
      <c r="A114" s="9">
        <v>15.0</v>
      </c>
      <c r="B114" s="10" t="s">
        <v>105</v>
      </c>
      <c r="C114" s="10"/>
      <c r="D114" s="18" t="s">
        <v>14</v>
      </c>
      <c r="E114" s="11" t="s">
        <v>14</v>
      </c>
      <c r="F114" s="11" t="s">
        <v>14</v>
      </c>
      <c r="G114" s="10"/>
      <c r="H114" s="18" t="s">
        <v>14</v>
      </c>
      <c r="I114" s="11" t="s">
        <v>14</v>
      </c>
      <c r="J114" s="9"/>
      <c r="K114" s="10"/>
      <c r="L114" s="10"/>
      <c r="M114" s="10"/>
      <c r="N114" s="10"/>
      <c r="O114" s="9">
        <f t="shared" si="16"/>
        <v>5</v>
      </c>
      <c r="P114" s="9">
        <f t="shared" si="17"/>
        <v>0</v>
      </c>
      <c r="Q114" s="9">
        <f t="shared" si="18"/>
        <v>0</v>
      </c>
      <c r="R114" s="9">
        <f t="shared" si="19"/>
        <v>0</v>
      </c>
      <c r="S114" s="9">
        <f t="shared" si="20"/>
        <v>0</v>
      </c>
      <c r="T114" s="10" t="s">
        <v>105</v>
      </c>
    </row>
    <row r="115">
      <c r="A115" s="9">
        <v>16.0</v>
      </c>
      <c r="B115" s="10" t="s">
        <v>113</v>
      </c>
      <c r="C115" s="10"/>
      <c r="D115" s="9"/>
      <c r="E115" s="11" t="s">
        <v>14</v>
      </c>
      <c r="F115" s="10"/>
      <c r="G115" s="10"/>
      <c r="H115" s="9"/>
      <c r="I115" s="11" t="s">
        <v>14</v>
      </c>
      <c r="J115" s="9"/>
      <c r="K115" s="10"/>
      <c r="L115" s="10"/>
      <c r="M115" s="10"/>
      <c r="N115" s="10"/>
      <c r="O115" s="9">
        <f t="shared" si="16"/>
        <v>2</v>
      </c>
      <c r="P115" s="9">
        <f t="shared" si="17"/>
        <v>0</v>
      </c>
      <c r="Q115" s="9">
        <f t="shared" si="18"/>
        <v>0</v>
      </c>
      <c r="R115" s="9">
        <f t="shared" si="19"/>
        <v>0</v>
      </c>
      <c r="S115" s="9">
        <f t="shared" si="20"/>
        <v>0</v>
      </c>
      <c r="T115" s="10" t="s">
        <v>113</v>
      </c>
    </row>
    <row r="116">
      <c r="A116" s="9">
        <v>17.0</v>
      </c>
      <c r="B116" s="10" t="s">
        <v>122</v>
      </c>
      <c r="C116" s="10"/>
      <c r="D116" s="18"/>
      <c r="E116" s="11" t="s">
        <v>14</v>
      </c>
      <c r="F116" s="10"/>
      <c r="G116" s="10"/>
      <c r="H116" s="9"/>
      <c r="I116" s="11" t="s">
        <v>14</v>
      </c>
      <c r="J116" s="9"/>
      <c r="K116" s="10"/>
      <c r="L116" s="10"/>
      <c r="M116" s="10"/>
      <c r="N116" s="10"/>
      <c r="O116" s="9">
        <f t="shared" si="16"/>
        <v>2</v>
      </c>
      <c r="P116" s="9">
        <f t="shared" si="17"/>
        <v>0</v>
      </c>
      <c r="Q116" s="9">
        <f t="shared" si="18"/>
        <v>0</v>
      </c>
      <c r="R116" s="9">
        <f t="shared" si="19"/>
        <v>0</v>
      </c>
      <c r="S116" s="9">
        <f t="shared" si="20"/>
        <v>0</v>
      </c>
      <c r="T116" s="10" t="s">
        <v>122</v>
      </c>
    </row>
    <row r="117">
      <c r="A117" s="9">
        <v>18.0</v>
      </c>
      <c r="B117" s="10" t="s">
        <v>128</v>
      </c>
      <c r="C117" s="10"/>
      <c r="D117" s="18" t="s">
        <v>14</v>
      </c>
      <c r="E117" s="11" t="s">
        <v>14</v>
      </c>
      <c r="F117" s="11" t="s">
        <v>14</v>
      </c>
      <c r="G117" s="10"/>
      <c r="H117" s="18" t="s">
        <v>14</v>
      </c>
      <c r="I117" s="11" t="s">
        <v>14</v>
      </c>
      <c r="J117" s="9"/>
      <c r="K117" s="10"/>
      <c r="L117" s="10"/>
      <c r="M117" s="10"/>
      <c r="N117" s="10"/>
      <c r="O117" s="9">
        <f t="shared" si="16"/>
        <v>5</v>
      </c>
      <c r="P117" s="9">
        <f t="shared" si="17"/>
        <v>0</v>
      </c>
      <c r="Q117" s="9">
        <f t="shared" si="18"/>
        <v>0</v>
      </c>
      <c r="R117" s="9">
        <f t="shared" si="19"/>
        <v>0</v>
      </c>
      <c r="S117" s="9">
        <f t="shared" si="20"/>
        <v>0</v>
      </c>
      <c r="T117" s="10" t="s">
        <v>128</v>
      </c>
    </row>
    <row r="118">
      <c r="A118" s="9">
        <v>19.0</v>
      </c>
      <c r="B118" s="10" t="s">
        <v>758</v>
      </c>
      <c r="C118" s="10"/>
      <c r="D118" s="18" t="s">
        <v>14</v>
      </c>
      <c r="E118" s="11" t="s">
        <v>14</v>
      </c>
      <c r="F118" s="11" t="s">
        <v>14</v>
      </c>
      <c r="G118" s="10"/>
      <c r="H118" s="18" t="s">
        <v>14</v>
      </c>
      <c r="I118" s="11" t="s">
        <v>14</v>
      </c>
      <c r="J118" s="9"/>
      <c r="K118" s="10"/>
      <c r="L118" s="10"/>
      <c r="M118" s="10"/>
      <c r="N118" s="10"/>
      <c r="O118" s="9">
        <f t="shared" si="16"/>
        <v>5</v>
      </c>
      <c r="P118" s="9">
        <f t="shared" si="17"/>
        <v>0</v>
      </c>
      <c r="Q118" s="9">
        <f t="shared" si="18"/>
        <v>0</v>
      </c>
      <c r="R118" s="9">
        <f t="shared" si="19"/>
        <v>0</v>
      </c>
      <c r="S118" s="9">
        <f t="shared" si="20"/>
        <v>0</v>
      </c>
      <c r="T118" s="10" t="s">
        <v>758</v>
      </c>
    </row>
    <row r="119">
      <c r="A119" s="9">
        <v>20.0</v>
      </c>
      <c r="B119" s="10" t="s">
        <v>759</v>
      </c>
      <c r="C119" s="10"/>
      <c r="D119" s="9"/>
      <c r="E119" s="11" t="s">
        <v>17</v>
      </c>
      <c r="F119" s="11" t="s">
        <v>17</v>
      </c>
      <c r="G119" s="10"/>
      <c r="H119" s="9"/>
      <c r="I119" s="10"/>
      <c r="J119" s="9"/>
      <c r="K119" s="10"/>
      <c r="L119" s="10"/>
      <c r="M119" s="10"/>
      <c r="N119" s="10"/>
      <c r="O119" s="9">
        <f t="shared" si="16"/>
        <v>0</v>
      </c>
      <c r="P119" s="9">
        <f t="shared" si="17"/>
        <v>0</v>
      </c>
      <c r="Q119" s="9">
        <f t="shared" si="18"/>
        <v>0</v>
      </c>
      <c r="R119" s="9">
        <f t="shared" si="19"/>
        <v>2</v>
      </c>
      <c r="S119" s="9">
        <f t="shared" si="20"/>
        <v>0</v>
      </c>
      <c r="T119" s="10" t="s">
        <v>759</v>
      </c>
    </row>
    <row r="120">
      <c r="A120" s="9">
        <v>21.0</v>
      </c>
      <c r="B120" s="10" t="s">
        <v>760</v>
      </c>
      <c r="C120" s="10"/>
      <c r="D120" s="11" t="s">
        <v>14</v>
      </c>
      <c r="E120" s="11" t="s">
        <v>14</v>
      </c>
      <c r="F120" s="11" t="s">
        <v>14</v>
      </c>
      <c r="G120" s="10"/>
      <c r="H120" s="18" t="s">
        <v>14</v>
      </c>
      <c r="I120" s="11" t="s">
        <v>14</v>
      </c>
      <c r="J120" s="9"/>
      <c r="K120" s="10"/>
      <c r="L120" s="10"/>
      <c r="M120" s="10"/>
      <c r="N120" s="10"/>
      <c r="O120" s="9">
        <f t="shared" si="16"/>
        <v>5</v>
      </c>
      <c r="P120" s="9">
        <f t="shared" si="17"/>
        <v>0</v>
      </c>
      <c r="Q120" s="9">
        <f t="shared" si="18"/>
        <v>0</v>
      </c>
      <c r="R120" s="9">
        <f t="shared" si="19"/>
        <v>0</v>
      </c>
      <c r="S120" s="9">
        <f t="shared" si="20"/>
        <v>0</v>
      </c>
      <c r="T120" s="10" t="s">
        <v>760</v>
      </c>
    </row>
    <row r="121">
      <c r="A121" s="9">
        <v>22.0</v>
      </c>
      <c r="B121" s="10" t="s">
        <v>761</v>
      </c>
      <c r="C121" s="10"/>
      <c r="D121" s="9"/>
      <c r="E121" s="11" t="s">
        <v>18</v>
      </c>
      <c r="F121" s="10"/>
      <c r="G121" s="10"/>
      <c r="H121" s="9"/>
      <c r="I121" s="10"/>
      <c r="J121" s="9"/>
      <c r="K121" s="10"/>
      <c r="L121" s="10"/>
      <c r="M121" s="10"/>
      <c r="N121" s="10"/>
      <c r="O121" s="9">
        <f t="shared" si="16"/>
        <v>0</v>
      </c>
      <c r="P121" s="9">
        <f t="shared" si="17"/>
        <v>0</v>
      </c>
      <c r="Q121" s="9">
        <f t="shared" si="18"/>
        <v>0</v>
      </c>
      <c r="R121" s="9">
        <f t="shared" si="19"/>
        <v>0</v>
      </c>
      <c r="S121" s="9">
        <f t="shared" si="20"/>
        <v>1</v>
      </c>
      <c r="T121" s="10" t="s">
        <v>761</v>
      </c>
    </row>
    <row r="122">
      <c r="F122" s="20" t="s">
        <v>490</v>
      </c>
      <c r="H122" s="20" t="s">
        <v>490</v>
      </c>
      <c r="O122" s="36"/>
      <c r="P122" s="36"/>
      <c r="Q122" s="36"/>
      <c r="R122" s="36"/>
      <c r="S122" s="36"/>
    </row>
    <row r="123">
      <c r="O123" s="36"/>
      <c r="P123" s="36"/>
      <c r="Q123" s="36"/>
      <c r="R123" s="36"/>
      <c r="S123" s="36"/>
    </row>
    <row r="124">
      <c r="O124" s="36"/>
      <c r="P124" s="36"/>
      <c r="Q124" s="36"/>
      <c r="R124" s="36"/>
      <c r="S124" s="36"/>
    </row>
    <row r="125">
      <c r="O125" s="36"/>
      <c r="P125" s="36"/>
      <c r="Q125" s="36"/>
      <c r="R125" s="36"/>
      <c r="S125" s="36"/>
    </row>
    <row r="126">
      <c r="O126" s="36"/>
      <c r="P126" s="36"/>
      <c r="Q126" s="36"/>
      <c r="R126" s="36"/>
      <c r="S126" s="36"/>
    </row>
    <row r="127">
      <c r="O127" s="36"/>
      <c r="P127" s="36"/>
      <c r="Q127" s="36"/>
      <c r="R127" s="36"/>
      <c r="S127" s="36"/>
    </row>
    <row r="128">
      <c r="O128" s="36"/>
      <c r="P128" s="36"/>
      <c r="Q128" s="36"/>
      <c r="R128" s="36"/>
      <c r="S128" s="36"/>
    </row>
    <row r="129">
      <c r="O129" s="36"/>
      <c r="P129" s="36"/>
      <c r="Q129" s="36"/>
      <c r="R129" s="36"/>
      <c r="S129" s="36"/>
    </row>
    <row r="130">
      <c r="O130" s="36"/>
      <c r="P130" s="36"/>
      <c r="Q130" s="36"/>
      <c r="R130" s="36"/>
      <c r="S130" s="36"/>
    </row>
    <row r="131">
      <c r="O131" s="36"/>
      <c r="P131" s="36"/>
      <c r="Q131" s="36"/>
      <c r="R131" s="36"/>
      <c r="S131" s="36"/>
    </row>
    <row r="132">
      <c r="O132" s="36"/>
      <c r="P132" s="36"/>
      <c r="Q132" s="36"/>
      <c r="R132" s="36"/>
      <c r="S132" s="36"/>
    </row>
    <row r="133">
      <c r="O133" s="36"/>
      <c r="P133" s="36"/>
      <c r="Q133" s="36"/>
      <c r="R133" s="36"/>
      <c r="S133" s="36"/>
    </row>
    <row r="134">
      <c r="O134" s="36"/>
      <c r="P134" s="36"/>
      <c r="Q134" s="36"/>
      <c r="R134" s="36"/>
      <c r="S134" s="36"/>
    </row>
    <row r="135">
      <c r="O135" s="36"/>
      <c r="P135" s="36"/>
      <c r="Q135" s="36"/>
      <c r="R135" s="36"/>
      <c r="S135" s="36"/>
    </row>
    <row r="136">
      <c r="O136" s="36"/>
      <c r="P136" s="36"/>
      <c r="Q136" s="36"/>
      <c r="R136" s="36"/>
      <c r="S136" s="36"/>
    </row>
    <row r="137">
      <c r="O137" s="36"/>
      <c r="P137" s="36"/>
      <c r="Q137" s="36"/>
      <c r="R137" s="36"/>
      <c r="S137" s="36"/>
    </row>
    <row r="138">
      <c r="O138" s="36"/>
      <c r="P138" s="36"/>
      <c r="Q138" s="36"/>
      <c r="R138" s="36"/>
      <c r="S138" s="36"/>
    </row>
    <row r="139">
      <c r="O139" s="36"/>
      <c r="P139" s="36"/>
      <c r="Q139" s="36"/>
      <c r="R139" s="36"/>
      <c r="S139" s="36"/>
    </row>
    <row r="140">
      <c r="O140" s="36"/>
      <c r="P140" s="36"/>
      <c r="Q140" s="36"/>
      <c r="R140" s="36"/>
      <c r="S140" s="36"/>
    </row>
    <row r="141">
      <c r="O141" s="36"/>
      <c r="P141" s="36"/>
      <c r="Q141" s="36"/>
      <c r="R141" s="36"/>
      <c r="S141" s="36"/>
    </row>
    <row r="142">
      <c r="O142" s="36"/>
      <c r="P142" s="36"/>
      <c r="Q142" s="36"/>
      <c r="R142" s="36"/>
      <c r="S142" s="36"/>
    </row>
    <row r="143">
      <c r="O143" s="36"/>
      <c r="P143" s="36"/>
      <c r="Q143" s="36"/>
      <c r="R143" s="36"/>
      <c r="S143" s="36"/>
    </row>
    <row r="144">
      <c r="O144" s="36"/>
      <c r="P144" s="36"/>
      <c r="Q144" s="36"/>
      <c r="R144" s="36"/>
      <c r="S144" s="36"/>
    </row>
    <row r="145">
      <c r="O145" s="36"/>
      <c r="P145" s="36"/>
      <c r="Q145" s="36"/>
      <c r="R145" s="36"/>
      <c r="S145" s="36"/>
    </row>
    <row r="146">
      <c r="O146" s="36"/>
      <c r="P146" s="36"/>
      <c r="Q146" s="36"/>
      <c r="R146" s="36"/>
      <c r="S146" s="36"/>
    </row>
    <row r="147">
      <c r="O147" s="36"/>
      <c r="P147" s="36"/>
      <c r="Q147" s="36"/>
      <c r="R147" s="36"/>
      <c r="S147" s="36"/>
    </row>
    <row r="148">
      <c r="O148" s="36"/>
      <c r="P148" s="36"/>
      <c r="Q148" s="36"/>
      <c r="R148" s="36"/>
      <c r="S148" s="36"/>
    </row>
    <row r="149">
      <c r="O149" s="36"/>
      <c r="P149" s="36"/>
      <c r="Q149" s="36"/>
      <c r="R149" s="36"/>
      <c r="S149" s="36"/>
    </row>
    <row r="150">
      <c r="O150" s="36"/>
      <c r="P150" s="36"/>
      <c r="Q150" s="36"/>
      <c r="R150" s="36"/>
      <c r="S150" s="36"/>
    </row>
    <row r="151">
      <c r="O151" s="36"/>
      <c r="P151" s="36"/>
      <c r="Q151" s="36"/>
      <c r="R151" s="36"/>
      <c r="S151" s="36"/>
    </row>
    <row r="152">
      <c r="O152" s="36"/>
      <c r="P152" s="36"/>
      <c r="Q152" s="36"/>
      <c r="R152" s="36"/>
      <c r="S152" s="36"/>
    </row>
    <row r="153">
      <c r="O153" s="36"/>
      <c r="P153" s="36"/>
      <c r="Q153" s="36"/>
      <c r="R153" s="36"/>
      <c r="S153" s="36"/>
    </row>
    <row r="154">
      <c r="O154" s="36"/>
      <c r="P154" s="36"/>
      <c r="Q154" s="36"/>
      <c r="R154" s="36"/>
      <c r="S154" s="36"/>
    </row>
    <row r="155">
      <c r="O155" s="36"/>
      <c r="P155" s="36"/>
      <c r="Q155" s="36"/>
      <c r="R155" s="36"/>
      <c r="S155" s="36"/>
    </row>
    <row r="156">
      <c r="O156" s="36"/>
      <c r="P156" s="36"/>
      <c r="Q156" s="36"/>
      <c r="R156" s="36"/>
      <c r="S156" s="36"/>
    </row>
    <row r="157">
      <c r="O157" s="36"/>
      <c r="P157" s="36"/>
      <c r="Q157" s="36"/>
      <c r="R157" s="36"/>
      <c r="S157" s="36"/>
    </row>
    <row r="158">
      <c r="O158" s="36"/>
      <c r="P158" s="36"/>
      <c r="Q158" s="36"/>
      <c r="R158" s="36"/>
      <c r="S158" s="36"/>
    </row>
    <row r="159">
      <c r="O159" s="36"/>
      <c r="P159" s="36"/>
      <c r="Q159" s="36"/>
      <c r="R159" s="36"/>
      <c r="S159" s="36"/>
    </row>
    <row r="160">
      <c r="O160" s="36"/>
      <c r="P160" s="36"/>
      <c r="Q160" s="36"/>
      <c r="R160" s="36"/>
      <c r="S160" s="36"/>
    </row>
    <row r="161">
      <c r="O161" s="36"/>
      <c r="P161" s="36"/>
      <c r="Q161" s="36"/>
      <c r="R161" s="36"/>
      <c r="S161" s="36"/>
    </row>
    <row r="162">
      <c r="O162" s="36"/>
      <c r="P162" s="36"/>
      <c r="Q162" s="36"/>
      <c r="R162" s="36"/>
      <c r="S162" s="36"/>
    </row>
    <row r="163">
      <c r="O163" s="36"/>
      <c r="P163" s="36"/>
      <c r="Q163" s="36"/>
      <c r="R163" s="36"/>
      <c r="S163" s="36"/>
    </row>
    <row r="164">
      <c r="O164" s="36"/>
      <c r="P164" s="36"/>
      <c r="Q164" s="36"/>
      <c r="R164" s="36"/>
      <c r="S164" s="36"/>
    </row>
    <row r="165">
      <c r="O165" s="36"/>
      <c r="P165" s="36"/>
      <c r="Q165" s="36"/>
      <c r="R165" s="36"/>
      <c r="S165" s="36"/>
    </row>
    <row r="166">
      <c r="O166" s="36"/>
      <c r="P166" s="36"/>
      <c r="Q166" s="36"/>
      <c r="R166" s="36"/>
      <c r="S166" s="36"/>
    </row>
    <row r="167">
      <c r="O167" s="36"/>
      <c r="P167" s="36"/>
      <c r="Q167" s="36"/>
      <c r="R167" s="36"/>
      <c r="S167" s="36"/>
    </row>
    <row r="168">
      <c r="O168" s="36"/>
      <c r="P168" s="36"/>
      <c r="Q168" s="36"/>
      <c r="R168" s="36"/>
      <c r="S168" s="36"/>
    </row>
    <row r="169">
      <c r="O169" s="36"/>
      <c r="P169" s="36"/>
      <c r="Q169" s="36"/>
      <c r="R169" s="36"/>
      <c r="S169" s="36"/>
    </row>
    <row r="170">
      <c r="O170" s="36"/>
      <c r="P170" s="36"/>
      <c r="Q170" s="36"/>
      <c r="R170" s="36"/>
      <c r="S170" s="36"/>
    </row>
    <row r="171">
      <c r="O171" s="36"/>
      <c r="P171" s="36"/>
      <c r="Q171" s="36"/>
      <c r="R171" s="36"/>
      <c r="S171" s="36"/>
    </row>
    <row r="172">
      <c r="O172" s="36"/>
      <c r="P172" s="36"/>
      <c r="Q172" s="36"/>
      <c r="R172" s="36"/>
      <c r="S172" s="36"/>
    </row>
    <row r="173">
      <c r="O173" s="36"/>
      <c r="P173" s="36"/>
      <c r="Q173" s="36"/>
      <c r="R173" s="36"/>
      <c r="S173" s="36"/>
    </row>
    <row r="174">
      <c r="O174" s="36"/>
      <c r="P174" s="36"/>
      <c r="Q174" s="36"/>
      <c r="R174" s="36"/>
      <c r="S174" s="36"/>
    </row>
    <row r="175">
      <c r="O175" s="36"/>
      <c r="P175" s="36"/>
      <c r="Q175" s="36"/>
      <c r="R175" s="36"/>
      <c r="S175" s="36"/>
    </row>
    <row r="176">
      <c r="O176" s="36"/>
      <c r="P176" s="36"/>
      <c r="Q176" s="36"/>
      <c r="R176" s="36"/>
      <c r="S176" s="36"/>
    </row>
    <row r="177">
      <c r="O177" s="36"/>
      <c r="P177" s="36"/>
      <c r="Q177" s="36"/>
      <c r="R177" s="36"/>
      <c r="S177" s="36"/>
    </row>
    <row r="178">
      <c r="O178" s="36"/>
      <c r="P178" s="36"/>
      <c r="Q178" s="36"/>
      <c r="R178" s="36"/>
      <c r="S178" s="36"/>
    </row>
    <row r="179">
      <c r="O179" s="36"/>
      <c r="P179" s="36"/>
      <c r="Q179" s="36"/>
      <c r="R179" s="36"/>
      <c r="S179" s="36"/>
    </row>
    <row r="180">
      <c r="O180" s="36"/>
      <c r="P180" s="36"/>
      <c r="Q180" s="36"/>
      <c r="R180" s="36"/>
      <c r="S180" s="36"/>
    </row>
    <row r="181">
      <c r="O181" s="36"/>
      <c r="P181" s="36"/>
      <c r="Q181" s="36"/>
      <c r="R181" s="36"/>
      <c r="S181" s="36"/>
    </row>
    <row r="182">
      <c r="O182" s="36"/>
      <c r="P182" s="36"/>
      <c r="Q182" s="36"/>
      <c r="R182" s="36"/>
      <c r="S182" s="36"/>
    </row>
    <row r="183">
      <c r="O183" s="36"/>
      <c r="P183" s="36"/>
      <c r="Q183" s="36"/>
      <c r="R183" s="36"/>
      <c r="S183" s="36"/>
    </row>
    <row r="184">
      <c r="O184" s="36"/>
      <c r="P184" s="36"/>
      <c r="Q184" s="36"/>
      <c r="R184" s="36"/>
      <c r="S184" s="36"/>
    </row>
    <row r="185">
      <c r="O185" s="36"/>
      <c r="P185" s="36"/>
      <c r="Q185" s="36"/>
      <c r="R185" s="36"/>
      <c r="S185" s="36"/>
    </row>
    <row r="186">
      <c r="O186" s="36"/>
      <c r="P186" s="36"/>
      <c r="Q186" s="36"/>
      <c r="R186" s="36"/>
      <c r="S186" s="36"/>
    </row>
    <row r="187">
      <c r="O187" s="36"/>
      <c r="P187" s="36"/>
      <c r="Q187" s="36"/>
      <c r="R187" s="36"/>
      <c r="S187" s="36"/>
    </row>
    <row r="188">
      <c r="O188" s="36"/>
      <c r="P188" s="36"/>
      <c r="Q188" s="36"/>
      <c r="R188" s="36"/>
      <c r="S188" s="36"/>
    </row>
    <row r="189">
      <c r="O189" s="36"/>
      <c r="P189" s="36"/>
      <c r="Q189" s="36"/>
      <c r="R189" s="36"/>
      <c r="S189" s="36"/>
    </row>
    <row r="190">
      <c r="O190" s="36"/>
      <c r="P190" s="36"/>
      <c r="Q190" s="36"/>
      <c r="R190" s="36"/>
      <c r="S190" s="36"/>
    </row>
    <row r="191">
      <c r="O191" s="36"/>
      <c r="P191" s="36"/>
      <c r="Q191" s="36"/>
      <c r="R191" s="36"/>
      <c r="S191" s="36"/>
    </row>
    <row r="192">
      <c r="O192" s="36"/>
      <c r="P192" s="36"/>
      <c r="Q192" s="36"/>
      <c r="R192" s="36"/>
      <c r="S192" s="36"/>
    </row>
    <row r="193">
      <c r="O193" s="36"/>
      <c r="P193" s="36"/>
      <c r="Q193" s="36"/>
      <c r="R193" s="36"/>
      <c r="S193" s="36"/>
    </row>
    <row r="194">
      <c r="O194" s="36"/>
      <c r="P194" s="36"/>
      <c r="Q194" s="36"/>
      <c r="R194" s="36"/>
      <c r="S194" s="36"/>
    </row>
    <row r="195">
      <c r="O195" s="36"/>
      <c r="P195" s="36"/>
      <c r="Q195" s="36"/>
      <c r="R195" s="36"/>
      <c r="S195" s="36"/>
    </row>
    <row r="196">
      <c r="O196" s="36"/>
      <c r="P196" s="36"/>
      <c r="Q196" s="36"/>
      <c r="R196" s="36"/>
      <c r="S196" s="36"/>
    </row>
    <row r="197">
      <c r="O197" s="36"/>
      <c r="P197" s="36"/>
      <c r="Q197" s="36"/>
      <c r="R197" s="36"/>
      <c r="S197" s="36"/>
    </row>
    <row r="198">
      <c r="O198" s="36"/>
      <c r="P198" s="36"/>
      <c r="Q198" s="36"/>
      <c r="R198" s="36"/>
      <c r="S198" s="36"/>
    </row>
    <row r="199">
      <c r="O199" s="36"/>
      <c r="P199" s="36"/>
      <c r="Q199" s="36"/>
      <c r="R199" s="36"/>
      <c r="S199" s="36"/>
    </row>
    <row r="200">
      <c r="O200" s="36"/>
      <c r="P200" s="36"/>
      <c r="Q200" s="36"/>
      <c r="R200" s="36"/>
      <c r="S200" s="36"/>
    </row>
    <row r="201">
      <c r="O201" s="36"/>
      <c r="P201" s="36"/>
      <c r="Q201" s="36"/>
      <c r="R201" s="36"/>
      <c r="S201" s="36"/>
    </row>
    <row r="202">
      <c r="O202" s="36"/>
      <c r="P202" s="36"/>
      <c r="Q202" s="36"/>
      <c r="R202" s="36"/>
      <c r="S202" s="36"/>
    </row>
    <row r="203">
      <c r="O203" s="36"/>
      <c r="P203" s="36"/>
      <c r="Q203" s="36"/>
      <c r="R203" s="36"/>
      <c r="S203" s="36"/>
    </row>
    <row r="204">
      <c r="O204" s="36"/>
      <c r="P204" s="36"/>
      <c r="Q204" s="36"/>
      <c r="R204" s="36"/>
      <c r="S204" s="36"/>
    </row>
    <row r="205">
      <c r="O205" s="36"/>
      <c r="P205" s="36"/>
      <c r="Q205" s="36"/>
      <c r="R205" s="36"/>
      <c r="S205" s="36"/>
    </row>
    <row r="206">
      <c r="O206" s="36"/>
      <c r="P206" s="36"/>
      <c r="Q206" s="36"/>
      <c r="R206" s="36"/>
      <c r="S206" s="36"/>
    </row>
    <row r="207">
      <c r="O207" s="36"/>
      <c r="P207" s="36"/>
      <c r="Q207" s="36"/>
      <c r="R207" s="36"/>
      <c r="S207" s="36"/>
    </row>
    <row r="208">
      <c r="O208" s="36"/>
      <c r="P208" s="36"/>
      <c r="Q208" s="36"/>
      <c r="R208" s="36"/>
      <c r="S208" s="36"/>
    </row>
    <row r="209">
      <c r="O209" s="36"/>
      <c r="P209" s="36"/>
      <c r="Q209" s="36"/>
      <c r="R209" s="36"/>
      <c r="S209" s="36"/>
    </row>
    <row r="210">
      <c r="O210" s="36"/>
      <c r="P210" s="36"/>
      <c r="Q210" s="36"/>
      <c r="R210" s="36"/>
      <c r="S210" s="36"/>
    </row>
    <row r="211">
      <c r="O211" s="36"/>
      <c r="P211" s="36"/>
      <c r="Q211" s="36"/>
      <c r="R211" s="36"/>
      <c r="S211" s="36"/>
    </row>
    <row r="212">
      <c r="O212" s="36"/>
      <c r="P212" s="36"/>
      <c r="Q212" s="36"/>
      <c r="R212" s="36"/>
      <c r="S212" s="36"/>
    </row>
    <row r="213">
      <c r="O213" s="36"/>
      <c r="P213" s="36"/>
      <c r="Q213" s="36"/>
      <c r="R213" s="36"/>
      <c r="S213" s="36"/>
    </row>
    <row r="214">
      <c r="O214" s="36"/>
      <c r="P214" s="36"/>
      <c r="Q214" s="36"/>
      <c r="R214" s="36"/>
      <c r="S214" s="36"/>
    </row>
    <row r="215">
      <c r="O215" s="36"/>
      <c r="P215" s="36"/>
      <c r="Q215" s="36"/>
      <c r="R215" s="36"/>
      <c r="S215" s="36"/>
    </row>
    <row r="216">
      <c r="O216" s="36"/>
      <c r="P216" s="36"/>
      <c r="Q216" s="36"/>
      <c r="R216" s="36"/>
      <c r="S216" s="36"/>
    </row>
    <row r="217">
      <c r="O217" s="36"/>
      <c r="P217" s="36"/>
      <c r="Q217" s="36"/>
      <c r="R217" s="36"/>
      <c r="S217" s="36"/>
    </row>
    <row r="218">
      <c r="O218" s="36"/>
      <c r="P218" s="36"/>
      <c r="Q218" s="36"/>
      <c r="R218" s="36"/>
      <c r="S218" s="36"/>
    </row>
    <row r="219">
      <c r="O219" s="36"/>
      <c r="P219" s="36"/>
      <c r="Q219" s="36"/>
      <c r="R219" s="36"/>
      <c r="S219" s="36"/>
    </row>
    <row r="220">
      <c r="O220" s="36"/>
      <c r="P220" s="36"/>
      <c r="Q220" s="36"/>
      <c r="R220" s="36"/>
      <c r="S220" s="36"/>
    </row>
    <row r="221">
      <c r="O221" s="36"/>
      <c r="P221" s="36"/>
      <c r="Q221" s="36"/>
      <c r="R221" s="36"/>
      <c r="S221" s="36"/>
    </row>
    <row r="222">
      <c r="O222" s="36"/>
      <c r="P222" s="36"/>
      <c r="Q222" s="36"/>
      <c r="R222" s="36"/>
      <c r="S222" s="36"/>
    </row>
    <row r="223">
      <c r="O223" s="36"/>
      <c r="P223" s="36"/>
      <c r="Q223" s="36"/>
      <c r="R223" s="36"/>
      <c r="S223" s="36"/>
    </row>
    <row r="224">
      <c r="O224" s="36"/>
      <c r="P224" s="36"/>
      <c r="Q224" s="36"/>
      <c r="R224" s="36"/>
      <c r="S224" s="36"/>
    </row>
    <row r="225">
      <c r="O225" s="36"/>
      <c r="P225" s="36"/>
      <c r="Q225" s="36"/>
      <c r="R225" s="36"/>
      <c r="S225" s="36"/>
    </row>
    <row r="226">
      <c r="O226" s="36"/>
      <c r="P226" s="36"/>
      <c r="Q226" s="36"/>
      <c r="R226" s="36"/>
      <c r="S226" s="36"/>
    </row>
    <row r="227">
      <c r="O227" s="36"/>
      <c r="P227" s="36"/>
      <c r="Q227" s="36"/>
      <c r="R227" s="36"/>
      <c r="S227" s="36"/>
    </row>
    <row r="228">
      <c r="O228" s="36"/>
      <c r="P228" s="36"/>
      <c r="Q228" s="36"/>
      <c r="R228" s="36"/>
      <c r="S228" s="36"/>
    </row>
    <row r="229">
      <c r="O229" s="36"/>
      <c r="P229" s="36"/>
      <c r="Q229" s="36"/>
      <c r="R229" s="36"/>
      <c r="S229" s="36"/>
    </row>
    <row r="230">
      <c r="O230" s="36"/>
      <c r="P230" s="36"/>
      <c r="Q230" s="36"/>
      <c r="R230" s="36"/>
      <c r="S230" s="36"/>
    </row>
    <row r="231">
      <c r="O231" s="36"/>
      <c r="P231" s="36"/>
      <c r="Q231" s="36"/>
      <c r="R231" s="36"/>
      <c r="S231" s="36"/>
    </row>
    <row r="232">
      <c r="O232" s="36"/>
      <c r="P232" s="36"/>
      <c r="Q232" s="36"/>
      <c r="R232" s="36"/>
      <c r="S232" s="36"/>
    </row>
    <row r="233">
      <c r="O233" s="36"/>
      <c r="P233" s="36"/>
      <c r="Q233" s="36"/>
      <c r="R233" s="36"/>
      <c r="S233" s="36"/>
    </row>
    <row r="234">
      <c r="O234" s="36"/>
      <c r="P234" s="36"/>
      <c r="Q234" s="36"/>
      <c r="R234" s="36"/>
      <c r="S234" s="36"/>
    </row>
    <row r="235">
      <c r="O235" s="36"/>
      <c r="P235" s="36"/>
      <c r="Q235" s="36"/>
      <c r="R235" s="36"/>
      <c r="S235" s="36"/>
    </row>
    <row r="236">
      <c r="O236" s="36"/>
      <c r="P236" s="36"/>
      <c r="Q236" s="36"/>
      <c r="R236" s="36"/>
      <c r="S236" s="36"/>
    </row>
    <row r="237">
      <c r="O237" s="36"/>
      <c r="P237" s="36"/>
      <c r="Q237" s="36"/>
      <c r="R237" s="36"/>
      <c r="S237" s="36"/>
    </row>
    <row r="238">
      <c r="O238" s="36"/>
      <c r="P238" s="36"/>
      <c r="Q238" s="36"/>
      <c r="R238" s="36"/>
      <c r="S238" s="36"/>
    </row>
    <row r="239">
      <c r="O239" s="36"/>
      <c r="P239" s="36"/>
      <c r="Q239" s="36"/>
      <c r="R239" s="36"/>
      <c r="S239" s="36"/>
    </row>
    <row r="240">
      <c r="O240" s="36"/>
      <c r="P240" s="36"/>
      <c r="Q240" s="36"/>
      <c r="R240" s="36"/>
      <c r="S240" s="36"/>
    </row>
    <row r="241">
      <c r="O241" s="36"/>
      <c r="P241" s="36"/>
      <c r="Q241" s="36"/>
      <c r="R241" s="36"/>
      <c r="S241" s="36"/>
    </row>
    <row r="242">
      <c r="O242" s="36"/>
      <c r="P242" s="36"/>
      <c r="Q242" s="36"/>
      <c r="R242" s="36"/>
      <c r="S242" s="36"/>
    </row>
    <row r="243">
      <c r="O243" s="36"/>
      <c r="P243" s="36"/>
      <c r="Q243" s="36"/>
      <c r="R243" s="36"/>
      <c r="S243" s="36"/>
    </row>
    <row r="244">
      <c r="O244" s="36"/>
      <c r="P244" s="36"/>
      <c r="Q244" s="36"/>
      <c r="R244" s="36"/>
      <c r="S244" s="36"/>
    </row>
    <row r="245">
      <c r="O245" s="36"/>
      <c r="P245" s="36"/>
      <c r="Q245" s="36"/>
      <c r="R245" s="36"/>
      <c r="S245" s="36"/>
    </row>
    <row r="246">
      <c r="O246" s="36"/>
      <c r="P246" s="36"/>
      <c r="Q246" s="36"/>
      <c r="R246" s="36"/>
      <c r="S246" s="36"/>
    </row>
    <row r="247">
      <c r="O247" s="36"/>
      <c r="P247" s="36"/>
      <c r="Q247" s="36"/>
      <c r="R247" s="36"/>
      <c r="S247" s="36"/>
    </row>
    <row r="248">
      <c r="O248" s="36"/>
      <c r="P248" s="36"/>
      <c r="Q248" s="36"/>
      <c r="R248" s="36"/>
      <c r="S248" s="36"/>
    </row>
    <row r="249">
      <c r="O249" s="36"/>
      <c r="P249" s="36"/>
      <c r="Q249" s="36"/>
      <c r="R249" s="36"/>
      <c r="S249" s="36"/>
    </row>
    <row r="250">
      <c r="O250" s="36"/>
      <c r="P250" s="36"/>
      <c r="Q250" s="36"/>
      <c r="R250" s="36"/>
      <c r="S250" s="36"/>
    </row>
    <row r="251">
      <c r="O251" s="36"/>
      <c r="P251" s="36"/>
      <c r="Q251" s="36"/>
      <c r="R251" s="36"/>
      <c r="S251" s="36"/>
    </row>
    <row r="252">
      <c r="O252" s="36"/>
      <c r="P252" s="36"/>
      <c r="Q252" s="36"/>
      <c r="R252" s="36"/>
      <c r="S252" s="36"/>
    </row>
    <row r="253">
      <c r="O253" s="36"/>
      <c r="P253" s="36"/>
      <c r="Q253" s="36"/>
      <c r="R253" s="36"/>
      <c r="S253" s="36"/>
    </row>
    <row r="254">
      <c r="O254" s="36"/>
      <c r="P254" s="36"/>
      <c r="Q254" s="36"/>
      <c r="R254" s="36"/>
      <c r="S254" s="36"/>
    </row>
    <row r="255">
      <c r="O255" s="36"/>
      <c r="P255" s="36"/>
      <c r="Q255" s="36"/>
      <c r="R255" s="36"/>
      <c r="S255" s="36"/>
    </row>
    <row r="256">
      <c r="O256" s="36"/>
      <c r="P256" s="36"/>
      <c r="Q256" s="36"/>
      <c r="R256" s="36"/>
      <c r="S256" s="36"/>
    </row>
    <row r="257">
      <c r="O257" s="36"/>
      <c r="P257" s="36"/>
      <c r="Q257" s="36"/>
      <c r="R257" s="36"/>
      <c r="S257" s="36"/>
    </row>
    <row r="258">
      <c r="O258" s="36"/>
      <c r="P258" s="36"/>
      <c r="Q258" s="36"/>
      <c r="R258" s="36"/>
      <c r="S258" s="36"/>
    </row>
    <row r="259">
      <c r="O259" s="36"/>
      <c r="P259" s="36"/>
      <c r="Q259" s="36"/>
      <c r="R259" s="36"/>
      <c r="S259" s="36"/>
    </row>
    <row r="260">
      <c r="O260" s="36"/>
      <c r="P260" s="36"/>
      <c r="Q260" s="36"/>
      <c r="R260" s="36"/>
      <c r="S260" s="36"/>
    </row>
    <row r="261">
      <c r="O261" s="36"/>
      <c r="P261" s="36"/>
      <c r="Q261" s="36"/>
      <c r="R261" s="36"/>
      <c r="S261" s="36"/>
    </row>
    <row r="262">
      <c r="O262" s="36"/>
      <c r="P262" s="36"/>
      <c r="Q262" s="36"/>
      <c r="R262" s="36"/>
      <c r="S262" s="36"/>
    </row>
    <row r="263">
      <c r="O263" s="36"/>
      <c r="P263" s="36"/>
      <c r="Q263" s="36"/>
      <c r="R263" s="36"/>
      <c r="S263" s="36"/>
    </row>
    <row r="264">
      <c r="O264" s="36"/>
      <c r="P264" s="36"/>
      <c r="Q264" s="36"/>
      <c r="R264" s="36"/>
      <c r="S264" s="36"/>
    </row>
    <row r="265">
      <c r="O265" s="36"/>
      <c r="P265" s="36"/>
      <c r="Q265" s="36"/>
      <c r="R265" s="36"/>
      <c r="S265" s="36"/>
    </row>
    <row r="266">
      <c r="O266" s="36"/>
      <c r="P266" s="36"/>
      <c r="Q266" s="36"/>
      <c r="R266" s="36"/>
      <c r="S266" s="36"/>
    </row>
    <row r="267">
      <c r="O267" s="36"/>
      <c r="P267" s="36"/>
      <c r="Q267" s="36"/>
      <c r="R267" s="36"/>
      <c r="S267" s="36"/>
    </row>
    <row r="268">
      <c r="O268" s="36"/>
      <c r="P268" s="36"/>
      <c r="Q268" s="36"/>
      <c r="R268" s="36"/>
      <c r="S268" s="36"/>
    </row>
    <row r="269">
      <c r="O269" s="36"/>
      <c r="P269" s="36"/>
      <c r="Q269" s="36"/>
      <c r="R269" s="36"/>
      <c r="S269" s="36"/>
    </row>
    <row r="270">
      <c r="O270" s="36"/>
      <c r="P270" s="36"/>
      <c r="Q270" s="36"/>
      <c r="R270" s="36"/>
      <c r="S270" s="36"/>
    </row>
    <row r="271">
      <c r="O271" s="36"/>
      <c r="P271" s="36"/>
      <c r="Q271" s="36"/>
      <c r="R271" s="36"/>
      <c r="S271" s="36"/>
    </row>
    <row r="272">
      <c r="O272" s="36"/>
      <c r="P272" s="36"/>
      <c r="Q272" s="36"/>
      <c r="R272" s="36"/>
      <c r="S272" s="36"/>
    </row>
    <row r="273">
      <c r="O273" s="36"/>
      <c r="P273" s="36"/>
      <c r="Q273" s="36"/>
      <c r="R273" s="36"/>
      <c r="S273" s="36"/>
    </row>
    <row r="274">
      <c r="O274" s="36"/>
      <c r="P274" s="36"/>
      <c r="Q274" s="36"/>
      <c r="R274" s="36"/>
      <c r="S274" s="36"/>
    </row>
    <row r="275">
      <c r="O275" s="36"/>
      <c r="P275" s="36"/>
      <c r="Q275" s="36"/>
      <c r="R275" s="36"/>
      <c r="S275" s="36"/>
    </row>
    <row r="276">
      <c r="O276" s="36"/>
      <c r="P276" s="36"/>
      <c r="Q276" s="36"/>
      <c r="R276" s="36"/>
      <c r="S276" s="36"/>
    </row>
    <row r="277">
      <c r="O277" s="36"/>
      <c r="P277" s="36"/>
      <c r="Q277" s="36"/>
      <c r="R277" s="36"/>
      <c r="S277" s="36"/>
    </row>
    <row r="278">
      <c r="O278" s="36"/>
      <c r="P278" s="36"/>
      <c r="Q278" s="36"/>
      <c r="R278" s="36"/>
      <c r="S278" s="36"/>
    </row>
    <row r="279">
      <c r="O279" s="36"/>
      <c r="P279" s="36"/>
      <c r="Q279" s="36"/>
      <c r="R279" s="36"/>
      <c r="S279" s="36"/>
    </row>
    <row r="280">
      <c r="O280" s="36"/>
      <c r="P280" s="36"/>
      <c r="Q280" s="36"/>
      <c r="R280" s="36"/>
      <c r="S280" s="36"/>
    </row>
    <row r="281">
      <c r="O281" s="36"/>
      <c r="P281" s="36"/>
      <c r="Q281" s="36"/>
      <c r="R281" s="36"/>
      <c r="S281" s="36"/>
    </row>
    <row r="282">
      <c r="O282" s="36"/>
      <c r="P282" s="36"/>
      <c r="Q282" s="36"/>
      <c r="R282" s="36"/>
      <c r="S282" s="36"/>
    </row>
    <row r="283">
      <c r="O283" s="36"/>
      <c r="P283" s="36"/>
      <c r="Q283" s="36"/>
      <c r="R283" s="36"/>
      <c r="S283" s="36"/>
    </row>
    <row r="284">
      <c r="O284" s="36"/>
      <c r="P284" s="36"/>
      <c r="Q284" s="36"/>
      <c r="R284" s="36"/>
      <c r="S284" s="36"/>
    </row>
    <row r="285">
      <c r="O285" s="36"/>
      <c r="P285" s="36"/>
      <c r="Q285" s="36"/>
      <c r="R285" s="36"/>
      <c r="S285" s="36"/>
    </row>
    <row r="286">
      <c r="O286" s="36"/>
      <c r="P286" s="36"/>
      <c r="Q286" s="36"/>
      <c r="R286" s="36"/>
      <c r="S286" s="36"/>
    </row>
    <row r="287">
      <c r="O287" s="36"/>
      <c r="P287" s="36"/>
      <c r="Q287" s="36"/>
      <c r="R287" s="36"/>
      <c r="S287" s="36"/>
    </row>
    <row r="288">
      <c r="O288" s="36"/>
      <c r="P288" s="36"/>
      <c r="Q288" s="36"/>
      <c r="R288" s="36"/>
      <c r="S288" s="36"/>
    </row>
    <row r="289">
      <c r="O289" s="36"/>
      <c r="P289" s="36"/>
      <c r="Q289" s="36"/>
      <c r="R289" s="36"/>
      <c r="S289" s="36"/>
    </row>
    <row r="290">
      <c r="O290" s="36"/>
      <c r="P290" s="36"/>
      <c r="Q290" s="36"/>
      <c r="R290" s="36"/>
      <c r="S290" s="36"/>
    </row>
    <row r="291">
      <c r="O291" s="36"/>
      <c r="P291" s="36"/>
      <c r="Q291" s="36"/>
      <c r="R291" s="36"/>
      <c r="S291" s="36"/>
    </row>
    <row r="292">
      <c r="O292" s="36"/>
      <c r="P292" s="36"/>
      <c r="Q292" s="36"/>
      <c r="R292" s="36"/>
      <c r="S292" s="36"/>
    </row>
    <row r="293">
      <c r="O293" s="36"/>
      <c r="P293" s="36"/>
      <c r="Q293" s="36"/>
      <c r="R293" s="36"/>
      <c r="S293" s="36"/>
    </row>
    <row r="294">
      <c r="O294" s="36"/>
      <c r="P294" s="36"/>
      <c r="Q294" s="36"/>
      <c r="R294" s="36"/>
      <c r="S294" s="36"/>
    </row>
    <row r="295">
      <c r="O295" s="36"/>
      <c r="P295" s="36"/>
      <c r="Q295" s="36"/>
      <c r="R295" s="36"/>
      <c r="S295" s="36"/>
    </row>
    <row r="296">
      <c r="O296" s="36"/>
      <c r="P296" s="36"/>
      <c r="Q296" s="36"/>
      <c r="R296" s="36"/>
      <c r="S296" s="36"/>
    </row>
    <row r="297">
      <c r="O297" s="36"/>
      <c r="P297" s="36"/>
      <c r="Q297" s="36"/>
      <c r="R297" s="36"/>
      <c r="S297" s="36"/>
    </row>
    <row r="298">
      <c r="O298" s="36"/>
      <c r="P298" s="36"/>
      <c r="Q298" s="36"/>
      <c r="R298" s="36"/>
      <c r="S298" s="36"/>
    </row>
    <row r="299">
      <c r="O299" s="36"/>
      <c r="P299" s="36"/>
      <c r="Q299" s="36"/>
      <c r="R299" s="36"/>
      <c r="S299" s="36"/>
    </row>
    <row r="300">
      <c r="O300" s="36"/>
      <c r="P300" s="36"/>
      <c r="Q300" s="36"/>
      <c r="R300" s="36"/>
      <c r="S300" s="36"/>
    </row>
    <row r="301">
      <c r="O301" s="36"/>
      <c r="P301" s="36"/>
      <c r="Q301" s="36"/>
      <c r="R301" s="36"/>
      <c r="S301" s="36"/>
    </row>
    <row r="302">
      <c r="O302" s="36"/>
      <c r="P302" s="36"/>
      <c r="Q302" s="36"/>
      <c r="R302" s="36"/>
      <c r="S302" s="36"/>
    </row>
    <row r="303">
      <c r="O303" s="36"/>
      <c r="P303" s="36"/>
      <c r="Q303" s="36"/>
      <c r="R303" s="36"/>
      <c r="S303" s="36"/>
    </row>
    <row r="304">
      <c r="O304" s="36"/>
      <c r="P304" s="36"/>
      <c r="Q304" s="36"/>
      <c r="R304" s="36"/>
      <c r="S304" s="36"/>
    </row>
    <row r="305">
      <c r="O305" s="36"/>
      <c r="P305" s="36"/>
      <c r="Q305" s="36"/>
      <c r="R305" s="36"/>
      <c r="S305" s="36"/>
    </row>
    <row r="306">
      <c r="O306" s="36"/>
      <c r="P306" s="36"/>
      <c r="Q306" s="36"/>
      <c r="R306" s="36"/>
      <c r="S306" s="36"/>
    </row>
    <row r="307">
      <c r="O307" s="36"/>
      <c r="P307" s="36"/>
      <c r="Q307" s="36"/>
      <c r="R307" s="36"/>
      <c r="S307" s="36"/>
    </row>
    <row r="308">
      <c r="O308" s="36"/>
      <c r="P308" s="36"/>
      <c r="Q308" s="36"/>
      <c r="R308" s="36"/>
      <c r="S308" s="36"/>
    </row>
    <row r="309">
      <c r="O309" s="36"/>
      <c r="P309" s="36"/>
      <c r="Q309" s="36"/>
      <c r="R309" s="36"/>
      <c r="S309" s="36"/>
    </row>
    <row r="310">
      <c r="O310" s="36"/>
      <c r="P310" s="36"/>
      <c r="Q310" s="36"/>
      <c r="R310" s="36"/>
      <c r="S310" s="36"/>
    </row>
    <row r="311">
      <c r="O311" s="36"/>
      <c r="P311" s="36"/>
      <c r="Q311" s="36"/>
      <c r="R311" s="36"/>
      <c r="S311" s="36"/>
    </row>
    <row r="312">
      <c r="O312" s="36"/>
      <c r="P312" s="36"/>
      <c r="Q312" s="36"/>
      <c r="R312" s="36"/>
      <c r="S312" s="36"/>
    </row>
    <row r="313">
      <c r="O313" s="36"/>
      <c r="P313" s="36"/>
      <c r="Q313" s="36"/>
      <c r="R313" s="36"/>
      <c r="S313" s="36"/>
    </row>
    <row r="314">
      <c r="O314" s="36"/>
      <c r="P314" s="36"/>
      <c r="Q314" s="36"/>
      <c r="R314" s="36"/>
      <c r="S314" s="36"/>
    </row>
    <row r="315">
      <c r="O315" s="36"/>
      <c r="P315" s="36"/>
      <c r="Q315" s="36"/>
      <c r="R315" s="36"/>
      <c r="S315" s="36"/>
    </row>
    <row r="316">
      <c r="O316" s="36"/>
      <c r="P316" s="36"/>
      <c r="Q316" s="36"/>
      <c r="R316" s="36"/>
      <c r="S316" s="36"/>
    </row>
    <row r="317">
      <c r="O317" s="36"/>
      <c r="P317" s="36"/>
      <c r="Q317" s="36"/>
      <c r="R317" s="36"/>
      <c r="S317" s="36"/>
    </row>
    <row r="318">
      <c r="O318" s="36"/>
      <c r="P318" s="36"/>
      <c r="Q318" s="36"/>
      <c r="R318" s="36"/>
      <c r="S318" s="36"/>
    </row>
    <row r="319">
      <c r="O319" s="36"/>
      <c r="P319" s="36"/>
      <c r="Q319" s="36"/>
      <c r="R319" s="36"/>
      <c r="S319" s="36"/>
    </row>
    <row r="320">
      <c r="O320" s="36"/>
      <c r="P320" s="36"/>
      <c r="Q320" s="36"/>
      <c r="R320" s="36"/>
      <c r="S320" s="36"/>
    </row>
    <row r="321">
      <c r="O321" s="36"/>
      <c r="P321" s="36"/>
      <c r="Q321" s="36"/>
      <c r="R321" s="36"/>
      <c r="S321" s="36"/>
    </row>
    <row r="322">
      <c r="O322" s="36"/>
      <c r="P322" s="36"/>
      <c r="Q322" s="36"/>
      <c r="R322" s="36"/>
      <c r="S322" s="36"/>
    </row>
    <row r="323">
      <c r="O323" s="36"/>
      <c r="P323" s="36"/>
      <c r="Q323" s="36"/>
      <c r="R323" s="36"/>
      <c r="S323" s="36"/>
    </row>
    <row r="324">
      <c r="O324" s="36"/>
      <c r="P324" s="36"/>
      <c r="Q324" s="36"/>
      <c r="R324" s="36"/>
      <c r="S324" s="36"/>
    </row>
    <row r="325">
      <c r="O325" s="36"/>
      <c r="P325" s="36"/>
      <c r="Q325" s="36"/>
      <c r="R325" s="36"/>
      <c r="S325" s="36"/>
    </row>
    <row r="326">
      <c r="O326" s="36"/>
      <c r="P326" s="36"/>
      <c r="Q326" s="36"/>
      <c r="R326" s="36"/>
      <c r="S326" s="36"/>
    </row>
    <row r="327">
      <c r="O327" s="36"/>
      <c r="P327" s="36"/>
      <c r="Q327" s="36"/>
      <c r="R327" s="36"/>
      <c r="S327" s="36"/>
    </row>
    <row r="328">
      <c r="O328" s="36"/>
      <c r="P328" s="36"/>
      <c r="Q328" s="36"/>
      <c r="R328" s="36"/>
      <c r="S328" s="36"/>
    </row>
    <row r="329">
      <c r="O329" s="36"/>
      <c r="P329" s="36"/>
      <c r="Q329" s="36"/>
      <c r="R329" s="36"/>
      <c r="S329" s="36"/>
    </row>
    <row r="330">
      <c r="O330" s="36"/>
      <c r="P330" s="36"/>
      <c r="Q330" s="36"/>
      <c r="R330" s="36"/>
      <c r="S330" s="36"/>
    </row>
    <row r="331">
      <c r="O331" s="36"/>
      <c r="P331" s="36"/>
      <c r="Q331" s="36"/>
      <c r="R331" s="36"/>
      <c r="S331" s="36"/>
    </row>
    <row r="332">
      <c r="O332" s="36"/>
      <c r="P332" s="36"/>
      <c r="Q332" s="36"/>
      <c r="R332" s="36"/>
      <c r="S332" s="36"/>
    </row>
    <row r="333">
      <c r="O333" s="36"/>
      <c r="P333" s="36"/>
      <c r="Q333" s="36"/>
      <c r="R333" s="36"/>
      <c r="S333" s="36"/>
    </row>
    <row r="334">
      <c r="O334" s="36"/>
      <c r="P334" s="36"/>
      <c r="Q334" s="36"/>
      <c r="R334" s="36"/>
      <c r="S334" s="36"/>
    </row>
    <row r="335">
      <c r="O335" s="36"/>
      <c r="P335" s="36"/>
      <c r="Q335" s="36"/>
      <c r="R335" s="36"/>
      <c r="S335" s="36"/>
    </row>
    <row r="336">
      <c r="O336" s="36"/>
      <c r="P336" s="36"/>
      <c r="Q336" s="36"/>
      <c r="R336" s="36"/>
      <c r="S336" s="36"/>
    </row>
    <row r="337">
      <c r="O337" s="36"/>
      <c r="P337" s="36"/>
      <c r="Q337" s="36"/>
      <c r="R337" s="36"/>
      <c r="S337" s="36"/>
    </row>
    <row r="338">
      <c r="O338" s="36"/>
      <c r="P338" s="36"/>
      <c r="Q338" s="36"/>
      <c r="R338" s="36"/>
      <c r="S338" s="36"/>
    </row>
    <row r="339">
      <c r="O339" s="36"/>
      <c r="P339" s="36"/>
      <c r="Q339" s="36"/>
      <c r="R339" s="36"/>
      <c r="S339" s="36"/>
    </row>
    <row r="340">
      <c r="O340" s="36"/>
      <c r="P340" s="36"/>
      <c r="Q340" s="36"/>
      <c r="R340" s="36"/>
      <c r="S340" s="36"/>
    </row>
    <row r="341">
      <c r="O341" s="36"/>
      <c r="P341" s="36"/>
      <c r="Q341" s="36"/>
      <c r="R341" s="36"/>
      <c r="S341" s="36"/>
    </row>
    <row r="342">
      <c r="O342" s="36"/>
      <c r="P342" s="36"/>
      <c r="Q342" s="36"/>
      <c r="R342" s="36"/>
      <c r="S342" s="36"/>
    </row>
    <row r="343">
      <c r="O343" s="36"/>
      <c r="P343" s="36"/>
      <c r="Q343" s="36"/>
      <c r="R343" s="36"/>
      <c r="S343" s="36"/>
    </row>
    <row r="344">
      <c r="O344" s="36"/>
      <c r="P344" s="36"/>
      <c r="Q344" s="36"/>
      <c r="R344" s="36"/>
      <c r="S344" s="36"/>
    </row>
    <row r="345">
      <c r="O345" s="36"/>
      <c r="P345" s="36"/>
      <c r="Q345" s="36"/>
      <c r="R345" s="36"/>
      <c r="S345" s="36"/>
    </row>
    <row r="346">
      <c r="O346" s="36"/>
      <c r="P346" s="36"/>
      <c r="Q346" s="36"/>
      <c r="R346" s="36"/>
      <c r="S346" s="36"/>
    </row>
    <row r="347">
      <c r="O347" s="36"/>
      <c r="P347" s="36"/>
      <c r="Q347" s="36"/>
      <c r="R347" s="36"/>
      <c r="S347" s="36"/>
    </row>
    <row r="348">
      <c r="O348" s="36"/>
      <c r="P348" s="36"/>
      <c r="Q348" s="36"/>
      <c r="R348" s="36"/>
      <c r="S348" s="36"/>
    </row>
    <row r="349">
      <c r="O349" s="36"/>
      <c r="P349" s="36"/>
      <c r="Q349" s="36"/>
      <c r="R349" s="36"/>
      <c r="S349" s="36"/>
    </row>
    <row r="350">
      <c r="O350" s="36"/>
      <c r="P350" s="36"/>
      <c r="Q350" s="36"/>
      <c r="R350" s="36"/>
      <c r="S350" s="36"/>
    </row>
    <row r="351">
      <c r="O351" s="36"/>
      <c r="P351" s="36"/>
      <c r="Q351" s="36"/>
      <c r="R351" s="36"/>
      <c r="S351" s="36"/>
    </row>
    <row r="352">
      <c r="O352" s="36"/>
      <c r="P352" s="36"/>
      <c r="Q352" s="36"/>
      <c r="R352" s="36"/>
      <c r="S352" s="36"/>
    </row>
    <row r="353">
      <c r="O353" s="36"/>
      <c r="P353" s="36"/>
      <c r="Q353" s="36"/>
      <c r="R353" s="36"/>
      <c r="S353" s="36"/>
    </row>
    <row r="354">
      <c r="O354" s="36"/>
      <c r="P354" s="36"/>
      <c r="Q354" s="36"/>
      <c r="R354" s="36"/>
      <c r="S354" s="36"/>
    </row>
    <row r="355">
      <c r="O355" s="36"/>
      <c r="P355" s="36"/>
      <c r="Q355" s="36"/>
      <c r="R355" s="36"/>
      <c r="S355" s="36"/>
    </row>
    <row r="356">
      <c r="O356" s="36"/>
      <c r="P356" s="36"/>
      <c r="Q356" s="36"/>
      <c r="R356" s="36"/>
      <c r="S356" s="36"/>
    </row>
    <row r="357">
      <c r="O357" s="36"/>
      <c r="P357" s="36"/>
      <c r="Q357" s="36"/>
      <c r="R357" s="36"/>
      <c r="S357" s="36"/>
    </row>
    <row r="358">
      <c r="O358" s="36"/>
      <c r="P358" s="36"/>
      <c r="Q358" s="36"/>
      <c r="R358" s="36"/>
      <c r="S358" s="36"/>
    </row>
    <row r="359">
      <c r="O359" s="36"/>
      <c r="P359" s="36"/>
      <c r="Q359" s="36"/>
      <c r="R359" s="36"/>
      <c r="S359" s="36"/>
    </row>
    <row r="360">
      <c r="O360" s="36"/>
      <c r="P360" s="36"/>
      <c r="Q360" s="36"/>
      <c r="R360" s="36"/>
      <c r="S360" s="36"/>
    </row>
    <row r="361">
      <c r="O361" s="36"/>
      <c r="P361" s="36"/>
      <c r="Q361" s="36"/>
      <c r="R361" s="36"/>
      <c r="S361" s="36"/>
    </row>
    <row r="362">
      <c r="O362" s="36"/>
      <c r="P362" s="36"/>
      <c r="Q362" s="36"/>
      <c r="R362" s="36"/>
      <c r="S362" s="36"/>
    </row>
    <row r="363">
      <c r="O363" s="36"/>
      <c r="P363" s="36"/>
      <c r="Q363" s="36"/>
      <c r="R363" s="36"/>
      <c r="S363" s="36"/>
    </row>
    <row r="364">
      <c r="O364" s="36"/>
      <c r="P364" s="36"/>
      <c r="Q364" s="36"/>
      <c r="R364" s="36"/>
      <c r="S364" s="36"/>
    </row>
    <row r="365">
      <c r="O365" s="36"/>
      <c r="P365" s="36"/>
      <c r="Q365" s="36"/>
      <c r="R365" s="36"/>
      <c r="S365" s="36"/>
    </row>
    <row r="366">
      <c r="O366" s="36"/>
      <c r="P366" s="36"/>
      <c r="Q366" s="36"/>
      <c r="R366" s="36"/>
      <c r="S366" s="36"/>
    </row>
    <row r="367">
      <c r="O367" s="36"/>
      <c r="P367" s="36"/>
      <c r="Q367" s="36"/>
      <c r="R367" s="36"/>
      <c r="S367" s="36"/>
    </row>
    <row r="368">
      <c r="O368" s="36"/>
      <c r="P368" s="36"/>
      <c r="Q368" s="36"/>
      <c r="R368" s="36"/>
      <c r="S368" s="36"/>
    </row>
    <row r="369">
      <c r="O369" s="36"/>
      <c r="P369" s="36"/>
      <c r="Q369" s="36"/>
      <c r="R369" s="36"/>
      <c r="S369" s="36"/>
    </row>
    <row r="370">
      <c r="O370" s="36"/>
      <c r="P370" s="36"/>
      <c r="Q370" s="36"/>
      <c r="R370" s="36"/>
      <c r="S370" s="36"/>
    </row>
    <row r="371">
      <c r="O371" s="36"/>
      <c r="P371" s="36"/>
      <c r="Q371" s="36"/>
      <c r="R371" s="36"/>
      <c r="S371" s="36"/>
    </row>
    <row r="372">
      <c r="O372" s="36"/>
      <c r="P372" s="36"/>
      <c r="Q372" s="36"/>
      <c r="R372" s="36"/>
      <c r="S372" s="36"/>
    </row>
    <row r="373">
      <c r="O373" s="36"/>
      <c r="P373" s="36"/>
      <c r="Q373" s="36"/>
      <c r="R373" s="36"/>
      <c r="S373" s="36"/>
    </row>
    <row r="374">
      <c r="O374" s="36"/>
      <c r="P374" s="36"/>
      <c r="Q374" s="36"/>
      <c r="R374" s="36"/>
      <c r="S374" s="36"/>
    </row>
    <row r="375">
      <c r="O375" s="36"/>
      <c r="P375" s="36"/>
      <c r="Q375" s="36"/>
      <c r="R375" s="36"/>
      <c r="S375" s="36"/>
    </row>
    <row r="376">
      <c r="O376" s="36"/>
      <c r="P376" s="36"/>
      <c r="Q376" s="36"/>
      <c r="R376" s="36"/>
      <c r="S376" s="36"/>
    </row>
    <row r="377">
      <c r="O377" s="36"/>
      <c r="P377" s="36"/>
      <c r="Q377" s="36"/>
      <c r="R377" s="36"/>
      <c r="S377" s="36"/>
    </row>
    <row r="378">
      <c r="O378" s="36"/>
      <c r="P378" s="36"/>
      <c r="Q378" s="36"/>
      <c r="R378" s="36"/>
      <c r="S378" s="36"/>
    </row>
    <row r="379">
      <c r="O379" s="36"/>
      <c r="P379" s="36"/>
      <c r="Q379" s="36"/>
      <c r="R379" s="36"/>
      <c r="S379" s="36"/>
    </row>
    <row r="380">
      <c r="O380" s="36"/>
      <c r="P380" s="36"/>
      <c r="Q380" s="36"/>
      <c r="R380" s="36"/>
      <c r="S380" s="36"/>
    </row>
    <row r="381">
      <c r="O381" s="36"/>
      <c r="P381" s="36"/>
      <c r="Q381" s="36"/>
      <c r="R381" s="36"/>
      <c r="S381" s="36"/>
    </row>
    <row r="382">
      <c r="O382" s="36"/>
      <c r="P382" s="36"/>
      <c r="Q382" s="36"/>
      <c r="R382" s="36"/>
      <c r="S382" s="36"/>
    </row>
    <row r="383">
      <c r="O383" s="36"/>
      <c r="P383" s="36"/>
      <c r="Q383" s="36"/>
      <c r="R383" s="36"/>
      <c r="S383" s="36"/>
    </row>
    <row r="384">
      <c r="O384" s="36"/>
      <c r="P384" s="36"/>
      <c r="Q384" s="36"/>
      <c r="R384" s="36"/>
      <c r="S384" s="36"/>
    </row>
    <row r="385">
      <c r="O385" s="36"/>
      <c r="P385" s="36"/>
      <c r="Q385" s="36"/>
      <c r="R385" s="36"/>
      <c r="S385" s="36"/>
    </row>
    <row r="386">
      <c r="O386" s="36"/>
      <c r="P386" s="36"/>
      <c r="Q386" s="36"/>
      <c r="R386" s="36"/>
      <c r="S386" s="36"/>
    </row>
    <row r="387">
      <c r="O387" s="36"/>
      <c r="P387" s="36"/>
      <c r="Q387" s="36"/>
      <c r="R387" s="36"/>
      <c r="S387" s="36"/>
    </row>
    <row r="388">
      <c r="O388" s="36"/>
      <c r="P388" s="36"/>
      <c r="Q388" s="36"/>
      <c r="R388" s="36"/>
      <c r="S388" s="36"/>
    </row>
    <row r="389">
      <c r="O389" s="36"/>
      <c r="P389" s="36"/>
      <c r="Q389" s="36"/>
      <c r="R389" s="36"/>
      <c r="S389" s="36"/>
    </row>
    <row r="390">
      <c r="O390" s="36"/>
      <c r="P390" s="36"/>
      <c r="Q390" s="36"/>
      <c r="R390" s="36"/>
      <c r="S390" s="36"/>
    </row>
    <row r="391">
      <c r="O391" s="36"/>
      <c r="P391" s="36"/>
      <c r="Q391" s="36"/>
      <c r="R391" s="36"/>
      <c r="S391" s="36"/>
    </row>
    <row r="392">
      <c r="O392" s="36"/>
      <c r="P392" s="36"/>
      <c r="Q392" s="36"/>
      <c r="R392" s="36"/>
      <c r="S392" s="36"/>
    </row>
    <row r="393">
      <c r="O393" s="36"/>
      <c r="P393" s="36"/>
      <c r="Q393" s="36"/>
      <c r="R393" s="36"/>
      <c r="S393" s="36"/>
    </row>
    <row r="394">
      <c r="O394" s="36"/>
      <c r="P394" s="36"/>
      <c r="Q394" s="36"/>
      <c r="R394" s="36"/>
      <c r="S394" s="36"/>
    </row>
    <row r="395">
      <c r="O395" s="36"/>
      <c r="P395" s="36"/>
      <c r="Q395" s="36"/>
      <c r="R395" s="36"/>
      <c r="S395" s="36"/>
    </row>
    <row r="396">
      <c r="O396" s="36"/>
      <c r="P396" s="36"/>
      <c r="Q396" s="36"/>
      <c r="R396" s="36"/>
      <c r="S396" s="36"/>
    </row>
    <row r="397">
      <c r="O397" s="36"/>
      <c r="P397" s="36"/>
      <c r="Q397" s="36"/>
      <c r="R397" s="36"/>
      <c r="S397" s="36"/>
    </row>
    <row r="398">
      <c r="O398" s="36"/>
      <c r="P398" s="36"/>
      <c r="Q398" s="36"/>
      <c r="R398" s="36"/>
      <c r="S398" s="36"/>
    </row>
    <row r="399">
      <c r="O399" s="36"/>
      <c r="P399" s="36"/>
      <c r="Q399" s="36"/>
      <c r="R399" s="36"/>
      <c r="S399" s="36"/>
    </row>
    <row r="400">
      <c r="O400" s="36"/>
      <c r="P400" s="36"/>
      <c r="Q400" s="36"/>
      <c r="R400" s="36"/>
      <c r="S400" s="36"/>
    </row>
    <row r="401">
      <c r="O401" s="36"/>
      <c r="P401" s="36"/>
      <c r="Q401" s="36"/>
      <c r="R401" s="36"/>
      <c r="S401" s="36"/>
    </row>
    <row r="402">
      <c r="O402" s="36"/>
      <c r="P402" s="36"/>
      <c r="Q402" s="36"/>
      <c r="R402" s="36"/>
      <c r="S402" s="36"/>
    </row>
    <row r="403">
      <c r="O403" s="36"/>
      <c r="P403" s="36"/>
      <c r="Q403" s="36"/>
      <c r="R403" s="36"/>
      <c r="S403" s="36"/>
    </row>
    <row r="404">
      <c r="O404" s="36"/>
      <c r="P404" s="36"/>
      <c r="Q404" s="36"/>
      <c r="R404" s="36"/>
      <c r="S404" s="36"/>
    </row>
    <row r="405">
      <c r="O405" s="36"/>
      <c r="P405" s="36"/>
      <c r="Q405" s="36"/>
      <c r="R405" s="36"/>
      <c r="S405" s="36"/>
    </row>
    <row r="406">
      <c r="O406" s="36"/>
      <c r="P406" s="36"/>
      <c r="Q406" s="36"/>
      <c r="R406" s="36"/>
      <c r="S406" s="36"/>
    </row>
    <row r="407">
      <c r="O407" s="36"/>
      <c r="P407" s="36"/>
      <c r="Q407" s="36"/>
      <c r="R407" s="36"/>
      <c r="S407" s="36"/>
    </row>
    <row r="408">
      <c r="O408" s="36"/>
      <c r="P408" s="36"/>
      <c r="Q408" s="36"/>
      <c r="R408" s="36"/>
      <c r="S408" s="36"/>
    </row>
    <row r="409">
      <c r="O409" s="36"/>
      <c r="P409" s="36"/>
      <c r="Q409" s="36"/>
      <c r="R409" s="36"/>
      <c r="S409" s="36"/>
    </row>
    <row r="410">
      <c r="O410" s="36"/>
      <c r="P410" s="36"/>
      <c r="Q410" s="36"/>
      <c r="R410" s="36"/>
      <c r="S410" s="36"/>
    </row>
    <row r="411">
      <c r="O411" s="36"/>
      <c r="P411" s="36"/>
      <c r="Q411" s="36"/>
      <c r="R411" s="36"/>
      <c r="S411" s="36"/>
    </row>
    <row r="412">
      <c r="O412" s="36"/>
      <c r="P412" s="36"/>
      <c r="Q412" s="36"/>
      <c r="R412" s="36"/>
      <c r="S412" s="36"/>
    </row>
    <row r="413">
      <c r="O413" s="36"/>
      <c r="P413" s="36"/>
      <c r="Q413" s="36"/>
      <c r="R413" s="36"/>
      <c r="S413" s="36"/>
    </row>
    <row r="414">
      <c r="O414" s="36"/>
      <c r="P414" s="36"/>
      <c r="Q414" s="36"/>
      <c r="R414" s="36"/>
      <c r="S414" s="36"/>
    </row>
    <row r="415">
      <c r="O415" s="36"/>
      <c r="P415" s="36"/>
      <c r="Q415" s="36"/>
      <c r="R415" s="36"/>
      <c r="S415" s="36"/>
    </row>
    <row r="416">
      <c r="O416" s="36"/>
      <c r="P416" s="36"/>
      <c r="Q416" s="36"/>
      <c r="R416" s="36"/>
      <c r="S416" s="36"/>
    </row>
    <row r="417">
      <c r="O417" s="36"/>
      <c r="P417" s="36"/>
      <c r="Q417" s="36"/>
      <c r="R417" s="36"/>
      <c r="S417" s="36"/>
    </row>
    <row r="418">
      <c r="O418" s="36"/>
      <c r="P418" s="36"/>
      <c r="Q418" s="36"/>
      <c r="R418" s="36"/>
      <c r="S418" s="36"/>
    </row>
    <row r="419">
      <c r="O419" s="36"/>
      <c r="P419" s="36"/>
      <c r="Q419" s="36"/>
      <c r="R419" s="36"/>
      <c r="S419" s="36"/>
    </row>
    <row r="420">
      <c r="O420" s="36"/>
      <c r="P420" s="36"/>
      <c r="Q420" s="36"/>
      <c r="R420" s="36"/>
      <c r="S420" s="36"/>
    </row>
    <row r="421">
      <c r="O421" s="36"/>
      <c r="P421" s="36"/>
      <c r="Q421" s="36"/>
      <c r="R421" s="36"/>
      <c r="S421" s="36"/>
    </row>
    <row r="422">
      <c r="O422" s="36"/>
      <c r="P422" s="36"/>
      <c r="Q422" s="36"/>
      <c r="R422" s="36"/>
      <c r="S422" s="36"/>
    </row>
    <row r="423">
      <c r="O423" s="36"/>
      <c r="P423" s="36"/>
      <c r="Q423" s="36"/>
      <c r="R423" s="36"/>
      <c r="S423" s="36"/>
    </row>
    <row r="424">
      <c r="O424" s="36"/>
      <c r="P424" s="36"/>
      <c r="Q424" s="36"/>
      <c r="R424" s="36"/>
      <c r="S424" s="36"/>
    </row>
    <row r="425">
      <c r="O425" s="36"/>
      <c r="P425" s="36"/>
      <c r="Q425" s="36"/>
      <c r="R425" s="36"/>
      <c r="S425" s="36"/>
    </row>
    <row r="426">
      <c r="O426" s="36"/>
      <c r="P426" s="36"/>
      <c r="Q426" s="36"/>
      <c r="R426" s="36"/>
      <c r="S426" s="36"/>
    </row>
    <row r="427">
      <c r="O427" s="36"/>
      <c r="P427" s="36"/>
      <c r="Q427" s="36"/>
      <c r="R427" s="36"/>
      <c r="S427" s="36"/>
    </row>
    <row r="428">
      <c r="O428" s="36"/>
      <c r="P428" s="36"/>
      <c r="Q428" s="36"/>
      <c r="R428" s="36"/>
      <c r="S428" s="36"/>
    </row>
    <row r="429">
      <c r="O429" s="36"/>
      <c r="P429" s="36"/>
      <c r="Q429" s="36"/>
      <c r="R429" s="36"/>
      <c r="S429" s="36"/>
    </row>
    <row r="430">
      <c r="O430" s="36"/>
      <c r="P430" s="36"/>
      <c r="Q430" s="36"/>
      <c r="R430" s="36"/>
      <c r="S430" s="36"/>
    </row>
    <row r="431">
      <c r="O431" s="36"/>
      <c r="P431" s="36"/>
      <c r="Q431" s="36"/>
      <c r="R431" s="36"/>
      <c r="S431" s="36"/>
    </row>
    <row r="432">
      <c r="O432" s="36"/>
      <c r="P432" s="36"/>
      <c r="Q432" s="36"/>
      <c r="R432" s="36"/>
      <c r="S432" s="36"/>
    </row>
    <row r="433">
      <c r="O433" s="36"/>
      <c r="P433" s="36"/>
      <c r="Q433" s="36"/>
      <c r="R433" s="36"/>
      <c r="S433" s="36"/>
    </row>
    <row r="434">
      <c r="O434" s="36"/>
      <c r="P434" s="36"/>
      <c r="Q434" s="36"/>
      <c r="R434" s="36"/>
      <c r="S434" s="36"/>
    </row>
    <row r="435">
      <c r="O435" s="36"/>
      <c r="P435" s="36"/>
      <c r="Q435" s="36"/>
      <c r="R435" s="36"/>
      <c r="S435" s="36"/>
    </row>
    <row r="436">
      <c r="O436" s="36"/>
      <c r="P436" s="36"/>
      <c r="Q436" s="36"/>
      <c r="R436" s="36"/>
      <c r="S436" s="36"/>
    </row>
    <row r="437">
      <c r="O437" s="36"/>
      <c r="P437" s="36"/>
      <c r="Q437" s="36"/>
      <c r="R437" s="36"/>
      <c r="S437" s="36"/>
    </row>
    <row r="438">
      <c r="O438" s="36"/>
      <c r="P438" s="36"/>
      <c r="Q438" s="36"/>
      <c r="R438" s="36"/>
      <c r="S438" s="36"/>
    </row>
    <row r="439">
      <c r="O439" s="36"/>
      <c r="P439" s="36"/>
      <c r="Q439" s="36"/>
      <c r="R439" s="36"/>
      <c r="S439" s="36"/>
    </row>
    <row r="440">
      <c r="O440" s="36"/>
      <c r="P440" s="36"/>
      <c r="Q440" s="36"/>
      <c r="R440" s="36"/>
      <c r="S440" s="36"/>
    </row>
    <row r="441">
      <c r="O441" s="36"/>
      <c r="P441" s="36"/>
      <c r="Q441" s="36"/>
      <c r="R441" s="36"/>
      <c r="S441" s="36"/>
    </row>
    <row r="442">
      <c r="O442" s="36"/>
      <c r="P442" s="36"/>
      <c r="Q442" s="36"/>
      <c r="R442" s="36"/>
      <c r="S442" s="36"/>
    </row>
    <row r="443">
      <c r="O443" s="36"/>
      <c r="P443" s="36"/>
      <c r="Q443" s="36"/>
      <c r="R443" s="36"/>
      <c r="S443" s="36"/>
    </row>
    <row r="444">
      <c r="O444" s="36"/>
      <c r="P444" s="36"/>
      <c r="Q444" s="36"/>
      <c r="R444" s="36"/>
      <c r="S444" s="36"/>
    </row>
    <row r="445">
      <c r="O445" s="36"/>
      <c r="P445" s="36"/>
      <c r="Q445" s="36"/>
      <c r="R445" s="36"/>
      <c r="S445" s="36"/>
    </row>
    <row r="446">
      <c r="O446" s="36"/>
      <c r="P446" s="36"/>
      <c r="Q446" s="36"/>
      <c r="R446" s="36"/>
      <c r="S446" s="36"/>
    </row>
    <row r="447">
      <c r="O447" s="36"/>
      <c r="P447" s="36"/>
      <c r="Q447" s="36"/>
      <c r="R447" s="36"/>
      <c r="S447" s="36"/>
    </row>
    <row r="448">
      <c r="O448" s="36"/>
      <c r="P448" s="36"/>
      <c r="Q448" s="36"/>
      <c r="R448" s="36"/>
      <c r="S448" s="36"/>
    </row>
    <row r="449">
      <c r="O449" s="36"/>
      <c r="P449" s="36"/>
      <c r="Q449" s="36"/>
      <c r="R449" s="36"/>
      <c r="S449" s="36"/>
    </row>
    <row r="450">
      <c r="O450" s="36"/>
      <c r="P450" s="36"/>
      <c r="Q450" s="36"/>
      <c r="R450" s="36"/>
      <c r="S450" s="36"/>
    </row>
    <row r="451">
      <c r="O451" s="36"/>
      <c r="P451" s="36"/>
      <c r="Q451" s="36"/>
      <c r="R451" s="36"/>
      <c r="S451" s="36"/>
    </row>
    <row r="452">
      <c r="O452" s="36"/>
      <c r="P452" s="36"/>
      <c r="Q452" s="36"/>
      <c r="R452" s="36"/>
      <c r="S452" s="36"/>
    </row>
    <row r="453">
      <c r="O453" s="36"/>
      <c r="P453" s="36"/>
      <c r="Q453" s="36"/>
      <c r="R453" s="36"/>
      <c r="S453" s="36"/>
    </row>
    <row r="454">
      <c r="O454" s="36"/>
      <c r="P454" s="36"/>
      <c r="Q454" s="36"/>
      <c r="R454" s="36"/>
      <c r="S454" s="36"/>
    </row>
    <row r="455">
      <c r="O455" s="36"/>
      <c r="P455" s="36"/>
      <c r="Q455" s="36"/>
      <c r="R455" s="36"/>
      <c r="S455" s="36"/>
    </row>
    <row r="456">
      <c r="O456" s="36"/>
      <c r="P456" s="36"/>
      <c r="Q456" s="36"/>
      <c r="R456" s="36"/>
      <c r="S456" s="36"/>
    </row>
    <row r="457">
      <c r="O457" s="36"/>
      <c r="P457" s="36"/>
      <c r="Q457" s="36"/>
      <c r="R457" s="36"/>
      <c r="S457" s="36"/>
    </row>
    <row r="458">
      <c r="O458" s="36"/>
      <c r="P458" s="36"/>
      <c r="Q458" s="36"/>
      <c r="R458" s="36"/>
      <c r="S458" s="36"/>
    </row>
    <row r="459">
      <c r="O459" s="36"/>
      <c r="P459" s="36"/>
      <c r="Q459" s="36"/>
      <c r="R459" s="36"/>
      <c r="S459" s="36"/>
    </row>
    <row r="460">
      <c r="O460" s="36"/>
      <c r="P460" s="36"/>
      <c r="Q460" s="36"/>
      <c r="R460" s="36"/>
      <c r="S460" s="36"/>
    </row>
    <row r="461">
      <c r="O461" s="36"/>
      <c r="P461" s="36"/>
      <c r="Q461" s="36"/>
      <c r="R461" s="36"/>
      <c r="S461" s="36"/>
    </row>
    <row r="462">
      <c r="O462" s="36"/>
      <c r="P462" s="36"/>
      <c r="Q462" s="36"/>
      <c r="R462" s="36"/>
      <c r="S462" s="36"/>
    </row>
    <row r="463">
      <c r="O463" s="36"/>
      <c r="P463" s="36"/>
      <c r="Q463" s="36"/>
      <c r="R463" s="36"/>
      <c r="S463" s="36"/>
    </row>
    <row r="464">
      <c r="O464" s="36"/>
      <c r="P464" s="36"/>
      <c r="Q464" s="36"/>
      <c r="R464" s="36"/>
      <c r="S464" s="36"/>
    </row>
    <row r="465">
      <c r="O465" s="36"/>
      <c r="P465" s="36"/>
      <c r="Q465" s="36"/>
      <c r="R465" s="36"/>
      <c r="S465" s="36"/>
    </row>
    <row r="466">
      <c r="O466" s="36"/>
      <c r="P466" s="36"/>
      <c r="Q466" s="36"/>
      <c r="R466" s="36"/>
      <c r="S466" s="36"/>
    </row>
    <row r="467">
      <c r="O467" s="36"/>
      <c r="P467" s="36"/>
      <c r="Q467" s="36"/>
      <c r="R467" s="36"/>
      <c r="S467" s="36"/>
    </row>
    <row r="468">
      <c r="O468" s="36"/>
      <c r="P468" s="36"/>
      <c r="Q468" s="36"/>
      <c r="R468" s="36"/>
      <c r="S468" s="36"/>
    </row>
    <row r="469">
      <c r="O469" s="36"/>
      <c r="P469" s="36"/>
      <c r="Q469" s="36"/>
      <c r="R469" s="36"/>
      <c r="S469" s="36"/>
    </row>
    <row r="470">
      <c r="O470" s="36"/>
      <c r="P470" s="36"/>
      <c r="Q470" s="36"/>
      <c r="R470" s="36"/>
      <c r="S470" s="36"/>
    </row>
    <row r="471">
      <c r="O471" s="36"/>
      <c r="P471" s="36"/>
      <c r="Q471" s="36"/>
      <c r="R471" s="36"/>
      <c r="S471" s="36"/>
    </row>
    <row r="472">
      <c r="O472" s="36"/>
      <c r="P472" s="36"/>
      <c r="Q472" s="36"/>
      <c r="R472" s="36"/>
      <c r="S472" s="36"/>
    </row>
    <row r="473">
      <c r="O473" s="36"/>
      <c r="P473" s="36"/>
      <c r="Q473" s="36"/>
      <c r="R473" s="36"/>
      <c r="S473" s="36"/>
    </row>
    <row r="474">
      <c r="O474" s="36"/>
      <c r="P474" s="36"/>
      <c r="Q474" s="36"/>
      <c r="R474" s="36"/>
      <c r="S474" s="36"/>
    </row>
    <row r="475">
      <c r="O475" s="36"/>
      <c r="P475" s="36"/>
      <c r="Q475" s="36"/>
      <c r="R475" s="36"/>
      <c r="S475" s="36"/>
    </row>
    <row r="476">
      <c r="O476" s="36"/>
      <c r="P476" s="36"/>
      <c r="Q476" s="36"/>
      <c r="R476" s="36"/>
      <c r="S476" s="36"/>
    </row>
    <row r="477">
      <c r="O477" s="36"/>
      <c r="P477" s="36"/>
      <c r="Q477" s="36"/>
      <c r="R477" s="36"/>
      <c r="S477" s="36"/>
    </row>
    <row r="478">
      <c r="O478" s="36"/>
      <c r="P478" s="36"/>
      <c r="Q478" s="36"/>
      <c r="R478" s="36"/>
      <c r="S478" s="36"/>
    </row>
    <row r="479">
      <c r="O479" s="36"/>
      <c r="P479" s="36"/>
      <c r="Q479" s="36"/>
      <c r="R479" s="36"/>
      <c r="S479" s="36"/>
    </row>
    <row r="480">
      <c r="O480" s="36"/>
      <c r="P480" s="36"/>
      <c r="Q480" s="36"/>
      <c r="R480" s="36"/>
      <c r="S480" s="36"/>
    </row>
    <row r="481">
      <c r="O481" s="36"/>
      <c r="P481" s="36"/>
      <c r="Q481" s="36"/>
      <c r="R481" s="36"/>
      <c r="S481" s="36"/>
    </row>
    <row r="482">
      <c r="O482" s="36"/>
      <c r="P482" s="36"/>
      <c r="Q482" s="36"/>
      <c r="R482" s="36"/>
      <c r="S482" s="36"/>
    </row>
    <row r="483">
      <c r="O483" s="36"/>
      <c r="P483" s="36"/>
      <c r="Q483" s="36"/>
      <c r="R483" s="36"/>
      <c r="S483" s="36"/>
    </row>
    <row r="484">
      <c r="O484" s="36"/>
      <c r="P484" s="36"/>
      <c r="Q484" s="36"/>
      <c r="R484" s="36"/>
      <c r="S484" s="36"/>
    </row>
    <row r="485">
      <c r="O485" s="36"/>
      <c r="P485" s="36"/>
      <c r="Q485" s="36"/>
      <c r="R485" s="36"/>
      <c r="S485" s="36"/>
    </row>
    <row r="486">
      <c r="O486" s="36"/>
      <c r="P486" s="36"/>
      <c r="Q486" s="36"/>
      <c r="R486" s="36"/>
      <c r="S486" s="36"/>
    </row>
    <row r="487">
      <c r="O487" s="36"/>
      <c r="P487" s="36"/>
      <c r="Q487" s="36"/>
      <c r="R487" s="36"/>
      <c r="S487" s="36"/>
    </row>
    <row r="488">
      <c r="O488" s="36"/>
      <c r="P488" s="36"/>
      <c r="Q488" s="36"/>
      <c r="R488" s="36"/>
      <c r="S488" s="36"/>
    </row>
    <row r="489">
      <c r="O489" s="36"/>
      <c r="P489" s="36"/>
      <c r="Q489" s="36"/>
      <c r="R489" s="36"/>
      <c r="S489" s="36"/>
    </row>
    <row r="490">
      <c r="O490" s="36"/>
      <c r="P490" s="36"/>
      <c r="Q490" s="36"/>
      <c r="R490" s="36"/>
      <c r="S490" s="36"/>
    </row>
    <row r="491">
      <c r="O491" s="36"/>
      <c r="P491" s="36"/>
      <c r="Q491" s="36"/>
      <c r="R491" s="36"/>
      <c r="S491" s="36"/>
    </row>
    <row r="492">
      <c r="O492" s="36"/>
      <c r="P492" s="36"/>
      <c r="Q492" s="36"/>
      <c r="R492" s="36"/>
      <c r="S492" s="36"/>
    </row>
    <row r="493">
      <c r="O493" s="36"/>
      <c r="P493" s="36"/>
      <c r="Q493" s="36"/>
      <c r="R493" s="36"/>
      <c r="S493" s="36"/>
    </row>
    <row r="494">
      <c r="O494" s="36"/>
      <c r="P494" s="36"/>
      <c r="Q494" s="36"/>
      <c r="R494" s="36"/>
      <c r="S494" s="36"/>
    </row>
    <row r="495">
      <c r="O495" s="36"/>
      <c r="P495" s="36"/>
      <c r="Q495" s="36"/>
      <c r="R495" s="36"/>
      <c r="S495" s="36"/>
    </row>
    <row r="496">
      <c r="O496" s="36"/>
      <c r="P496" s="36"/>
      <c r="Q496" s="36"/>
      <c r="R496" s="36"/>
      <c r="S496" s="36"/>
    </row>
    <row r="497">
      <c r="O497" s="36"/>
      <c r="P497" s="36"/>
      <c r="Q497" s="36"/>
      <c r="R497" s="36"/>
      <c r="S497" s="36"/>
    </row>
    <row r="498">
      <c r="O498" s="36"/>
      <c r="P498" s="36"/>
      <c r="Q498" s="36"/>
      <c r="R498" s="36"/>
      <c r="S498" s="36"/>
    </row>
    <row r="499">
      <c r="O499" s="36"/>
      <c r="P499" s="36"/>
      <c r="Q499" s="36"/>
      <c r="R499" s="36"/>
      <c r="S499" s="36"/>
    </row>
    <row r="500">
      <c r="O500" s="36"/>
      <c r="P500" s="36"/>
      <c r="Q500" s="36"/>
      <c r="R500" s="36"/>
      <c r="S500" s="36"/>
    </row>
    <row r="501">
      <c r="O501" s="36"/>
      <c r="P501" s="36"/>
      <c r="Q501" s="36"/>
      <c r="R501" s="36"/>
      <c r="S501" s="36"/>
    </row>
    <row r="502">
      <c r="O502" s="36"/>
      <c r="P502" s="36"/>
      <c r="Q502" s="36"/>
      <c r="R502" s="36"/>
      <c r="S502" s="36"/>
    </row>
    <row r="503">
      <c r="O503" s="36"/>
      <c r="P503" s="36"/>
      <c r="Q503" s="36"/>
      <c r="R503" s="36"/>
      <c r="S503" s="36"/>
    </row>
    <row r="504">
      <c r="O504" s="36"/>
      <c r="P504" s="36"/>
      <c r="Q504" s="36"/>
      <c r="R504" s="36"/>
      <c r="S504" s="36"/>
    </row>
    <row r="505">
      <c r="O505" s="36"/>
      <c r="P505" s="36"/>
      <c r="Q505" s="36"/>
      <c r="R505" s="36"/>
      <c r="S505" s="36"/>
    </row>
    <row r="506">
      <c r="O506" s="36"/>
      <c r="P506" s="36"/>
      <c r="Q506" s="36"/>
      <c r="R506" s="36"/>
      <c r="S506" s="36"/>
    </row>
    <row r="507">
      <c r="O507" s="36"/>
      <c r="P507" s="36"/>
      <c r="Q507" s="36"/>
      <c r="R507" s="36"/>
      <c r="S507" s="36"/>
    </row>
    <row r="508">
      <c r="O508" s="36"/>
      <c r="P508" s="36"/>
      <c r="Q508" s="36"/>
      <c r="R508" s="36"/>
      <c r="S508" s="36"/>
    </row>
    <row r="509">
      <c r="O509" s="36"/>
      <c r="P509" s="36"/>
      <c r="Q509" s="36"/>
      <c r="R509" s="36"/>
      <c r="S509" s="36"/>
    </row>
    <row r="510">
      <c r="O510" s="36"/>
      <c r="P510" s="36"/>
      <c r="Q510" s="36"/>
      <c r="R510" s="36"/>
      <c r="S510" s="36"/>
    </row>
    <row r="511">
      <c r="O511" s="36"/>
      <c r="P511" s="36"/>
      <c r="Q511" s="36"/>
      <c r="R511" s="36"/>
      <c r="S511" s="36"/>
    </row>
    <row r="512">
      <c r="O512" s="36"/>
      <c r="P512" s="36"/>
      <c r="Q512" s="36"/>
      <c r="R512" s="36"/>
      <c r="S512" s="36"/>
    </row>
    <row r="513">
      <c r="O513" s="36"/>
      <c r="P513" s="36"/>
      <c r="Q513" s="36"/>
      <c r="R513" s="36"/>
      <c r="S513" s="36"/>
    </row>
    <row r="514">
      <c r="O514" s="36"/>
      <c r="P514" s="36"/>
      <c r="Q514" s="36"/>
      <c r="R514" s="36"/>
      <c r="S514" s="36"/>
    </row>
    <row r="515">
      <c r="O515" s="36"/>
      <c r="P515" s="36"/>
      <c r="Q515" s="36"/>
      <c r="R515" s="36"/>
      <c r="S515" s="36"/>
    </row>
    <row r="516">
      <c r="O516" s="36"/>
      <c r="P516" s="36"/>
      <c r="Q516" s="36"/>
      <c r="R516" s="36"/>
      <c r="S516" s="36"/>
    </row>
    <row r="517">
      <c r="O517" s="36"/>
      <c r="P517" s="36"/>
      <c r="Q517" s="36"/>
      <c r="R517" s="36"/>
      <c r="S517" s="36"/>
    </row>
    <row r="518">
      <c r="O518" s="36"/>
      <c r="P518" s="36"/>
      <c r="Q518" s="36"/>
      <c r="R518" s="36"/>
      <c r="S518" s="36"/>
    </row>
    <row r="519">
      <c r="O519" s="36"/>
      <c r="P519" s="36"/>
      <c r="Q519" s="36"/>
      <c r="R519" s="36"/>
      <c r="S519" s="36"/>
    </row>
    <row r="520">
      <c r="O520" s="36"/>
      <c r="P520" s="36"/>
      <c r="Q520" s="36"/>
      <c r="R520" s="36"/>
      <c r="S520" s="36"/>
    </row>
    <row r="521">
      <c r="O521" s="36"/>
      <c r="P521" s="36"/>
      <c r="Q521" s="36"/>
      <c r="R521" s="36"/>
      <c r="S521" s="36"/>
    </row>
    <row r="522">
      <c r="O522" s="36"/>
      <c r="P522" s="36"/>
      <c r="Q522" s="36"/>
      <c r="R522" s="36"/>
      <c r="S522" s="36"/>
    </row>
    <row r="523">
      <c r="O523" s="36"/>
      <c r="P523" s="36"/>
      <c r="Q523" s="36"/>
      <c r="R523" s="36"/>
      <c r="S523" s="36"/>
    </row>
    <row r="524">
      <c r="O524" s="36"/>
      <c r="P524" s="36"/>
      <c r="Q524" s="36"/>
      <c r="R524" s="36"/>
      <c r="S524" s="36"/>
    </row>
    <row r="525">
      <c r="O525" s="36"/>
      <c r="P525" s="36"/>
      <c r="Q525" s="36"/>
      <c r="R525" s="36"/>
      <c r="S525" s="36"/>
    </row>
    <row r="526">
      <c r="O526" s="36"/>
      <c r="P526" s="36"/>
      <c r="Q526" s="36"/>
      <c r="R526" s="36"/>
      <c r="S526" s="36"/>
    </row>
    <row r="527">
      <c r="O527" s="36"/>
      <c r="P527" s="36"/>
      <c r="Q527" s="36"/>
      <c r="R527" s="36"/>
      <c r="S527" s="36"/>
    </row>
    <row r="528">
      <c r="O528" s="36"/>
      <c r="P528" s="36"/>
      <c r="Q528" s="36"/>
      <c r="R528" s="36"/>
      <c r="S528" s="36"/>
    </row>
    <row r="529">
      <c r="O529" s="36"/>
      <c r="P529" s="36"/>
      <c r="Q529" s="36"/>
      <c r="R529" s="36"/>
      <c r="S529" s="36"/>
    </row>
    <row r="530">
      <c r="O530" s="36"/>
      <c r="P530" s="36"/>
      <c r="Q530" s="36"/>
      <c r="R530" s="36"/>
      <c r="S530" s="36"/>
    </row>
    <row r="531">
      <c r="O531" s="36"/>
      <c r="P531" s="36"/>
      <c r="Q531" s="36"/>
      <c r="R531" s="36"/>
      <c r="S531" s="36"/>
    </row>
    <row r="532">
      <c r="O532" s="36"/>
      <c r="P532" s="36"/>
      <c r="Q532" s="36"/>
      <c r="R532" s="36"/>
      <c r="S532" s="36"/>
    </row>
    <row r="533">
      <c r="O533" s="36"/>
      <c r="P533" s="36"/>
      <c r="Q533" s="36"/>
      <c r="R533" s="36"/>
      <c r="S533" s="36"/>
    </row>
    <row r="534">
      <c r="O534" s="36"/>
      <c r="P534" s="36"/>
      <c r="Q534" s="36"/>
      <c r="R534" s="36"/>
      <c r="S534" s="36"/>
    </row>
    <row r="535">
      <c r="O535" s="36"/>
      <c r="P535" s="36"/>
      <c r="Q535" s="36"/>
      <c r="R535" s="36"/>
      <c r="S535" s="36"/>
    </row>
    <row r="536">
      <c r="O536" s="36"/>
      <c r="P536" s="36"/>
      <c r="Q536" s="36"/>
      <c r="R536" s="36"/>
      <c r="S536" s="36"/>
    </row>
    <row r="537">
      <c r="O537" s="36"/>
      <c r="P537" s="36"/>
      <c r="Q537" s="36"/>
      <c r="R537" s="36"/>
      <c r="S537" s="36"/>
    </row>
    <row r="538">
      <c r="O538" s="36"/>
      <c r="P538" s="36"/>
      <c r="Q538" s="36"/>
      <c r="R538" s="36"/>
      <c r="S538" s="36"/>
    </row>
    <row r="539">
      <c r="O539" s="36"/>
      <c r="P539" s="36"/>
      <c r="Q539" s="36"/>
      <c r="R539" s="36"/>
      <c r="S539" s="36"/>
    </row>
    <row r="540">
      <c r="O540" s="36"/>
      <c r="P540" s="36"/>
      <c r="Q540" s="36"/>
      <c r="R540" s="36"/>
      <c r="S540" s="36"/>
    </row>
    <row r="541">
      <c r="O541" s="36"/>
      <c r="P541" s="36"/>
      <c r="Q541" s="36"/>
      <c r="R541" s="36"/>
      <c r="S541" s="36"/>
    </row>
    <row r="542">
      <c r="O542" s="36"/>
      <c r="P542" s="36"/>
      <c r="Q542" s="36"/>
      <c r="R542" s="36"/>
      <c r="S542" s="36"/>
    </row>
    <row r="543">
      <c r="O543" s="36"/>
      <c r="P543" s="36"/>
      <c r="Q543" s="36"/>
      <c r="R543" s="36"/>
      <c r="S543" s="36"/>
    </row>
    <row r="544">
      <c r="O544" s="36"/>
      <c r="P544" s="36"/>
      <c r="Q544" s="36"/>
      <c r="R544" s="36"/>
      <c r="S544" s="36"/>
    </row>
    <row r="545">
      <c r="O545" s="36"/>
      <c r="P545" s="36"/>
      <c r="Q545" s="36"/>
      <c r="R545" s="36"/>
      <c r="S545" s="36"/>
    </row>
    <row r="546">
      <c r="O546" s="36"/>
      <c r="P546" s="36"/>
      <c r="Q546" s="36"/>
      <c r="R546" s="36"/>
      <c r="S546" s="36"/>
    </row>
    <row r="547">
      <c r="O547" s="36"/>
      <c r="P547" s="36"/>
      <c r="Q547" s="36"/>
      <c r="R547" s="36"/>
      <c r="S547" s="36"/>
    </row>
    <row r="548">
      <c r="O548" s="36"/>
      <c r="P548" s="36"/>
      <c r="Q548" s="36"/>
      <c r="R548" s="36"/>
      <c r="S548" s="36"/>
    </row>
    <row r="549">
      <c r="O549" s="36"/>
      <c r="P549" s="36"/>
      <c r="Q549" s="36"/>
      <c r="R549" s="36"/>
      <c r="S549" s="36"/>
    </row>
    <row r="550">
      <c r="O550" s="36"/>
      <c r="P550" s="36"/>
      <c r="Q550" s="36"/>
      <c r="R550" s="36"/>
      <c r="S550" s="36"/>
    </row>
    <row r="551">
      <c r="O551" s="36"/>
      <c r="P551" s="36"/>
      <c r="Q551" s="36"/>
      <c r="R551" s="36"/>
      <c r="S551" s="36"/>
    </row>
    <row r="552">
      <c r="O552" s="36"/>
      <c r="P552" s="36"/>
      <c r="Q552" s="36"/>
      <c r="R552" s="36"/>
      <c r="S552" s="36"/>
    </row>
    <row r="553">
      <c r="O553" s="36"/>
      <c r="P553" s="36"/>
      <c r="Q553" s="36"/>
      <c r="R553" s="36"/>
      <c r="S553" s="36"/>
    </row>
    <row r="554">
      <c r="O554" s="36"/>
      <c r="P554" s="36"/>
      <c r="Q554" s="36"/>
      <c r="R554" s="36"/>
      <c r="S554" s="36"/>
    </row>
    <row r="555">
      <c r="O555" s="36"/>
      <c r="P555" s="36"/>
      <c r="Q555" s="36"/>
      <c r="R555" s="36"/>
      <c r="S555" s="36"/>
    </row>
    <row r="556">
      <c r="O556" s="36"/>
      <c r="P556" s="36"/>
      <c r="Q556" s="36"/>
      <c r="R556" s="36"/>
      <c r="S556" s="36"/>
    </row>
    <row r="557">
      <c r="O557" s="36"/>
      <c r="P557" s="36"/>
      <c r="Q557" s="36"/>
      <c r="R557" s="36"/>
      <c r="S557" s="36"/>
    </row>
    <row r="558">
      <c r="O558" s="36"/>
      <c r="P558" s="36"/>
      <c r="Q558" s="36"/>
      <c r="R558" s="36"/>
      <c r="S558" s="36"/>
    </row>
    <row r="559">
      <c r="O559" s="36"/>
      <c r="P559" s="36"/>
      <c r="Q559" s="36"/>
      <c r="R559" s="36"/>
      <c r="S559" s="36"/>
    </row>
    <row r="560">
      <c r="O560" s="36"/>
      <c r="P560" s="36"/>
      <c r="Q560" s="36"/>
      <c r="R560" s="36"/>
      <c r="S560" s="36"/>
    </row>
    <row r="561">
      <c r="O561" s="36"/>
      <c r="P561" s="36"/>
      <c r="Q561" s="36"/>
      <c r="R561" s="36"/>
      <c r="S561" s="36"/>
    </row>
    <row r="562">
      <c r="O562" s="36"/>
      <c r="P562" s="36"/>
      <c r="Q562" s="36"/>
      <c r="R562" s="36"/>
      <c r="S562" s="36"/>
    </row>
    <row r="563">
      <c r="O563" s="36"/>
      <c r="P563" s="36"/>
      <c r="Q563" s="36"/>
      <c r="R563" s="36"/>
      <c r="S563" s="36"/>
    </row>
    <row r="564">
      <c r="O564" s="36"/>
      <c r="P564" s="36"/>
      <c r="Q564" s="36"/>
      <c r="R564" s="36"/>
      <c r="S564" s="36"/>
    </row>
    <row r="565">
      <c r="O565" s="36"/>
      <c r="P565" s="36"/>
      <c r="Q565" s="36"/>
      <c r="R565" s="36"/>
      <c r="S565" s="36"/>
    </row>
    <row r="566">
      <c r="O566" s="36"/>
      <c r="P566" s="36"/>
      <c r="Q566" s="36"/>
      <c r="R566" s="36"/>
      <c r="S566" s="36"/>
    </row>
    <row r="567">
      <c r="O567" s="36"/>
      <c r="P567" s="36"/>
      <c r="Q567" s="36"/>
      <c r="R567" s="36"/>
      <c r="S567" s="36"/>
    </row>
    <row r="568">
      <c r="O568" s="36"/>
      <c r="P568" s="36"/>
      <c r="Q568" s="36"/>
      <c r="R568" s="36"/>
      <c r="S568" s="36"/>
    </row>
    <row r="569">
      <c r="O569" s="36"/>
      <c r="P569" s="36"/>
      <c r="Q569" s="36"/>
      <c r="R569" s="36"/>
      <c r="S569" s="36"/>
    </row>
    <row r="570">
      <c r="O570" s="36"/>
      <c r="P570" s="36"/>
      <c r="Q570" s="36"/>
      <c r="R570" s="36"/>
      <c r="S570" s="36"/>
    </row>
    <row r="571">
      <c r="O571" s="36"/>
      <c r="P571" s="36"/>
      <c r="Q571" s="36"/>
      <c r="R571" s="36"/>
      <c r="S571" s="36"/>
    </row>
    <row r="572">
      <c r="O572" s="36"/>
      <c r="P572" s="36"/>
      <c r="Q572" s="36"/>
      <c r="R572" s="36"/>
      <c r="S572" s="36"/>
    </row>
    <row r="573">
      <c r="O573" s="36"/>
      <c r="P573" s="36"/>
      <c r="Q573" s="36"/>
      <c r="R573" s="36"/>
      <c r="S573" s="36"/>
    </row>
    <row r="574">
      <c r="O574" s="36"/>
      <c r="P574" s="36"/>
      <c r="Q574" s="36"/>
      <c r="R574" s="36"/>
      <c r="S574" s="36"/>
    </row>
    <row r="575">
      <c r="O575" s="36"/>
      <c r="P575" s="36"/>
      <c r="Q575" s="36"/>
      <c r="R575" s="36"/>
      <c r="S575" s="36"/>
    </row>
    <row r="576">
      <c r="O576" s="36"/>
      <c r="P576" s="36"/>
      <c r="Q576" s="36"/>
      <c r="R576" s="36"/>
      <c r="S576" s="36"/>
    </row>
    <row r="577">
      <c r="O577" s="36"/>
      <c r="P577" s="36"/>
      <c r="Q577" s="36"/>
      <c r="R577" s="36"/>
      <c r="S577" s="36"/>
    </row>
    <row r="578">
      <c r="O578" s="36"/>
      <c r="P578" s="36"/>
      <c r="Q578" s="36"/>
      <c r="R578" s="36"/>
      <c r="S578" s="36"/>
    </row>
    <row r="579">
      <c r="O579" s="36"/>
      <c r="P579" s="36"/>
      <c r="Q579" s="36"/>
      <c r="R579" s="36"/>
      <c r="S579" s="36"/>
    </row>
    <row r="580">
      <c r="O580" s="36"/>
      <c r="P580" s="36"/>
      <c r="Q580" s="36"/>
      <c r="R580" s="36"/>
      <c r="S580" s="36"/>
    </row>
    <row r="581">
      <c r="O581" s="36"/>
      <c r="P581" s="36"/>
      <c r="Q581" s="36"/>
      <c r="R581" s="36"/>
      <c r="S581" s="36"/>
    </row>
    <row r="582">
      <c r="O582" s="36"/>
      <c r="P582" s="36"/>
      <c r="Q582" s="36"/>
      <c r="R582" s="36"/>
      <c r="S582" s="36"/>
    </row>
    <row r="583">
      <c r="O583" s="36"/>
      <c r="P583" s="36"/>
      <c r="Q583" s="36"/>
      <c r="R583" s="36"/>
      <c r="S583" s="36"/>
    </row>
    <row r="584">
      <c r="O584" s="36"/>
      <c r="P584" s="36"/>
      <c r="Q584" s="36"/>
      <c r="R584" s="36"/>
      <c r="S584" s="36"/>
    </row>
    <row r="585">
      <c r="O585" s="36"/>
      <c r="P585" s="36"/>
      <c r="Q585" s="36"/>
      <c r="R585" s="36"/>
      <c r="S585" s="36"/>
    </row>
    <row r="586">
      <c r="O586" s="36"/>
      <c r="P586" s="36"/>
      <c r="Q586" s="36"/>
      <c r="R586" s="36"/>
      <c r="S586" s="36"/>
    </row>
    <row r="587">
      <c r="O587" s="36"/>
      <c r="P587" s="36"/>
      <c r="Q587" s="36"/>
      <c r="R587" s="36"/>
      <c r="S587" s="36"/>
    </row>
    <row r="588">
      <c r="O588" s="36"/>
      <c r="P588" s="36"/>
      <c r="Q588" s="36"/>
      <c r="R588" s="36"/>
      <c r="S588" s="36"/>
    </row>
    <row r="589">
      <c r="O589" s="36"/>
      <c r="P589" s="36"/>
      <c r="Q589" s="36"/>
      <c r="R589" s="36"/>
      <c r="S589" s="36"/>
    </row>
    <row r="590">
      <c r="O590" s="36"/>
      <c r="P590" s="36"/>
      <c r="Q590" s="36"/>
      <c r="R590" s="36"/>
      <c r="S590" s="36"/>
    </row>
    <row r="591">
      <c r="O591" s="36"/>
      <c r="P591" s="36"/>
      <c r="Q591" s="36"/>
      <c r="R591" s="36"/>
      <c r="S591" s="36"/>
    </row>
    <row r="592">
      <c r="O592" s="36"/>
      <c r="P592" s="36"/>
      <c r="Q592" s="36"/>
      <c r="R592" s="36"/>
      <c r="S592" s="36"/>
    </row>
    <row r="593">
      <c r="O593" s="36"/>
      <c r="P593" s="36"/>
      <c r="Q593" s="36"/>
      <c r="R593" s="36"/>
      <c r="S593" s="36"/>
    </row>
    <row r="594">
      <c r="O594" s="36"/>
      <c r="P594" s="36"/>
      <c r="Q594" s="36"/>
      <c r="R594" s="36"/>
      <c r="S594" s="36"/>
    </row>
    <row r="595">
      <c r="O595" s="36"/>
      <c r="P595" s="36"/>
      <c r="Q595" s="36"/>
      <c r="R595" s="36"/>
      <c r="S595" s="36"/>
    </row>
    <row r="596">
      <c r="O596" s="36"/>
      <c r="P596" s="36"/>
      <c r="Q596" s="36"/>
      <c r="R596" s="36"/>
      <c r="S596" s="36"/>
    </row>
    <row r="597">
      <c r="O597" s="36"/>
      <c r="P597" s="36"/>
      <c r="Q597" s="36"/>
      <c r="R597" s="36"/>
      <c r="S597" s="36"/>
    </row>
    <row r="598">
      <c r="O598" s="36"/>
      <c r="P598" s="36"/>
      <c r="Q598" s="36"/>
      <c r="R598" s="36"/>
      <c r="S598" s="36"/>
    </row>
    <row r="599">
      <c r="O599" s="36"/>
      <c r="P599" s="36"/>
      <c r="Q599" s="36"/>
      <c r="R599" s="36"/>
      <c r="S599" s="36"/>
    </row>
    <row r="600">
      <c r="O600" s="36"/>
      <c r="P600" s="36"/>
      <c r="Q600" s="36"/>
      <c r="R600" s="36"/>
      <c r="S600" s="36"/>
    </row>
    <row r="601">
      <c r="O601" s="36"/>
      <c r="P601" s="36"/>
      <c r="Q601" s="36"/>
      <c r="R601" s="36"/>
      <c r="S601" s="36"/>
    </row>
    <row r="602">
      <c r="O602" s="36"/>
      <c r="P602" s="36"/>
      <c r="Q602" s="36"/>
      <c r="R602" s="36"/>
      <c r="S602" s="36"/>
    </row>
    <row r="603">
      <c r="O603" s="36"/>
      <c r="P603" s="36"/>
      <c r="Q603" s="36"/>
      <c r="R603" s="36"/>
      <c r="S603" s="36"/>
    </row>
    <row r="604">
      <c r="O604" s="36"/>
      <c r="P604" s="36"/>
      <c r="Q604" s="36"/>
      <c r="R604" s="36"/>
      <c r="S604" s="36"/>
    </row>
    <row r="605">
      <c r="O605" s="36"/>
      <c r="P605" s="36"/>
      <c r="Q605" s="36"/>
      <c r="R605" s="36"/>
      <c r="S605" s="36"/>
    </row>
    <row r="606">
      <c r="O606" s="36"/>
      <c r="P606" s="36"/>
      <c r="Q606" s="36"/>
      <c r="R606" s="36"/>
      <c r="S606" s="36"/>
    </row>
    <row r="607">
      <c r="O607" s="36"/>
      <c r="P607" s="36"/>
      <c r="Q607" s="36"/>
      <c r="R607" s="36"/>
      <c r="S607" s="36"/>
    </row>
    <row r="608">
      <c r="O608" s="36"/>
      <c r="P608" s="36"/>
      <c r="Q608" s="36"/>
      <c r="R608" s="36"/>
      <c r="S608" s="36"/>
    </row>
    <row r="609">
      <c r="O609" s="36"/>
      <c r="P609" s="36"/>
      <c r="Q609" s="36"/>
      <c r="R609" s="36"/>
      <c r="S609" s="36"/>
    </row>
    <row r="610">
      <c r="O610" s="36"/>
      <c r="P610" s="36"/>
      <c r="Q610" s="36"/>
      <c r="R610" s="36"/>
      <c r="S610" s="36"/>
    </row>
    <row r="611">
      <c r="O611" s="36"/>
      <c r="P611" s="36"/>
      <c r="Q611" s="36"/>
      <c r="R611" s="36"/>
      <c r="S611" s="36"/>
    </row>
    <row r="612">
      <c r="O612" s="36"/>
      <c r="P612" s="36"/>
      <c r="Q612" s="36"/>
      <c r="R612" s="36"/>
      <c r="S612" s="36"/>
    </row>
    <row r="613">
      <c r="O613" s="36"/>
      <c r="P613" s="36"/>
      <c r="Q613" s="36"/>
      <c r="R613" s="36"/>
      <c r="S613" s="36"/>
    </row>
    <row r="614">
      <c r="O614" s="36"/>
      <c r="P614" s="36"/>
      <c r="Q614" s="36"/>
      <c r="R614" s="36"/>
      <c r="S614" s="36"/>
    </row>
    <row r="615">
      <c r="O615" s="36"/>
      <c r="P615" s="36"/>
      <c r="Q615" s="36"/>
      <c r="R615" s="36"/>
      <c r="S615" s="36"/>
    </row>
    <row r="616">
      <c r="O616" s="36"/>
      <c r="P616" s="36"/>
      <c r="Q616" s="36"/>
      <c r="R616" s="36"/>
      <c r="S616" s="36"/>
    </row>
    <row r="617">
      <c r="O617" s="36"/>
      <c r="P617" s="36"/>
      <c r="Q617" s="36"/>
      <c r="R617" s="36"/>
      <c r="S617" s="36"/>
    </row>
    <row r="618">
      <c r="O618" s="36"/>
      <c r="P618" s="36"/>
      <c r="Q618" s="36"/>
      <c r="R618" s="36"/>
      <c r="S618" s="36"/>
    </row>
    <row r="619">
      <c r="O619" s="36"/>
      <c r="P619" s="36"/>
      <c r="Q619" s="36"/>
      <c r="R619" s="36"/>
      <c r="S619" s="36"/>
    </row>
    <row r="620">
      <c r="O620" s="36"/>
      <c r="P620" s="36"/>
      <c r="Q620" s="36"/>
      <c r="R620" s="36"/>
      <c r="S620" s="36"/>
    </row>
    <row r="621">
      <c r="O621" s="36"/>
      <c r="P621" s="36"/>
      <c r="Q621" s="36"/>
      <c r="R621" s="36"/>
      <c r="S621" s="36"/>
    </row>
    <row r="622">
      <c r="O622" s="36"/>
      <c r="P622" s="36"/>
      <c r="Q622" s="36"/>
      <c r="R622" s="36"/>
      <c r="S622" s="36"/>
    </row>
    <row r="623">
      <c r="O623" s="36"/>
      <c r="P623" s="36"/>
      <c r="Q623" s="36"/>
      <c r="R623" s="36"/>
      <c r="S623" s="36"/>
    </row>
    <row r="624">
      <c r="O624" s="36"/>
      <c r="P624" s="36"/>
      <c r="Q624" s="36"/>
      <c r="R624" s="36"/>
      <c r="S624" s="36"/>
    </row>
    <row r="625">
      <c r="O625" s="36"/>
      <c r="P625" s="36"/>
      <c r="Q625" s="36"/>
      <c r="R625" s="36"/>
      <c r="S625" s="36"/>
    </row>
    <row r="626">
      <c r="O626" s="36"/>
      <c r="P626" s="36"/>
      <c r="Q626" s="36"/>
      <c r="R626" s="36"/>
      <c r="S626" s="36"/>
    </row>
    <row r="627">
      <c r="O627" s="36"/>
      <c r="P627" s="36"/>
      <c r="Q627" s="36"/>
      <c r="R627" s="36"/>
      <c r="S627" s="36"/>
    </row>
    <row r="628">
      <c r="O628" s="36"/>
      <c r="P628" s="36"/>
      <c r="Q628" s="36"/>
      <c r="R628" s="36"/>
      <c r="S628" s="36"/>
    </row>
    <row r="629">
      <c r="O629" s="36"/>
      <c r="P629" s="36"/>
      <c r="Q629" s="36"/>
      <c r="R629" s="36"/>
      <c r="S629" s="36"/>
    </row>
    <row r="630">
      <c r="O630" s="36"/>
      <c r="P630" s="36"/>
      <c r="Q630" s="36"/>
      <c r="R630" s="36"/>
      <c r="S630" s="36"/>
    </row>
    <row r="631">
      <c r="O631" s="36"/>
      <c r="P631" s="36"/>
      <c r="Q631" s="36"/>
      <c r="R631" s="36"/>
      <c r="S631" s="36"/>
    </row>
    <row r="632">
      <c r="O632" s="36"/>
      <c r="P632" s="36"/>
      <c r="Q632" s="36"/>
      <c r="R632" s="36"/>
      <c r="S632" s="36"/>
    </row>
    <row r="633">
      <c r="O633" s="36"/>
      <c r="P633" s="36"/>
      <c r="Q633" s="36"/>
      <c r="R633" s="36"/>
      <c r="S633" s="36"/>
    </row>
    <row r="634">
      <c r="O634" s="36"/>
      <c r="P634" s="36"/>
      <c r="Q634" s="36"/>
      <c r="R634" s="36"/>
      <c r="S634" s="36"/>
    </row>
    <row r="635">
      <c r="O635" s="36"/>
      <c r="P635" s="36"/>
      <c r="Q635" s="36"/>
      <c r="R635" s="36"/>
      <c r="S635" s="36"/>
    </row>
    <row r="636">
      <c r="O636" s="36"/>
      <c r="P636" s="36"/>
      <c r="Q636" s="36"/>
      <c r="R636" s="36"/>
      <c r="S636" s="36"/>
    </row>
    <row r="637">
      <c r="O637" s="36"/>
      <c r="P637" s="36"/>
      <c r="Q637" s="36"/>
      <c r="R637" s="36"/>
      <c r="S637" s="36"/>
    </row>
    <row r="638">
      <c r="O638" s="36"/>
      <c r="P638" s="36"/>
      <c r="Q638" s="36"/>
      <c r="R638" s="36"/>
      <c r="S638" s="36"/>
    </row>
    <row r="639">
      <c r="O639" s="36"/>
      <c r="P639" s="36"/>
      <c r="Q639" s="36"/>
      <c r="R639" s="36"/>
      <c r="S639" s="36"/>
    </row>
    <row r="640">
      <c r="O640" s="36"/>
      <c r="P640" s="36"/>
      <c r="Q640" s="36"/>
      <c r="R640" s="36"/>
      <c r="S640" s="36"/>
    </row>
    <row r="641">
      <c r="O641" s="36"/>
      <c r="P641" s="36"/>
      <c r="Q641" s="36"/>
      <c r="R641" s="36"/>
      <c r="S641" s="36"/>
    </row>
    <row r="642">
      <c r="O642" s="36"/>
      <c r="P642" s="36"/>
      <c r="Q642" s="36"/>
      <c r="R642" s="36"/>
      <c r="S642" s="36"/>
    </row>
    <row r="643">
      <c r="O643" s="36"/>
      <c r="P643" s="36"/>
      <c r="Q643" s="36"/>
      <c r="R643" s="36"/>
      <c r="S643" s="36"/>
    </row>
    <row r="644">
      <c r="O644" s="36"/>
      <c r="P644" s="36"/>
      <c r="Q644" s="36"/>
      <c r="R644" s="36"/>
      <c r="S644" s="36"/>
    </row>
    <row r="645">
      <c r="O645" s="36"/>
      <c r="P645" s="36"/>
      <c r="Q645" s="36"/>
      <c r="R645" s="36"/>
      <c r="S645" s="36"/>
    </row>
    <row r="646">
      <c r="O646" s="36"/>
      <c r="P646" s="36"/>
      <c r="Q646" s="36"/>
      <c r="R646" s="36"/>
      <c r="S646" s="36"/>
    </row>
    <row r="647">
      <c r="O647" s="36"/>
      <c r="P647" s="36"/>
      <c r="Q647" s="36"/>
      <c r="R647" s="36"/>
      <c r="S647" s="36"/>
    </row>
    <row r="648">
      <c r="O648" s="36"/>
      <c r="P648" s="36"/>
      <c r="Q648" s="36"/>
      <c r="R648" s="36"/>
      <c r="S648" s="36"/>
    </row>
    <row r="649">
      <c r="O649" s="36"/>
      <c r="P649" s="36"/>
      <c r="Q649" s="36"/>
      <c r="R649" s="36"/>
      <c r="S649" s="36"/>
    </row>
    <row r="650">
      <c r="O650" s="36"/>
      <c r="P650" s="36"/>
      <c r="Q650" s="36"/>
      <c r="R650" s="36"/>
      <c r="S650" s="36"/>
    </row>
    <row r="651">
      <c r="O651" s="36"/>
      <c r="P651" s="36"/>
      <c r="Q651" s="36"/>
      <c r="R651" s="36"/>
      <c r="S651" s="36"/>
    </row>
    <row r="652">
      <c r="O652" s="36"/>
      <c r="P652" s="36"/>
      <c r="Q652" s="36"/>
      <c r="R652" s="36"/>
      <c r="S652" s="36"/>
    </row>
    <row r="653">
      <c r="O653" s="36"/>
      <c r="P653" s="36"/>
      <c r="Q653" s="36"/>
      <c r="R653" s="36"/>
      <c r="S653" s="36"/>
    </row>
    <row r="654">
      <c r="O654" s="36"/>
      <c r="P654" s="36"/>
      <c r="Q654" s="36"/>
      <c r="R654" s="36"/>
      <c r="S654" s="36"/>
    </row>
    <row r="655">
      <c r="O655" s="36"/>
      <c r="P655" s="36"/>
      <c r="Q655" s="36"/>
      <c r="R655" s="36"/>
      <c r="S655" s="36"/>
    </row>
    <row r="656">
      <c r="O656" s="36"/>
      <c r="P656" s="36"/>
      <c r="Q656" s="36"/>
      <c r="R656" s="36"/>
      <c r="S656" s="36"/>
    </row>
    <row r="657">
      <c r="O657" s="36"/>
      <c r="P657" s="36"/>
      <c r="Q657" s="36"/>
      <c r="R657" s="36"/>
      <c r="S657" s="36"/>
    </row>
    <row r="658">
      <c r="O658" s="36"/>
      <c r="P658" s="36"/>
      <c r="Q658" s="36"/>
      <c r="R658" s="36"/>
      <c r="S658" s="36"/>
    </row>
    <row r="659">
      <c r="O659" s="36"/>
      <c r="P659" s="36"/>
      <c r="Q659" s="36"/>
      <c r="R659" s="36"/>
      <c r="S659" s="36"/>
    </row>
    <row r="660">
      <c r="O660" s="36"/>
      <c r="P660" s="36"/>
      <c r="Q660" s="36"/>
      <c r="R660" s="36"/>
      <c r="S660" s="36"/>
    </row>
    <row r="661">
      <c r="O661" s="36"/>
      <c r="P661" s="36"/>
      <c r="Q661" s="36"/>
      <c r="R661" s="36"/>
      <c r="S661" s="36"/>
    </row>
    <row r="662">
      <c r="O662" s="36"/>
      <c r="P662" s="36"/>
      <c r="Q662" s="36"/>
      <c r="R662" s="36"/>
      <c r="S662" s="36"/>
    </row>
    <row r="663">
      <c r="O663" s="36"/>
      <c r="P663" s="36"/>
      <c r="Q663" s="36"/>
      <c r="R663" s="36"/>
      <c r="S663" s="36"/>
    </row>
    <row r="664">
      <c r="O664" s="36"/>
      <c r="P664" s="36"/>
      <c r="Q664" s="36"/>
      <c r="R664" s="36"/>
      <c r="S664" s="36"/>
    </row>
    <row r="665">
      <c r="O665" s="36"/>
      <c r="P665" s="36"/>
      <c r="Q665" s="36"/>
      <c r="R665" s="36"/>
      <c r="S665" s="36"/>
    </row>
    <row r="666">
      <c r="O666" s="36"/>
      <c r="P666" s="36"/>
      <c r="Q666" s="36"/>
      <c r="R666" s="36"/>
      <c r="S666" s="36"/>
    </row>
    <row r="667">
      <c r="O667" s="36"/>
      <c r="P667" s="36"/>
      <c r="Q667" s="36"/>
      <c r="R667" s="36"/>
      <c r="S667" s="36"/>
    </row>
    <row r="668">
      <c r="O668" s="36"/>
      <c r="P668" s="36"/>
      <c r="Q668" s="36"/>
      <c r="R668" s="36"/>
      <c r="S668" s="36"/>
    </row>
    <row r="669">
      <c r="O669" s="36"/>
      <c r="P669" s="36"/>
      <c r="Q669" s="36"/>
      <c r="R669" s="36"/>
      <c r="S669" s="36"/>
    </row>
    <row r="670">
      <c r="O670" s="36"/>
      <c r="P670" s="36"/>
      <c r="Q670" s="36"/>
      <c r="R670" s="36"/>
      <c r="S670" s="36"/>
    </row>
    <row r="671">
      <c r="O671" s="36"/>
      <c r="P671" s="36"/>
      <c r="Q671" s="36"/>
      <c r="R671" s="36"/>
      <c r="S671" s="36"/>
    </row>
    <row r="672">
      <c r="O672" s="36"/>
      <c r="P672" s="36"/>
      <c r="Q672" s="36"/>
      <c r="R672" s="36"/>
      <c r="S672" s="36"/>
    </row>
    <row r="673">
      <c r="O673" s="36"/>
      <c r="P673" s="36"/>
      <c r="Q673" s="36"/>
      <c r="R673" s="36"/>
      <c r="S673" s="36"/>
    </row>
    <row r="674">
      <c r="O674" s="36"/>
      <c r="P674" s="36"/>
      <c r="Q674" s="36"/>
      <c r="R674" s="36"/>
      <c r="S674" s="36"/>
    </row>
    <row r="675">
      <c r="O675" s="36"/>
      <c r="P675" s="36"/>
      <c r="Q675" s="36"/>
      <c r="R675" s="36"/>
      <c r="S675" s="36"/>
    </row>
    <row r="676">
      <c r="O676" s="36"/>
      <c r="P676" s="36"/>
      <c r="Q676" s="36"/>
      <c r="R676" s="36"/>
      <c r="S676" s="36"/>
    </row>
    <row r="677">
      <c r="O677" s="36"/>
      <c r="P677" s="36"/>
      <c r="Q677" s="36"/>
      <c r="R677" s="36"/>
      <c r="S677" s="36"/>
    </row>
    <row r="678">
      <c r="O678" s="36"/>
      <c r="P678" s="36"/>
      <c r="Q678" s="36"/>
      <c r="R678" s="36"/>
      <c r="S678" s="36"/>
    </row>
    <row r="679">
      <c r="O679" s="36"/>
      <c r="P679" s="36"/>
      <c r="Q679" s="36"/>
      <c r="R679" s="36"/>
      <c r="S679" s="36"/>
    </row>
    <row r="680">
      <c r="O680" s="36"/>
      <c r="P680" s="36"/>
      <c r="Q680" s="36"/>
      <c r="R680" s="36"/>
      <c r="S680" s="36"/>
    </row>
    <row r="681">
      <c r="O681" s="36"/>
      <c r="P681" s="36"/>
      <c r="Q681" s="36"/>
      <c r="R681" s="36"/>
      <c r="S681" s="36"/>
    </row>
    <row r="682">
      <c r="O682" s="36"/>
      <c r="P682" s="36"/>
      <c r="Q682" s="36"/>
      <c r="R682" s="36"/>
      <c r="S682" s="36"/>
    </row>
    <row r="683">
      <c r="O683" s="36"/>
      <c r="P683" s="36"/>
      <c r="Q683" s="36"/>
      <c r="R683" s="36"/>
      <c r="S683" s="36"/>
    </row>
    <row r="684">
      <c r="O684" s="36"/>
      <c r="P684" s="36"/>
      <c r="Q684" s="36"/>
      <c r="R684" s="36"/>
      <c r="S684" s="36"/>
    </row>
    <row r="685">
      <c r="O685" s="36"/>
      <c r="P685" s="36"/>
      <c r="Q685" s="36"/>
      <c r="R685" s="36"/>
      <c r="S685" s="36"/>
    </row>
    <row r="686">
      <c r="O686" s="36"/>
      <c r="P686" s="36"/>
      <c r="Q686" s="36"/>
      <c r="R686" s="36"/>
      <c r="S686" s="36"/>
    </row>
    <row r="687">
      <c r="O687" s="36"/>
      <c r="P687" s="36"/>
      <c r="Q687" s="36"/>
      <c r="R687" s="36"/>
      <c r="S687" s="36"/>
    </row>
    <row r="688">
      <c r="O688" s="36"/>
      <c r="P688" s="36"/>
      <c r="Q688" s="36"/>
      <c r="R688" s="36"/>
      <c r="S688" s="36"/>
    </row>
    <row r="689">
      <c r="O689" s="36"/>
      <c r="P689" s="36"/>
      <c r="Q689" s="36"/>
      <c r="R689" s="36"/>
      <c r="S689" s="36"/>
    </row>
    <row r="690">
      <c r="O690" s="36"/>
      <c r="P690" s="36"/>
      <c r="Q690" s="36"/>
      <c r="R690" s="36"/>
      <c r="S690" s="36"/>
    </row>
    <row r="691">
      <c r="O691" s="36"/>
      <c r="P691" s="36"/>
      <c r="Q691" s="36"/>
      <c r="R691" s="36"/>
      <c r="S691" s="36"/>
    </row>
    <row r="692">
      <c r="O692" s="36"/>
      <c r="P692" s="36"/>
      <c r="Q692" s="36"/>
      <c r="R692" s="36"/>
      <c r="S692" s="36"/>
    </row>
    <row r="693">
      <c r="O693" s="36"/>
      <c r="P693" s="36"/>
      <c r="Q693" s="36"/>
      <c r="R693" s="36"/>
      <c r="S693" s="36"/>
    </row>
    <row r="694">
      <c r="O694" s="36"/>
      <c r="P694" s="36"/>
      <c r="Q694" s="36"/>
      <c r="R694" s="36"/>
      <c r="S694" s="36"/>
    </row>
    <row r="695">
      <c r="O695" s="36"/>
      <c r="P695" s="36"/>
      <c r="Q695" s="36"/>
      <c r="R695" s="36"/>
      <c r="S695" s="36"/>
    </row>
    <row r="696">
      <c r="O696" s="36"/>
      <c r="P696" s="36"/>
      <c r="Q696" s="36"/>
      <c r="R696" s="36"/>
      <c r="S696" s="36"/>
    </row>
    <row r="697">
      <c r="O697" s="36"/>
      <c r="P697" s="36"/>
      <c r="Q697" s="36"/>
      <c r="R697" s="36"/>
      <c r="S697" s="36"/>
    </row>
    <row r="698">
      <c r="O698" s="36"/>
      <c r="P698" s="36"/>
      <c r="Q698" s="36"/>
      <c r="R698" s="36"/>
      <c r="S698" s="36"/>
    </row>
    <row r="699">
      <c r="O699" s="36"/>
      <c r="P699" s="36"/>
      <c r="Q699" s="36"/>
      <c r="R699" s="36"/>
      <c r="S699" s="36"/>
    </row>
    <row r="700">
      <c r="O700" s="36"/>
      <c r="P700" s="36"/>
      <c r="Q700" s="36"/>
      <c r="R700" s="36"/>
      <c r="S700" s="36"/>
    </row>
    <row r="701">
      <c r="O701" s="36"/>
      <c r="P701" s="36"/>
      <c r="Q701" s="36"/>
      <c r="R701" s="36"/>
      <c r="S701" s="36"/>
    </row>
    <row r="702">
      <c r="O702" s="36"/>
      <c r="P702" s="36"/>
      <c r="Q702" s="36"/>
      <c r="R702" s="36"/>
      <c r="S702" s="36"/>
    </row>
    <row r="703">
      <c r="O703" s="36"/>
      <c r="P703" s="36"/>
      <c r="Q703" s="36"/>
      <c r="R703" s="36"/>
      <c r="S703" s="36"/>
    </row>
    <row r="704">
      <c r="O704" s="36"/>
      <c r="P704" s="36"/>
      <c r="Q704" s="36"/>
      <c r="R704" s="36"/>
      <c r="S704" s="36"/>
    </row>
    <row r="705">
      <c r="O705" s="36"/>
      <c r="P705" s="36"/>
      <c r="Q705" s="36"/>
      <c r="R705" s="36"/>
      <c r="S705" s="36"/>
    </row>
    <row r="706">
      <c r="O706" s="36"/>
      <c r="P706" s="36"/>
      <c r="Q706" s="36"/>
      <c r="R706" s="36"/>
      <c r="S706" s="36"/>
    </row>
    <row r="707">
      <c r="O707" s="36"/>
      <c r="P707" s="36"/>
      <c r="Q707" s="36"/>
      <c r="R707" s="36"/>
      <c r="S707" s="36"/>
    </row>
    <row r="708">
      <c r="O708" s="36"/>
      <c r="P708" s="36"/>
      <c r="Q708" s="36"/>
      <c r="R708" s="36"/>
      <c r="S708" s="36"/>
    </row>
    <row r="709">
      <c r="O709" s="36"/>
      <c r="P709" s="36"/>
      <c r="Q709" s="36"/>
      <c r="R709" s="36"/>
      <c r="S709" s="36"/>
    </row>
    <row r="710">
      <c r="O710" s="36"/>
      <c r="P710" s="36"/>
      <c r="Q710" s="36"/>
      <c r="R710" s="36"/>
      <c r="S710" s="36"/>
    </row>
    <row r="711">
      <c r="O711" s="36"/>
      <c r="P711" s="36"/>
      <c r="Q711" s="36"/>
      <c r="R711" s="36"/>
      <c r="S711" s="36"/>
    </row>
    <row r="712">
      <c r="O712" s="36"/>
      <c r="P712" s="36"/>
      <c r="Q712" s="36"/>
      <c r="R712" s="36"/>
      <c r="S712" s="36"/>
    </row>
    <row r="713">
      <c r="O713" s="36"/>
      <c r="P713" s="36"/>
      <c r="Q713" s="36"/>
      <c r="R713" s="36"/>
      <c r="S713" s="36"/>
    </row>
    <row r="714">
      <c r="O714" s="36"/>
      <c r="P714" s="36"/>
      <c r="Q714" s="36"/>
      <c r="R714" s="36"/>
      <c r="S714" s="36"/>
    </row>
    <row r="715">
      <c r="O715" s="36"/>
      <c r="P715" s="36"/>
      <c r="Q715" s="36"/>
      <c r="R715" s="36"/>
      <c r="S715" s="36"/>
    </row>
    <row r="716">
      <c r="O716" s="36"/>
      <c r="P716" s="36"/>
      <c r="Q716" s="36"/>
      <c r="R716" s="36"/>
      <c r="S716" s="36"/>
    </row>
    <row r="717">
      <c r="O717" s="36"/>
      <c r="P717" s="36"/>
      <c r="Q717" s="36"/>
      <c r="R717" s="36"/>
      <c r="S717" s="36"/>
    </row>
    <row r="718">
      <c r="O718" s="36"/>
      <c r="P718" s="36"/>
      <c r="Q718" s="36"/>
      <c r="R718" s="36"/>
      <c r="S718" s="36"/>
    </row>
    <row r="719">
      <c r="O719" s="36"/>
      <c r="P719" s="36"/>
      <c r="Q719" s="36"/>
      <c r="R719" s="36"/>
      <c r="S719" s="36"/>
    </row>
    <row r="720">
      <c r="O720" s="36"/>
      <c r="P720" s="36"/>
      <c r="Q720" s="36"/>
      <c r="R720" s="36"/>
      <c r="S720" s="36"/>
    </row>
    <row r="721">
      <c r="O721" s="36"/>
      <c r="P721" s="36"/>
      <c r="Q721" s="36"/>
      <c r="R721" s="36"/>
      <c r="S721" s="36"/>
    </row>
    <row r="722">
      <c r="O722" s="36"/>
      <c r="P722" s="36"/>
      <c r="Q722" s="36"/>
      <c r="R722" s="36"/>
      <c r="S722" s="36"/>
    </row>
    <row r="723">
      <c r="O723" s="36"/>
      <c r="P723" s="36"/>
      <c r="Q723" s="36"/>
      <c r="R723" s="36"/>
      <c r="S723" s="36"/>
    </row>
    <row r="724">
      <c r="O724" s="36"/>
      <c r="P724" s="36"/>
      <c r="Q724" s="36"/>
      <c r="R724" s="36"/>
      <c r="S724" s="36"/>
    </row>
    <row r="725">
      <c r="O725" s="36"/>
      <c r="P725" s="36"/>
      <c r="Q725" s="36"/>
      <c r="R725" s="36"/>
      <c r="S725" s="36"/>
    </row>
    <row r="726">
      <c r="O726" s="36"/>
      <c r="P726" s="36"/>
      <c r="Q726" s="36"/>
      <c r="R726" s="36"/>
      <c r="S726" s="36"/>
    </row>
    <row r="727">
      <c r="O727" s="36"/>
      <c r="P727" s="36"/>
      <c r="Q727" s="36"/>
      <c r="R727" s="36"/>
      <c r="S727" s="36"/>
    </row>
    <row r="728">
      <c r="O728" s="36"/>
      <c r="P728" s="36"/>
      <c r="Q728" s="36"/>
      <c r="R728" s="36"/>
      <c r="S728" s="36"/>
    </row>
    <row r="729">
      <c r="O729" s="36"/>
      <c r="P729" s="36"/>
      <c r="Q729" s="36"/>
      <c r="R729" s="36"/>
      <c r="S729" s="36"/>
    </row>
    <row r="730">
      <c r="O730" s="36"/>
      <c r="P730" s="36"/>
      <c r="Q730" s="36"/>
      <c r="R730" s="36"/>
      <c r="S730" s="36"/>
    </row>
    <row r="731">
      <c r="O731" s="36"/>
      <c r="P731" s="36"/>
      <c r="Q731" s="36"/>
      <c r="R731" s="36"/>
      <c r="S731" s="36"/>
    </row>
    <row r="732">
      <c r="O732" s="36"/>
      <c r="P732" s="36"/>
      <c r="Q732" s="36"/>
      <c r="R732" s="36"/>
      <c r="S732" s="36"/>
    </row>
    <row r="733">
      <c r="O733" s="36"/>
      <c r="P733" s="36"/>
      <c r="Q733" s="36"/>
      <c r="R733" s="36"/>
      <c r="S733" s="36"/>
    </row>
    <row r="734">
      <c r="O734" s="36"/>
      <c r="P734" s="36"/>
      <c r="Q734" s="36"/>
      <c r="R734" s="36"/>
      <c r="S734" s="36"/>
    </row>
    <row r="735">
      <c r="O735" s="36"/>
      <c r="P735" s="36"/>
      <c r="Q735" s="36"/>
      <c r="R735" s="36"/>
      <c r="S735" s="36"/>
    </row>
    <row r="736">
      <c r="O736" s="36"/>
      <c r="P736" s="36"/>
      <c r="Q736" s="36"/>
      <c r="R736" s="36"/>
      <c r="S736" s="36"/>
    </row>
    <row r="737">
      <c r="O737" s="36"/>
      <c r="P737" s="36"/>
      <c r="Q737" s="36"/>
      <c r="R737" s="36"/>
      <c r="S737" s="36"/>
    </row>
    <row r="738">
      <c r="O738" s="36"/>
      <c r="P738" s="36"/>
      <c r="Q738" s="36"/>
      <c r="R738" s="36"/>
      <c r="S738" s="36"/>
    </row>
    <row r="739">
      <c r="O739" s="36"/>
      <c r="P739" s="36"/>
      <c r="Q739" s="36"/>
      <c r="R739" s="36"/>
      <c r="S739" s="36"/>
    </row>
    <row r="740">
      <c r="O740" s="36"/>
      <c r="P740" s="36"/>
      <c r="Q740" s="36"/>
      <c r="R740" s="36"/>
      <c r="S740" s="36"/>
    </row>
    <row r="741">
      <c r="O741" s="36"/>
      <c r="P741" s="36"/>
      <c r="Q741" s="36"/>
      <c r="R741" s="36"/>
      <c r="S741" s="36"/>
    </row>
    <row r="742">
      <c r="O742" s="36"/>
      <c r="P742" s="36"/>
      <c r="Q742" s="36"/>
      <c r="R742" s="36"/>
      <c r="S742" s="36"/>
    </row>
    <row r="743">
      <c r="O743" s="36"/>
      <c r="P743" s="36"/>
      <c r="Q743" s="36"/>
      <c r="R743" s="36"/>
      <c r="S743" s="36"/>
    </row>
    <row r="744">
      <c r="O744" s="36"/>
      <c r="P744" s="36"/>
      <c r="Q744" s="36"/>
      <c r="R744" s="36"/>
      <c r="S744" s="36"/>
    </row>
    <row r="745">
      <c r="O745" s="36"/>
      <c r="P745" s="36"/>
      <c r="Q745" s="36"/>
      <c r="R745" s="36"/>
      <c r="S745" s="36"/>
    </row>
    <row r="746">
      <c r="O746" s="36"/>
      <c r="P746" s="36"/>
      <c r="Q746" s="36"/>
      <c r="R746" s="36"/>
      <c r="S746" s="36"/>
    </row>
    <row r="747">
      <c r="O747" s="36"/>
      <c r="P747" s="36"/>
      <c r="Q747" s="36"/>
      <c r="R747" s="36"/>
      <c r="S747" s="36"/>
    </row>
    <row r="748">
      <c r="O748" s="36"/>
      <c r="P748" s="36"/>
      <c r="Q748" s="36"/>
      <c r="R748" s="36"/>
      <c r="S748" s="36"/>
    </row>
    <row r="749">
      <c r="O749" s="36"/>
      <c r="P749" s="36"/>
      <c r="Q749" s="36"/>
      <c r="R749" s="36"/>
      <c r="S749" s="36"/>
    </row>
    <row r="750">
      <c r="O750" s="36"/>
      <c r="P750" s="36"/>
      <c r="Q750" s="36"/>
      <c r="R750" s="36"/>
      <c r="S750" s="36"/>
    </row>
    <row r="751">
      <c r="O751" s="36"/>
      <c r="P751" s="36"/>
      <c r="Q751" s="36"/>
      <c r="R751" s="36"/>
      <c r="S751" s="36"/>
    </row>
    <row r="752">
      <c r="O752" s="36"/>
      <c r="P752" s="36"/>
      <c r="Q752" s="36"/>
      <c r="R752" s="36"/>
      <c r="S752" s="36"/>
    </row>
    <row r="753">
      <c r="O753" s="36"/>
      <c r="P753" s="36"/>
      <c r="Q753" s="36"/>
      <c r="R753" s="36"/>
      <c r="S753" s="36"/>
    </row>
    <row r="754">
      <c r="O754" s="36"/>
      <c r="P754" s="36"/>
      <c r="Q754" s="36"/>
      <c r="R754" s="36"/>
      <c r="S754" s="36"/>
    </row>
    <row r="755">
      <c r="O755" s="36"/>
      <c r="P755" s="36"/>
      <c r="Q755" s="36"/>
      <c r="R755" s="36"/>
      <c r="S755" s="36"/>
    </row>
    <row r="756">
      <c r="O756" s="36"/>
      <c r="P756" s="36"/>
      <c r="Q756" s="36"/>
      <c r="R756" s="36"/>
      <c r="S756" s="36"/>
    </row>
    <row r="757">
      <c r="O757" s="36"/>
      <c r="P757" s="36"/>
      <c r="Q757" s="36"/>
      <c r="R757" s="36"/>
      <c r="S757" s="36"/>
    </row>
    <row r="758">
      <c r="O758" s="36"/>
      <c r="P758" s="36"/>
      <c r="Q758" s="36"/>
      <c r="R758" s="36"/>
      <c r="S758" s="36"/>
    </row>
    <row r="759">
      <c r="O759" s="36"/>
      <c r="P759" s="36"/>
      <c r="Q759" s="36"/>
      <c r="R759" s="36"/>
      <c r="S759" s="36"/>
    </row>
    <row r="760">
      <c r="O760" s="36"/>
      <c r="P760" s="36"/>
      <c r="Q760" s="36"/>
      <c r="R760" s="36"/>
      <c r="S760" s="36"/>
    </row>
    <row r="761">
      <c r="O761" s="36"/>
      <c r="P761" s="36"/>
      <c r="Q761" s="36"/>
      <c r="R761" s="36"/>
      <c r="S761" s="36"/>
    </row>
    <row r="762">
      <c r="O762" s="36"/>
      <c r="P762" s="36"/>
      <c r="Q762" s="36"/>
      <c r="R762" s="36"/>
      <c r="S762" s="36"/>
    </row>
    <row r="763">
      <c r="O763" s="36"/>
      <c r="P763" s="36"/>
      <c r="Q763" s="36"/>
      <c r="R763" s="36"/>
      <c r="S763" s="36"/>
    </row>
    <row r="764">
      <c r="O764" s="36"/>
      <c r="P764" s="36"/>
      <c r="Q764" s="36"/>
      <c r="R764" s="36"/>
      <c r="S764" s="36"/>
    </row>
    <row r="765">
      <c r="O765" s="36"/>
      <c r="P765" s="36"/>
      <c r="Q765" s="36"/>
      <c r="R765" s="36"/>
      <c r="S765" s="36"/>
    </row>
    <row r="766">
      <c r="O766" s="36"/>
      <c r="P766" s="36"/>
      <c r="Q766" s="36"/>
      <c r="R766" s="36"/>
      <c r="S766" s="36"/>
    </row>
    <row r="767">
      <c r="O767" s="36"/>
      <c r="P767" s="36"/>
      <c r="Q767" s="36"/>
      <c r="R767" s="36"/>
      <c r="S767" s="36"/>
    </row>
    <row r="768">
      <c r="O768" s="36"/>
      <c r="P768" s="36"/>
      <c r="Q768" s="36"/>
      <c r="R768" s="36"/>
      <c r="S768" s="36"/>
    </row>
    <row r="769">
      <c r="O769" s="36"/>
      <c r="P769" s="36"/>
      <c r="Q769" s="36"/>
      <c r="R769" s="36"/>
      <c r="S769" s="36"/>
    </row>
    <row r="770">
      <c r="O770" s="36"/>
      <c r="P770" s="36"/>
      <c r="Q770" s="36"/>
      <c r="R770" s="36"/>
      <c r="S770" s="36"/>
    </row>
    <row r="771">
      <c r="O771" s="36"/>
      <c r="P771" s="36"/>
      <c r="Q771" s="36"/>
      <c r="R771" s="36"/>
      <c r="S771" s="36"/>
    </row>
    <row r="772">
      <c r="O772" s="36"/>
      <c r="P772" s="36"/>
      <c r="Q772" s="36"/>
      <c r="R772" s="36"/>
      <c r="S772" s="36"/>
    </row>
    <row r="773">
      <c r="O773" s="36"/>
      <c r="P773" s="36"/>
      <c r="Q773" s="36"/>
      <c r="R773" s="36"/>
      <c r="S773" s="36"/>
    </row>
    <row r="774">
      <c r="O774" s="36"/>
      <c r="P774" s="36"/>
      <c r="Q774" s="36"/>
      <c r="R774" s="36"/>
      <c r="S774" s="36"/>
    </row>
    <row r="775">
      <c r="O775" s="36"/>
      <c r="P775" s="36"/>
      <c r="Q775" s="36"/>
      <c r="R775" s="36"/>
      <c r="S775" s="36"/>
    </row>
    <row r="776">
      <c r="O776" s="36"/>
      <c r="P776" s="36"/>
      <c r="Q776" s="36"/>
      <c r="R776" s="36"/>
      <c r="S776" s="36"/>
    </row>
    <row r="777">
      <c r="O777" s="36"/>
      <c r="P777" s="36"/>
      <c r="Q777" s="36"/>
      <c r="R777" s="36"/>
      <c r="S777" s="36"/>
    </row>
    <row r="778">
      <c r="O778" s="36"/>
      <c r="P778" s="36"/>
      <c r="Q778" s="36"/>
      <c r="R778" s="36"/>
      <c r="S778" s="36"/>
    </row>
    <row r="779">
      <c r="O779" s="36"/>
      <c r="P779" s="36"/>
      <c r="Q779" s="36"/>
      <c r="R779" s="36"/>
      <c r="S779" s="36"/>
    </row>
    <row r="780">
      <c r="O780" s="36"/>
      <c r="P780" s="36"/>
      <c r="Q780" s="36"/>
      <c r="R780" s="36"/>
      <c r="S780" s="36"/>
    </row>
    <row r="781">
      <c r="O781" s="36"/>
      <c r="P781" s="36"/>
      <c r="Q781" s="36"/>
      <c r="R781" s="36"/>
      <c r="S781" s="36"/>
    </row>
    <row r="782">
      <c r="O782" s="36"/>
      <c r="P782" s="36"/>
      <c r="Q782" s="36"/>
      <c r="R782" s="36"/>
      <c r="S782" s="36"/>
    </row>
    <row r="783">
      <c r="O783" s="36"/>
      <c r="P783" s="36"/>
      <c r="Q783" s="36"/>
      <c r="R783" s="36"/>
      <c r="S783" s="36"/>
    </row>
    <row r="784">
      <c r="O784" s="36"/>
      <c r="P784" s="36"/>
      <c r="Q784" s="36"/>
      <c r="R784" s="36"/>
      <c r="S784" s="36"/>
    </row>
    <row r="785">
      <c r="O785" s="36"/>
      <c r="P785" s="36"/>
      <c r="Q785" s="36"/>
      <c r="R785" s="36"/>
      <c r="S785" s="36"/>
    </row>
    <row r="786">
      <c r="O786" s="36"/>
      <c r="P786" s="36"/>
      <c r="Q786" s="36"/>
      <c r="R786" s="36"/>
      <c r="S786" s="36"/>
    </row>
    <row r="787">
      <c r="O787" s="36"/>
      <c r="P787" s="36"/>
      <c r="Q787" s="36"/>
      <c r="R787" s="36"/>
      <c r="S787" s="36"/>
    </row>
    <row r="788">
      <c r="O788" s="36"/>
      <c r="P788" s="36"/>
      <c r="Q788" s="36"/>
      <c r="R788" s="36"/>
      <c r="S788" s="36"/>
    </row>
    <row r="789">
      <c r="O789" s="36"/>
      <c r="P789" s="36"/>
      <c r="Q789" s="36"/>
      <c r="R789" s="36"/>
      <c r="S789" s="36"/>
    </row>
    <row r="790">
      <c r="O790" s="36"/>
      <c r="P790" s="36"/>
      <c r="Q790" s="36"/>
      <c r="R790" s="36"/>
      <c r="S790" s="36"/>
    </row>
    <row r="791">
      <c r="O791" s="36"/>
      <c r="P791" s="36"/>
      <c r="Q791" s="36"/>
      <c r="R791" s="36"/>
      <c r="S791" s="36"/>
    </row>
    <row r="792">
      <c r="O792" s="36"/>
      <c r="P792" s="36"/>
      <c r="Q792" s="36"/>
      <c r="R792" s="36"/>
      <c r="S792" s="36"/>
    </row>
    <row r="793">
      <c r="O793" s="36"/>
      <c r="P793" s="36"/>
      <c r="Q793" s="36"/>
      <c r="R793" s="36"/>
      <c r="S793" s="36"/>
    </row>
    <row r="794">
      <c r="O794" s="36"/>
      <c r="P794" s="36"/>
      <c r="Q794" s="36"/>
      <c r="R794" s="36"/>
      <c r="S794" s="36"/>
    </row>
    <row r="795">
      <c r="O795" s="36"/>
      <c r="P795" s="36"/>
      <c r="Q795" s="36"/>
      <c r="R795" s="36"/>
      <c r="S795" s="36"/>
    </row>
    <row r="796">
      <c r="O796" s="36"/>
      <c r="P796" s="36"/>
      <c r="Q796" s="36"/>
      <c r="R796" s="36"/>
      <c r="S796" s="36"/>
    </row>
    <row r="797">
      <c r="O797" s="36"/>
      <c r="P797" s="36"/>
      <c r="Q797" s="36"/>
      <c r="R797" s="36"/>
      <c r="S797" s="36"/>
    </row>
    <row r="798">
      <c r="O798" s="36"/>
      <c r="P798" s="36"/>
      <c r="Q798" s="36"/>
      <c r="R798" s="36"/>
      <c r="S798" s="36"/>
    </row>
    <row r="799">
      <c r="O799" s="36"/>
      <c r="P799" s="36"/>
      <c r="Q799" s="36"/>
      <c r="R799" s="36"/>
      <c r="S799" s="36"/>
    </row>
    <row r="800">
      <c r="O800" s="36"/>
      <c r="P800" s="36"/>
      <c r="Q800" s="36"/>
      <c r="R800" s="36"/>
      <c r="S800" s="36"/>
    </row>
    <row r="801">
      <c r="O801" s="36"/>
      <c r="P801" s="36"/>
      <c r="Q801" s="36"/>
      <c r="R801" s="36"/>
      <c r="S801" s="36"/>
    </row>
    <row r="802">
      <c r="O802" s="36"/>
      <c r="P802" s="36"/>
      <c r="Q802" s="36"/>
      <c r="R802" s="36"/>
      <c r="S802" s="36"/>
    </row>
    <row r="803">
      <c r="O803" s="36"/>
      <c r="P803" s="36"/>
      <c r="Q803" s="36"/>
      <c r="R803" s="36"/>
      <c r="S803" s="36"/>
    </row>
    <row r="804">
      <c r="O804" s="36"/>
      <c r="P804" s="36"/>
      <c r="Q804" s="36"/>
      <c r="R804" s="36"/>
      <c r="S804" s="36"/>
    </row>
    <row r="805">
      <c r="O805" s="36"/>
      <c r="P805" s="36"/>
      <c r="Q805" s="36"/>
      <c r="R805" s="36"/>
      <c r="S805" s="36"/>
    </row>
    <row r="806">
      <c r="O806" s="36"/>
      <c r="P806" s="36"/>
      <c r="Q806" s="36"/>
      <c r="R806" s="36"/>
      <c r="S806" s="36"/>
    </row>
    <row r="807">
      <c r="O807" s="36"/>
      <c r="P807" s="36"/>
      <c r="Q807" s="36"/>
      <c r="R807" s="36"/>
      <c r="S807" s="36"/>
    </row>
    <row r="808">
      <c r="O808" s="36"/>
      <c r="P808" s="36"/>
      <c r="Q808" s="36"/>
      <c r="R808" s="36"/>
      <c r="S808" s="36"/>
    </row>
    <row r="809">
      <c r="O809" s="36"/>
      <c r="P809" s="36"/>
      <c r="Q809" s="36"/>
      <c r="R809" s="36"/>
      <c r="S809" s="36"/>
    </row>
    <row r="810">
      <c r="O810" s="36"/>
      <c r="P810" s="36"/>
      <c r="Q810" s="36"/>
      <c r="R810" s="36"/>
      <c r="S810" s="36"/>
    </row>
    <row r="811">
      <c r="O811" s="36"/>
      <c r="P811" s="36"/>
      <c r="Q811" s="36"/>
      <c r="R811" s="36"/>
      <c r="S811" s="36"/>
    </row>
    <row r="812">
      <c r="O812" s="36"/>
      <c r="P812" s="36"/>
      <c r="Q812" s="36"/>
      <c r="R812" s="36"/>
      <c r="S812" s="36"/>
    </row>
    <row r="813">
      <c r="O813" s="36"/>
      <c r="P813" s="36"/>
      <c r="Q813" s="36"/>
      <c r="R813" s="36"/>
      <c r="S813" s="36"/>
    </row>
    <row r="814">
      <c r="O814" s="36"/>
      <c r="P814" s="36"/>
      <c r="Q814" s="36"/>
      <c r="R814" s="36"/>
      <c r="S814" s="36"/>
    </row>
    <row r="815">
      <c r="O815" s="36"/>
      <c r="P815" s="36"/>
      <c r="Q815" s="36"/>
      <c r="R815" s="36"/>
      <c r="S815" s="36"/>
    </row>
    <row r="816">
      <c r="O816" s="36"/>
      <c r="P816" s="36"/>
      <c r="Q816" s="36"/>
      <c r="R816" s="36"/>
      <c r="S816" s="36"/>
    </row>
    <row r="817">
      <c r="O817" s="36"/>
      <c r="P817" s="36"/>
      <c r="Q817" s="36"/>
      <c r="R817" s="36"/>
      <c r="S817" s="36"/>
    </row>
    <row r="818">
      <c r="O818" s="36"/>
      <c r="P818" s="36"/>
      <c r="Q818" s="36"/>
      <c r="R818" s="36"/>
      <c r="S818" s="36"/>
    </row>
    <row r="819">
      <c r="O819" s="36"/>
      <c r="P819" s="36"/>
      <c r="Q819" s="36"/>
      <c r="R819" s="36"/>
      <c r="S819" s="36"/>
    </row>
    <row r="820">
      <c r="O820" s="36"/>
      <c r="P820" s="36"/>
      <c r="Q820" s="36"/>
      <c r="R820" s="36"/>
      <c r="S820" s="36"/>
    </row>
    <row r="821">
      <c r="O821" s="36"/>
      <c r="P821" s="36"/>
      <c r="Q821" s="36"/>
      <c r="R821" s="36"/>
      <c r="S821" s="36"/>
    </row>
    <row r="822">
      <c r="O822" s="36"/>
      <c r="P822" s="36"/>
      <c r="Q822" s="36"/>
      <c r="R822" s="36"/>
      <c r="S822" s="36"/>
    </row>
    <row r="823">
      <c r="O823" s="36"/>
      <c r="P823" s="36"/>
      <c r="Q823" s="36"/>
      <c r="R823" s="36"/>
      <c r="S823" s="36"/>
    </row>
    <row r="824">
      <c r="O824" s="36"/>
      <c r="P824" s="36"/>
      <c r="Q824" s="36"/>
      <c r="R824" s="36"/>
      <c r="S824" s="36"/>
    </row>
    <row r="825">
      <c r="O825" s="36"/>
      <c r="P825" s="36"/>
      <c r="Q825" s="36"/>
      <c r="R825" s="36"/>
      <c r="S825" s="36"/>
    </row>
    <row r="826">
      <c r="O826" s="36"/>
      <c r="P826" s="36"/>
      <c r="Q826" s="36"/>
      <c r="R826" s="36"/>
      <c r="S826" s="36"/>
    </row>
    <row r="827">
      <c r="O827" s="36"/>
      <c r="P827" s="36"/>
      <c r="Q827" s="36"/>
      <c r="R827" s="36"/>
      <c r="S827" s="36"/>
    </row>
    <row r="828">
      <c r="O828" s="36"/>
      <c r="P828" s="36"/>
      <c r="Q828" s="36"/>
      <c r="R828" s="36"/>
      <c r="S828" s="36"/>
    </row>
    <row r="829">
      <c r="O829" s="36"/>
      <c r="P829" s="36"/>
      <c r="Q829" s="36"/>
      <c r="R829" s="36"/>
      <c r="S829" s="36"/>
    </row>
    <row r="830">
      <c r="O830" s="36"/>
      <c r="P830" s="36"/>
      <c r="Q830" s="36"/>
      <c r="R830" s="36"/>
      <c r="S830" s="36"/>
    </row>
    <row r="831">
      <c r="O831" s="36"/>
      <c r="P831" s="36"/>
      <c r="Q831" s="36"/>
      <c r="R831" s="36"/>
      <c r="S831" s="36"/>
    </row>
    <row r="832">
      <c r="O832" s="36"/>
      <c r="P832" s="36"/>
      <c r="Q832" s="36"/>
      <c r="R832" s="36"/>
      <c r="S832" s="36"/>
    </row>
    <row r="833">
      <c r="O833" s="36"/>
      <c r="P833" s="36"/>
      <c r="Q833" s="36"/>
      <c r="R833" s="36"/>
      <c r="S833" s="36"/>
    </row>
    <row r="834">
      <c r="O834" s="36"/>
      <c r="P834" s="36"/>
      <c r="Q834" s="36"/>
      <c r="R834" s="36"/>
      <c r="S834" s="36"/>
    </row>
    <row r="835">
      <c r="O835" s="36"/>
      <c r="P835" s="36"/>
      <c r="Q835" s="36"/>
      <c r="R835" s="36"/>
      <c r="S835" s="36"/>
    </row>
    <row r="836">
      <c r="O836" s="36"/>
      <c r="P836" s="36"/>
      <c r="Q836" s="36"/>
      <c r="R836" s="36"/>
      <c r="S836" s="36"/>
    </row>
    <row r="837">
      <c r="O837" s="36"/>
      <c r="P837" s="36"/>
      <c r="Q837" s="36"/>
      <c r="R837" s="36"/>
      <c r="S837" s="36"/>
    </row>
    <row r="838">
      <c r="O838" s="36"/>
      <c r="P838" s="36"/>
      <c r="Q838" s="36"/>
      <c r="R838" s="36"/>
      <c r="S838" s="36"/>
    </row>
    <row r="839">
      <c r="O839" s="36"/>
      <c r="P839" s="36"/>
      <c r="Q839" s="36"/>
      <c r="R839" s="36"/>
      <c r="S839" s="36"/>
    </row>
    <row r="840">
      <c r="O840" s="36"/>
      <c r="P840" s="36"/>
      <c r="Q840" s="36"/>
      <c r="R840" s="36"/>
      <c r="S840" s="36"/>
    </row>
    <row r="841">
      <c r="O841" s="36"/>
      <c r="P841" s="36"/>
      <c r="Q841" s="36"/>
      <c r="R841" s="36"/>
      <c r="S841" s="36"/>
    </row>
    <row r="842">
      <c r="O842" s="36"/>
      <c r="P842" s="36"/>
      <c r="Q842" s="36"/>
      <c r="R842" s="36"/>
      <c r="S842" s="36"/>
    </row>
    <row r="843">
      <c r="O843" s="36"/>
      <c r="P843" s="36"/>
      <c r="Q843" s="36"/>
      <c r="R843" s="36"/>
      <c r="S843" s="36"/>
    </row>
    <row r="844">
      <c r="O844" s="36"/>
      <c r="P844" s="36"/>
      <c r="Q844" s="36"/>
      <c r="R844" s="36"/>
      <c r="S844" s="36"/>
    </row>
    <row r="845">
      <c r="O845" s="36"/>
      <c r="P845" s="36"/>
      <c r="Q845" s="36"/>
      <c r="R845" s="36"/>
      <c r="S845" s="36"/>
    </row>
    <row r="846">
      <c r="O846" s="36"/>
      <c r="P846" s="36"/>
      <c r="Q846" s="36"/>
      <c r="R846" s="36"/>
      <c r="S846" s="36"/>
    </row>
    <row r="847">
      <c r="O847" s="36"/>
      <c r="P847" s="36"/>
      <c r="Q847" s="36"/>
      <c r="R847" s="36"/>
      <c r="S847" s="36"/>
    </row>
    <row r="848">
      <c r="O848" s="36"/>
      <c r="P848" s="36"/>
      <c r="Q848" s="36"/>
      <c r="R848" s="36"/>
      <c r="S848" s="36"/>
    </row>
    <row r="849">
      <c r="O849" s="36"/>
      <c r="P849" s="36"/>
      <c r="Q849" s="36"/>
      <c r="R849" s="36"/>
      <c r="S849" s="36"/>
    </row>
    <row r="850">
      <c r="O850" s="36"/>
      <c r="P850" s="36"/>
      <c r="Q850" s="36"/>
      <c r="R850" s="36"/>
      <c r="S850" s="36"/>
    </row>
    <row r="851">
      <c r="O851" s="36"/>
      <c r="P851" s="36"/>
      <c r="Q851" s="36"/>
      <c r="R851" s="36"/>
      <c r="S851" s="36"/>
    </row>
    <row r="852">
      <c r="O852" s="36"/>
      <c r="P852" s="36"/>
      <c r="Q852" s="36"/>
      <c r="R852" s="36"/>
      <c r="S852" s="36"/>
    </row>
    <row r="853">
      <c r="O853" s="36"/>
      <c r="P853" s="36"/>
      <c r="Q853" s="36"/>
      <c r="R853" s="36"/>
      <c r="S853" s="36"/>
    </row>
    <row r="854">
      <c r="O854" s="36"/>
      <c r="P854" s="36"/>
      <c r="Q854" s="36"/>
      <c r="R854" s="36"/>
      <c r="S854" s="36"/>
    </row>
    <row r="855">
      <c r="O855" s="36"/>
      <c r="P855" s="36"/>
      <c r="Q855" s="36"/>
      <c r="R855" s="36"/>
      <c r="S855" s="36"/>
    </row>
    <row r="856">
      <c r="O856" s="36"/>
      <c r="P856" s="36"/>
      <c r="Q856" s="36"/>
      <c r="R856" s="36"/>
      <c r="S856" s="36"/>
    </row>
    <row r="857">
      <c r="O857" s="36"/>
      <c r="P857" s="36"/>
      <c r="Q857" s="36"/>
      <c r="R857" s="36"/>
      <c r="S857" s="36"/>
    </row>
    <row r="858">
      <c r="O858" s="36"/>
      <c r="P858" s="36"/>
      <c r="Q858" s="36"/>
      <c r="R858" s="36"/>
      <c r="S858" s="36"/>
    </row>
    <row r="859">
      <c r="O859" s="36"/>
      <c r="P859" s="36"/>
      <c r="Q859" s="36"/>
      <c r="R859" s="36"/>
      <c r="S859" s="36"/>
    </row>
    <row r="860">
      <c r="O860" s="36"/>
      <c r="P860" s="36"/>
      <c r="Q860" s="36"/>
      <c r="R860" s="36"/>
      <c r="S860" s="36"/>
    </row>
    <row r="861">
      <c r="O861" s="36"/>
      <c r="P861" s="36"/>
      <c r="Q861" s="36"/>
      <c r="R861" s="36"/>
      <c r="S861" s="36"/>
    </row>
    <row r="862">
      <c r="O862" s="36"/>
      <c r="P862" s="36"/>
      <c r="Q862" s="36"/>
      <c r="R862" s="36"/>
      <c r="S862" s="36"/>
    </row>
    <row r="863">
      <c r="O863" s="36"/>
      <c r="P863" s="36"/>
      <c r="Q863" s="36"/>
      <c r="R863" s="36"/>
      <c r="S863" s="36"/>
    </row>
    <row r="864">
      <c r="O864" s="36"/>
      <c r="P864" s="36"/>
      <c r="Q864" s="36"/>
      <c r="R864" s="36"/>
      <c r="S864" s="36"/>
    </row>
    <row r="865">
      <c r="O865" s="36"/>
      <c r="P865" s="36"/>
      <c r="Q865" s="36"/>
      <c r="R865" s="36"/>
      <c r="S865" s="36"/>
    </row>
    <row r="866">
      <c r="O866" s="36"/>
      <c r="P866" s="36"/>
      <c r="Q866" s="36"/>
      <c r="R866" s="36"/>
      <c r="S866" s="36"/>
    </row>
    <row r="867">
      <c r="O867" s="36"/>
      <c r="P867" s="36"/>
      <c r="Q867" s="36"/>
      <c r="R867" s="36"/>
      <c r="S867" s="36"/>
    </row>
    <row r="868">
      <c r="O868" s="36"/>
      <c r="P868" s="36"/>
      <c r="Q868" s="36"/>
      <c r="R868" s="36"/>
      <c r="S868" s="36"/>
    </row>
    <row r="869">
      <c r="O869" s="36"/>
      <c r="P869" s="36"/>
      <c r="Q869" s="36"/>
      <c r="R869" s="36"/>
      <c r="S869" s="36"/>
    </row>
    <row r="870">
      <c r="O870" s="36"/>
      <c r="P870" s="36"/>
      <c r="Q870" s="36"/>
      <c r="R870" s="36"/>
      <c r="S870" s="36"/>
    </row>
    <row r="871">
      <c r="O871" s="36"/>
      <c r="P871" s="36"/>
      <c r="Q871" s="36"/>
      <c r="R871" s="36"/>
      <c r="S871" s="36"/>
    </row>
    <row r="872">
      <c r="O872" s="36"/>
      <c r="P872" s="36"/>
      <c r="Q872" s="36"/>
      <c r="R872" s="36"/>
      <c r="S872" s="36"/>
    </row>
    <row r="873">
      <c r="O873" s="36"/>
      <c r="P873" s="36"/>
      <c r="Q873" s="36"/>
      <c r="R873" s="36"/>
      <c r="S873" s="36"/>
    </row>
    <row r="874">
      <c r="O874" s="36"/>
      <c r="P874" s="36"/>
      <c r="Q874" s="36"/>
      <c r="R874" s="36"/>
      <c r="S874" s="36"/>
    </row>
    <row r="875">
      <c r="O875" s="36"/>
      <c r="P875" s="36"/>
      <c r="Q875" s="36"/>
      <c r="R875" s="36"/>
      <c r="S875" s="36"/>
    </row>
    <row r="876">
      <c r="O876" s="36"/>
      <c r="P876" s="36"/>
      <c r="Q876" s="36"/>
      <c r="R876" s="36"/>
      <c r="S876" s="36"/>
    </row>
    <row r="877">
      <c r="O877" s="36"/>
      <c r="P877" s="36"/>
      <c r="Q877" s="36"/>
      <c r="R877" s="36"/>
      <c r="S877" s="36"/>
    </row>
    <row r="878">
      <c r="O878" s="36"/>
      <c r="P878" s="36"/>
      <c r="Q878" s="36"/>
      <c r="R878" s="36"/>
      <c r="S878" s="36"/>
    </row>
    <row r="879">
      <c r="O879" s="36"/>
      <c r="P879" s="36"/>
      <c r="Q879" s="36"/>
      <c r="R879" s="36"/>
      <c r="S879" s="36"/>
    </row>
    <row r="880">
      <c r="O880" s="36"/>
      <c r="P880" s="36"/>
      <c r="Q880" s="36"/>
      <c r="R880" s="36"/>
      <c r="S880" s="36"/>
    </row>
    <row r="881">
      <c r="O881" s="36"/>
      <c r="P881" s="36"/>
      <c r="Q881" s="36"/>
      <c r="R881" s="36"/>
      <c r="S881" s="36"/>
    </row>
    <row r="882">
      <c r="O882" s="36"/>
      <c r="P882" s="36"/>
      <c r="Q882" s="36"/>
      <c r="R882" s="36"/>
      <c r="S882" s="36"/>
    </row>
    <row r="883">
      <c r="O883" s="36"/>
      <c r="P883" s="36"/>
      <c r="Q883" s="36"/>
      <c r="R883" s="36"/>
      <c r="S883" s="36"/>
    </row>
    <row r="884">
      <c r="O884" s="36"/>
      <c r="P884" s="36"/>
      <c r="Q884" s="36"/>
      <c r="R884" s="36"/>
      <c r="S884" s="36"/>
    </row>
    <row r="885">
      <c r="O885" s="36"/>
      <c r="P885" s="36"/>
      <c r="Q885" s="36"/>
      <c r="R885" s="36"/>
      <c r="S885" s="36"/>
    </row>
    <row r="886">
      <c r="O886" s="36"/>
      <c r="P886" s="36"/>
      <c r="Q886" s="36"/>
      <c r="R886" s="36"/>
      <c r="S886" s="36"/>
    </row>
    <row r="887">
      <c r="O887" s="36"/>
      <c r="P887" s="36"/>
      <c r="Q887" s="36"/>
      <c r="R887" s="36"/>
      <c r="S887" s="36"/>
    </row>
    <row r="888">
      <c r="O888" s="36"/>
      <c r="P888" s="36"/>
      <c r="Q888" s="36"/>
      <c r="R888" s="36"/>
      <c r="S888" s="36"/>
    </row>
    <row r="889">
      <c r="O889" s="36"/>
      <c r="P889" s="36"/>
      <c r="Q889" s="36"/>
      <c r="R889" s="36"/>
      <c r="S889" s="36"/>
    </row>
    <row r="890">
      <c r="O890" s="36"/>
      <c r="P890" s="36"/>
      <c r="Q890" s="36"/>
      <c r="R890" s="36"/>
      <c r="S890" s="36"/>
    </row>
    <row r="891">
      <c r="O891" s="36"/>
      <c r="P891" s="36"/>
      <c r="Q891" s="36"/>
      <c r="R891" s="36"/>
      <c r="S891" s="36"/>
    </row>
    <row r="892">
      <c r="O892" s="36"/>
      <c r="P892" s="36"/>
      <c r="Q892" s="36"/>
      <c r="R892" s="36"/>
      <c r="S892" s="36"/>
    </row>
    <row r="893">
      <c r="O893" s="36"/>
      <c r="P893" s="36"/>
      <c r="Q893" s="36"/>
      <c r="R893" s="36"/>
      <c r="S893" s="36"/>
    </row>
    <row r="894">
      <c r="O894" s="36"/>
      <c r="P894" s="36"/>
      <c r="Q894" s="36"/>
      <c r="R894" s="36"/>
      <c r="S894" s="36"/>
    </row>
    <row r="895">
      <c r="O895" s="36"/>
      <c r="P895" s="36"/>
      <c r="Q895" s="36"/>
      <c r="R895" s="36"/>
      <c r="S895" s="36"/>
    </row>
    <row r="896">
      <c r="O896" s="36"/>
      <c r="P896" s="36"/>
      <c r="Q896" s="36"/>
      <c r="R896" s="36"/>
      <c r="S896" s="36"/>
    </row>
    <row r="897">
      <c r="O897" s="36"/>
      <c r="P897" s="36"/>
      <c r="Q897" s="36"/>
      <c r="R897" s="36"/>
      <c r="S897" s="36"/>
    </row>
    <row r="898">
      <c r="O898" s="36"/>
      <c r="P898" s="36"/>
      <c r="Q898" s="36"/>
      <c r="R898" s="36"/>
      <c r="S898" s="36"/>
    </row>
    <row r="899">
      <c r="O899" s="36"/>
      <c r="P899" s="36"/>
      <c r="Q899" s="36"/>
      <c r="R899" s="36"/>
      <c r="S899" s="36"/>
    </row>
    <row r="900">
      <c r="O900" s="36"/>
      <c r="P900" s="36"/>
      <c r="Q900" s="36"/>
      <c r="R900" s="36"/>
      <c r="S900" s="36"/>
    </row>
    <row r="901">
      <c r="O901" s="36"/>
      <c r="P901" s="36"/>
      <c r="Q901" s="36"/>
      <c r="R901" s="36"/>
      <c r="S901" s="36"/>
    </row>
    <row r="902">
      <c r="O902" s="36"/>
      <c r="P902" s="36"/>
      <c r="Q902" s="36"/>
      <c r="R902" s="36"/>
      <c r="S902" s="36"/>
    </row>
    <row r="903">
      <c r="O903" s="36"/>
      <c r="P903" s="36"/>
      <c r="Q903" s="36"/>
      <c r="R903" s="36"/>
      <c r="S903" s="36"/>
    </row>
    <row r="904">
      <c r="O904" s="36"/>
      <c r="P904" s="36"/>
      <c r="Q904" s="36"/>
      <c r="R904" s="36"/>
      <c r="S904" s="36"/>
    </row>
    <row r="905">
      <c r="O905" s="36"/>
      <c r="P905" s="36"/>
      <c r="Q905" s="36"/>
      <c r="R905" s="36"/>
      <c r="S905" s="36"/>
    </row>
    <row r="906">
      <c r="O906" s="36"/>
      <c r="P906" s="36"/>
      <c r="Q906" s="36"/>
      <c r="R906" s="36"/>
      <c r="S906" s="36"/>
    </row>
    <row r="907">
      <c r="O907" s="36"/>
      <c r="P907" s="36"/>
      <c r="Q907" s="36"/>
      <c r="R907" s="36"/>
      <c r="S907" s="36"/>
    </row>
    <row r="908">
      <c r="O908" s="36"/>
      <c r="P908" s="36"/>
      <c r="Q908" s="36"/>
      <c r="R908" s="36"/>
      <c r="S908" s="36"/>
    </row>
    <row r="909">
      <c r="O909" s="36"/>
      <c r="P909" s="36"/>
      <c r="Q909" s="36"/>
      <c r="R909" s="36"/>
      <c r="S909" s="36"/>
    </row>
    <row r="910">
      <c r="O910" s="36"/>
      <c r="P910" s="36"/>
      <c r="Q910" s="36"/>
      <c r="R910" s="36"/>
      <c r="S910" s="36"/>
    </row>
    <row r="911">
      <c r="O911" s="36"/>
      <c r="P911" s="36"/>
      <c r="Q911" s="36"/>
      <c r="R911" s="36"/>
      <c r="S911" s="36"/>
    </row>
    <row r="912">
      <c r="O912" s="36"/>
      <c r="P912" s="36"/>
      <c r="Q912" s="36"/>
      <c r="R912" s="36"/>
      <c r="S912" s="36"/>
    </row>
    <row r="913">
      <c r="O913" s="36"/>
      <c r="P913" s="36"/>
      <c r="Q913" s="36"/>
      <c r="R913" s="36"/>
      <c r="S913" s="36"/>
    </row>
    <row r="914">
      <c r="O914" s="36"/>
      <c r="P914" s="36"/>
      <c r="Q914" s="36"/>
      <c r="R914" s="36"/>
      <c r="S914" s="36"/>
    </row>
    <row r="915">
      <c r="O915" s="36"/>
      <c r="P915" s="36"/>
      <c r="Q915" s="36"/>
      <c r="R915" s="36"/>
      <c r="S915" s="36"/>
    </row>
    <row r="916">
      <c r="O916" s="36"/>
      <c r="P916" s="36"/>
      <c r="Q916" s="36"/>
      <c r="R916" s="36"/>
      <c r="S916" s="36"/>
    </row>
    <row r="917">
      <c r="O917" s="36"/>
      <c r="P917" s="36"/>
      <c r="Q917" s="36"/>
      <c r="R917" s="36"/>
      <c r="S917" s="36"/>
    </row>
    <row r="918">
      <c r="O918" s="36"/>
      <c r="P918" s="36"/>
      <c r="Q918" s="36"/>
      <c r="R918" s="36"/>
      <c r="S918" s="36"/>
    </row>
    <row r="919">
      <c r="O919" s="36"/>
      <c r="P919" s="36"/>
      <c r="Q919" s="36"/>
      <c r="R919" s="36"/>
      <c r="S919" s="36"/>
    </row>
    <row r="920">
      <c r="O920" s="36"/>
      <c r="P920" s="36"/>
      <c r="Q920" s="36"/>
      <c r="R920" s="36"/>
      <c r="S920" s="36"/>
    </row>
    <row r="921">
      <c r="O921" s="36"/>
      <c r="P921" s="36"/>
      <c r="Q921" s="36"/>
      <c r="R921" s="36"/>
      <c r="S921" s="36"/>
    </row>
    <row r="922">
      <c r="O922" s="36"/>
      <c r="P922" s="36"/>
      <c r="Q922" s="36"/>
      <c r="R922" s="36"/>
      <c r="S922" s="36"/>
    </row>
    <row r="923">
      <c r="O923" s="36"/>
      <c r="P923" s="36"/>
      <c r="Q923" s="36"/>
      <c r="R923" s="36"/>
      <c r="S923" s="36"/>
    </row>
    <row r="924">
      <c r="O924" s="36"/>
      <c r="P924" s="36"/>
      <c r="Q924" s="36"/>
      <c r="R924" s="36"/>
      <c r="S924" s="36"/>
    </row>
    <row r="925">
      <c r="O925" s="36"/>
      <c r="P925" s="36"/>
      <c r="Q925" s="36"/>
      <c r="R925" s="36"/>
      <c r="S925" s="36"/>
    </row>
    <row r="926">
      <c r="O926" s="36"/>
      <c r="P926" s="36"/>
      <c r="Q926" s="36"/>
      <c r="R926" s="36"/>
      <c r="S926" s="36"/>
    </row>
    <row r="927">
      <c r="O927" s="36"/>
      <c r="P927" s="36"/>
      <c r="Q927" s="36"/>
      <c r="R927" s="36"/>
      <c r="S927" s="36"/>
    </row>
    <row r="928">
      <c r="O928" s="36"/>
      <c r="P928" s="36"/>
      <c r="Q928" s="36"/>
      <c r="R928" s="36"/>
      <c r="S928" s="36"/>
    </row>
    <row r="929">
      <c r="O929" s="36"/>
      <c r="P929" s="36"/>
      <c r="Q929" s="36"/>
      <c r="R929" s="36"/>
      <c r="S929" s="36"/>
    </row>
    <row r="930">
      <c r="O930" s="36"/>
      <c r="P930" s="36"/>
      <c r="Q930" s="36"/>
      <c r="R930" s="36"/>
      <c r="S930" s="36"/>
    </row>
    <row r="931">
      <c r="O931" s="36"/>
      <c r="P931" s="36"/>
      <c r="Q931" s="36"/>
      <c r="R931" s="36"/>
      <c r="S931" s="36"/>
    </row>
    <row r="932">
      <c r="O932" s="36"/>
      <c r="P932" s="36"/>
      <c r="Q932" s="36"/>
      <c r="R932" s="36"/>
      <c r="S932" s="36"/>
    </row>
    <row r="933">
      <c r="O933" s="36"/>
      <c r="P933" s="36"/>
      <c r="Q933" s="36"/>
      <c r="R933" s="36"/>
      <c r="S933" s="36"/>
    </row>
    <row r="934">
      <c r="O934" s="36"/>
      <c r="P934" s="36"/>
      <c r="Q934" s="36"/>
      <c r="R934" s="36"/>
      <c r="S934" s="36"/>
    </row>
    <row r="935">
      <c r="O935" s="36"/>
      <c r="P935" s="36"/>
      <c r="Q935" s="36"/>
      <c r="R935" s="36"/>
      <c r="S935" s="36"/>
    </row>
    <row r="936">
      <c r="O936" s="36"/>
      <c r="P936" s="36"/>
      <c r="Q936" s="36"/>
      <c r="R936" s="36"/>
      <c r="S936" s="36"/>
    </row>
    <row r="937">
      <c r="O937" s="36"/>
      <c r="P937" s="36"/>
      <c r="Q937" s="36"/>
      <c r="R937" s="36"/>
      <c r="S937" s="36"/>
    </row>
    <row r="938">
      <c r="O938" s="36"/>
      <c r="P938" s="36"/>
      <c r="Q938" s="36"/>
      <c r="R938" s="36"/>
      <c r="S938" s="36"/>
    </row>
    <row r="939">
      <c r="O939" s="36"/>
      <c r="P939" s="36"/>
      <c r="Q939" s="36"/>
      <c r="R939" s="36"/>
      <c r="S939" s="36"/>
    </row>
    <row r="940">
      <c r="O940" s="36"/>
      <c r="P940" s="36"/>
      <c r="Q940" s="36"/>
      <c r="R940" s="36"/>
      <c r="S940" s="36"/>
    </row>
    <row r="941">
      <c r="O941" s="36"/>
      <c r="P941" s="36"/>
      <c r="Q941" s="36"/>
      <c r="R941" s="36"/>
      <c r="S941" s="36"/>
    </row>
    <row r="942">
      <c r="O942" s="36"/>
      <c r="P942" s="36"/>
      <c r="Q942" s="36"/>
      <c r="R942" s="36"/>
      <c r="S942" s="36"/>
    </row>
    <row r="943">
      <c r="O943" s="36"/>
      <c r="P943" s="36"/>
      <c r="Q943" s="36"/>
      <c r="R943" s="36"/>
      <c r="S943" s="36"/>
    </row>
    <row r="944">
      <c r="O944" s="36"/>
      <c r="P944" s="36"/>
      <c r="Q944" s="36"/>
      <c r="R944" s="36"/>
      <c r="S944" s="36"/>
    </row>
    <row r="945">
      <c r="O945" s="36"/>
      <c r="P945" s="36"/>
      <c r="Q945" s="36"/>
      <c r="R945" s="36"/>
      <c r="S945" s="36"/>
    </row>
    <row r="946">
      <c r="O946" s="36"/>
      <c r="P946" s="36"/>
      <c r="Q946" s="36"/>
      <c r="R946" s="36"/>
      <c r="S946" s="36"/>
    </row>
    <row r="947">
      <c r="O947" s="36"/>
      <c r="P947" s="36"/>
      <c r="Q947" s="36"/>
      <c r="R947" s="36"/>
      <c r="S947" s="36"/>
    </row>
    <row r="948">
      <c r="O948" s="36"/>
      <c r="P948" s="36"/>
      <c r="Q948" s="36"/>
      <c r="R948" s="36"/>
      <c r="S948" s="36"/>
    </row>
    <row r="949">
      <c r="O949" s="36"/>
      <c r="P949" s="36"/>
      <c r="Q949" s="36"/>
      <c r="R949" s="36"/>
      <c r="S949" s="36"/>
    </row>
    <row r="950">
      <c r="O950" s="36"/>
      <c r="P950" s="36"/>
      <c r="Q950" s="36"/>
      <c r="R950" s="36"/>
      <c r="S950" s="36"/>
    </row>
    <row r="951">
      <c r="O951" s="36"/>
      <c r="P951" s="36"/>
      <c r="Q951" s="36"/>
      <c r="R951" s="36"/>
      <c r="S951" s="36"/>
    </row>
    <row r="952">
      <c r="O952" s="36"/>
      <c r="P952" s="36"/>
      <c r="Q952" s="36"/>
      <c r="R952" s="36"/>
      <c r="S952" s="36"/>
    </row>
    <row r="953">
      <c r="O953" s="36"/>
      <c r="P953" s="36"/>
      <c r="Q953" s="36"/>
      <c r="R953" s="36"/>
      <c r="S953" s="36"/>
    </row>
    <row r="954">
      <c r="O954" s="36"/>
      <c r="P954" s="36"/>
      <c r="Q954" s="36"/>
      <c r="R954" s="36"/>
      <c r="S954" s="36"/>
    </row>
    <row r="955">
      <c r="O955" s="36"/>
      <c r="P955" s="36"/>
      <c r="Q955" s="36"/>
      <c r="R955" s="36"/>
      <c r="S955" s="36"/>
    </row>
    <row r="956">
      <c r="O956" s="36"/>
      <c r="P956" s="36"/>
      <c r="Q956" s="36"/>
      <c r="R956" s="36"/>
      <c r="S956" s="36"/>
    </row>
    <row r="957">
      <c r="O957" s="36"/>
      <c r="P957" s="36"/>
      <c r="Q957" s="36"/>
      <c r="R957" s="36"/>
      <c r="S957" s="36"/>
    </row>
    <row r="958">
      <c r="O958" s="36"/>
      <c r="P958" s="36"/>
      <c r="Q958" s="36"/>
      <c r="R958" s="36"/>
      <c r="S958" s="36"/>
    </row>
    <row r="959">
      <c r="O959" s="36"/>
      <c r="P959" s="36"/>
      <c r="Q959" s="36"/>
      <c r="R959" s="36"/>
      <c r="S959" s="36"/>
    </row>
    <row r="960">
      <c r="O960" s="36"/>
      <c r="P960" s="36"/>
      <c r="Q960" s="36"/>
      <c r="R960" s="36"/>
      <c r="S960" s="36"/>
    </row>
    <row r="961">
      <c r="O961" s="36"/>
      <c r="P961" s="36"/>
      <c r="Q961" s="36"/>
      <c r="R961" s="36"/>
      <c r="S961" s="36"/>
    </row>
    <row r="962">
      <c r="O962" s="36"/>
      <c r="P962" s="36"/>
      <c r="Q962" s="36"/>
      <c r="R962" s="36"/>
      <c r="S962" s="36"/>
    </row>
    <row r="963">
      <c r="O963" s="36"/>
      <c r="P963" s="36"/>
      <c r="Q963" s="36"/>
      <c r="R963" s="36"/>
      <c r="S963" s="36"/>
    </row>
    <row r="964">
      <c r="O964" s="36"/>
      <c r="P964" s="36"/>
      <c r="Q964" s="36"/>
      <c r="R964" s="36"/>
      <c r="S964" s="36"/>
    </row>
    <row r="965">
      <c r="O965" s="36"/>
      <c r="P965" s="36"/>
      <c r="Q965" s="36"/>
      <c r="R965" s="36"/>
      <c r="S965" s="36"/>
    </row>
    <row r="966">
      <c r="O966" s="36"/>
      <c r="P966" s="36"/>
      <c r="Q966" s="36"/>
      <c r="R966" s="36"/>
      <c r="S966" s="36"/>
    </row>
    <row r="967">
      <c r="O967" s="36"/>
      <c r="P967" s="36"/>
      <c r="Q967" s="36"/>
      <c r="R967" s="36"/>
      <c r="S967" s="36"/>
    </row>
    <row r="968">
      <c r="O968" s="36"/>
      <c r="P968" s="36"/>
      <c r="Q968" s="36"/>
      <c r="R968" s="36"/>
      <c r="S968" s="36"/>
    </row>
    <row r="969">
      <c r="O969" s="36"/>
      <c r="P969" s="36"/>
      <c r="Q969" s="36"/>
      <c r="R969" s="36"/>
      <c r="S969" s="36"/>
    </row>
    <row r="970">
      <c r="O970" s="36"/>
      <c r="P970" s="36"/>
      <c r="Q970" s="36"/>
      <c r="R970" s="36"/>
      <c r="S970" s="36"/>
    </row>
    <row r="971">
      <c r="O971" s="36"/>
      <c r="P971" s="36"/>
      <c r="Q971" s="36"/>
      <c r="R971" s="36"/>
      <c r="S971" s="36"/>
    </row>
    <row r="972">
      <c r="O972" s="36"/>
      <c r="P972" s="36"/>
      <c r="Q972" s="36"/>
      <c r="R972" s="36"/>
      <c r="S972" s="36"/>
    </row>
    <row r="973">
      <c r="O973" s="36"/>
      <c r="P973" s="36"/>
      <c r="Q973" s="36"/>
      <c r="R973" s="36"/>
      <c r="S973" s="36"/>
    </row>
    <row r="974">
      <c r="O974" s="36"/>
      <c r="P974" s="36"/>
      <c r="Q974" s="36"/>
      <c r="R974" s="36"/>
      <c r="S974" s="36"/>
    </row>
    <row r="975">
      <c r="O975" s="36"/>
      <c r="P975" s="36"/>
      <c r="Q975" s="36"/>
      <c r="R975" s="36"/>
      <c r="S975" s="36"/>
    </row>
    <row r="976">
      <c r="O976" s="36"/>
      <c r="P976" s="36"/>
      <c r="Q976" s="36"/>
      <c r="R976" s="36"/>
      <c r="S976" s="36"/>
    </row>
    <row r="977">
      <c r="O977" s="36"/>
      <c r="P977" s="36"/>
      <c r="Q977" s="36"/>
      <c r="R977" s="36"/>
      <c r="S977" s="36"/>
    </row>
    <row r="978">
      <c r="O978" s="36"/>
      <c r="P978" s="36"/>
      <c r="Q978" s="36"/>
      <c r="R978" s="36"/>
      <c r="S978" s="36"/>
    </row>
    <row r="979">
      <c r="O979" s="36"/>
      <c r="P979" s="36"/>
      <c r="Q979" s="36"/>
      <c r="R979" s="36"/>
      <c r="S979" s="36"/>
    </row>
    <row r="980">
      <c r="O980" s="36"/>
      <c r="P980" s="36"/>
      <c r="Q980" s="36"/>
      <c r="R980" s="36"/>
      <c r="S980" s="36"/>
    </row>
    <row r="981">
      <c r="O981" s="36"/>
      <c r="P981" s="36"/>
      <c r="Q981" s="36"/>
      <c r="R981" s="36"/>
      <c r="S981" s="36"/>
    </row>
    <row r="982">
      <c r="O982" s="36"/>
      <c r="P982" s="36"/>
      <c r="Q982" s="36"/>
      <c r="R982" s="36"/>
      <c r="S982" s="36"/>
    </row>
    <row r="983">
      <c r="O983" s="36"/>
      <c r="P983" s="36"/>
      <c r="Q983" s="36"/>
      <c r="R983" s="36"/>
      <c r="S983" s="36"/>
    </row>
    <row r="984">
      <c r="O984" s="36"/>
      <c r="P984" s="36"/>
      <c r="Q984" s="36"/>
      <c r="R984" s="36"/>
      <c r="S984" s="36"/>
    </row>
    <row r="985">
      <c r="O985" s="36"/>
      <c r="P985" s="36"/>
      <c r="Q985" s="36"/>
      <c r="R985" s="36"/>
      <c r="S985" s="36"/>
    </row>
    <row r="986">
      <c r="O986" s="36"/>
      <c r="P986" s="36"/>
      <c r="Q986" s="36"/>
      <c r="R986" s="36"/>
      <c r="S986" s="36"/>
    </row>
    <row r="987">
      <c r="O987" s="36"/>
      <c r="P987" s="36"/>
      <c r="Q987" s="36"/>
      <c r="R987" s="36"/>
      <c r="S987" s="36"/>
    </row>
    <row r="988">
      <c r="O988" s="36"/>
      <c r="P988" s="36"/>
      <c r="Q988" s="36"/>
      <c r="R988" s="36"/>
      <c r="S988" s="36"/>
    </row>
    <row r="989">
      <c r="O989" s="36"/>
      <c r="P989" s="36"/>
      <c r="Q989" s="36"/>
      <c r="R989" s="36"/>
      <c r="S989" s="36"/>
    </row>
    <row r="990">
      <c r="O990" s="36"/>
      <c r="P990" s="36"/>
      <c r="Q990" s="36"/>
      <c r="R990" s="36"/>
      <c r="S990" s="36"/>
    </row>
    <row r="991">
      <c r="O991" s="36"/>
      <c r="P991" s="36"/>
      <c r="Q991" s="36"/>
      <c r="R991" s="36"/>
      <c r="S991" s="36"/>
    </row>
    <row r="992">
      <c r="O992" s="36"/>
      <c r="P992" s="36"/>
      <c r="Q992" s="36"/>
      <c r="R992" s="36"/>
      <c r="S992" s="36"/>
    </row>
    <row r="993">
      <c r="O993" s="36"/>
      <c r="P993" s="36"/>
      <c r="Q993" s="36"/>
      <c r="R993" s="36"/>
      <c r="S993" s="36"/>
    </row>
    <row r="994">
      <c r="O994" s="36"/>
      <c r="P994" s="36"/>
      <c r="Q994" s="36"/>
      <c r="R994" s="36"/>
      <c r="S994" s="36"/>
    </row>
    <row r="995">
      <c r="O995" s="36"/>
      <c r="P995" s="36"/>
      <c r="Q995" s="36"/>
      <c r="R995" s="36"/>
      <c r="S995" s="36"/>
    </row>
    <row r="996">
      <c r="O996" s="36"/>
      <c r="P996" s="36"/>
      <c r="Q996" s="36"/>
      <c r="R996" s="36"/>
      <c r="S996" s="36"/>
    </row>
    <row r="997">
      <c r="O997" s="36"/>
      <c r="P997" s="36"/>
      <c r="Q997" s="36"/>
      <c r="R997" s="36"/>
      <c r="S997" s="36"/>
    </row>
    <row r="998">
      <c r="O998" s="36"/>
      <c r="P998" s="36"/>
      <c r="Q998" s="36"/>
      <c r="R998" s="36"/>
      <c r="S998" s="36"/>
    </row>
    <row r="999">
      <c r="O999" s="36"/>
      <c r="P999" s="36"/>
      <c r="Q999" s="36"/>
      <c r="R999" s="36"/>
      <c r="S999" s="36"/>
    </row>
    <row r="1000">
      <c r="O1000" s="36"/>
      <c r="P1000" s="36"/>
      <c r="Q1000" s="36"/>
      <c r="R1000" s="36"/>
      <c r="S1000" s="36"/>
    </row>
    <row r="1001">
      <c r="O1001" s="36"/>
      <c r="P1001" s="36"/>
      <c r="Q1001" s="36"/>
      <c r="R1001" s="36"/>
      <c r="S1001" s="36"/>
    </row>
  </sheetData>
  <mergeCells count="44">
    <mergeCell ref="I5:J5"/>
    <mergeCell ref="K5:L5"/>
    <mergeCell ref="A32:N34"/>
    <mergeCell ref="A35:N35"/>
    <mergeCell ref="A36:A37"/>
    <mergeCell ref="B36:B37"/>
    <mergeCell ref="C36:D36"/>
    <mergeCell ref="M36:N36"/>
    <mergeCell ref="A63:N65"/>
    <mergeCell ref="A66:N66"/>
    <mergeCell ref="A67:A68"/>
    <mergeCell ref="B67:B68"/>
    <mergeCell ref="C67:D67"/>
    <mergeCell ref="E67:F67"/>
    <mergeCell ref="M5:N5"/>
    <mergeCell ref="O5:S5"/>
    <mergeCell ref="A1:T3"/>
    <mergeCell ref="A4:T4"/>
    <mergeCell ref="A5:A6"/>
    <mergeCell ref="B5:B6"/>
    <mergeCell ref="C5:D5"/>
    <mergeCell ref="E5:F5"/>
    <mergeCell ref="G5:H5"/>
    <mergeCell ref="E36:F36"/>
    <mergeCell ref="G36:H36"/>
    <mergeCell ref="I36:J36"/>
    <mergeCell ref="K36:L36"/>
    <mergeCell ref="O36:S36"/>
    <mergeCell ref="G67:H67"/>
    <mergeCell ref="I67:J67"/>
    <mergeCell ref="K67:L67"/>
    <mergeCell ref="M67:N67"/>
    <mergeCell ref="O67:S67"/>
    <mergeCell ref="I98:J98"/>
    <mergeCell ref="K98:L98"/>
    <mergeCell ref="O98:S98"/>
    <mergeCell ref="A94:N96"/>
    <mergeCell ref="A97:N97"/>
    <mergeCell ref="A98:A99"/>
    <mergeCell ref="B98:B99"/>
    <mergeCell ref="C98:D98"/>
    <mergeCell ref="E98:F98"/>
    <mergeCell ref="G98:H98"/>
    <mergeCell ref="M98:N98"/>
  </mergeCells>
  <dataValidations>
    <dataValidation type="list" allowBlank="1" showErrorMessage="1" sqref="C7:N28 C38:N59 C69:N90 C100:N121">
      <formula1>"H,I,TD,S,A"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7.5"/>
    <col customWidth="1" min="4" max="4" width="7.0"/>
    <col customWidth="1" min="5" max="5" width="6.63"/>
    <col customWidth="1" min="6" max="6" width="7.63"/>
    <col customWidth="1" min="7" max="7" width="7.0"/>
    <col customWidth="1" min="8" max="8" width="6.63"/>
    <col customWidth="1" min="9" max="9" width="7.63"/>
    <col customWidth="1" min="10" max="10" width="7.0"/>
    <col customWidth="1" min="11" max="11" width="6.63"/>
    <col customWidth="1" min="12" max="12" width="7.63"/>
    <col customWidth="1" min="13" max="13" width="7.0"/>
    <col customWidth="1" min="14" max="14" width="8.38"/>
    <col customWidth="1" min="15" max="15" width="7.63"/>
    <col customWidth="1" min="16" max="16" width="14.75"/>
  </cols>
  <sheetData>
    <row r="1">
      <c r="M1" s="36"/>
      <c r="N1" s="36"/>
      <c r="O1" s="36"/>
    </row>
    <row r="2">
      <c r="M2" s="36"/>
      <c r="N2" s="36"/>
      <c r="O2" s="36"/>
    </row>
    <row r="3">
      <c r="M3" s="36"/>
      <c r="N3" s="36"/>
      <c r="O3" s="36"/>
    </row>
    <row r="4">
      <c r="M4" s="36"/>
      <c r="N4" s="36"/>
      <c r="O4" s="36"/>
    </row>
    <row r="5">
      <c r="M5" s="36"/>
      <c r="N5" s="36"/>
      <c r="O5" s="36"/>
    </row>
    <row r="6">
      <c r="A6" s="45" t="s">
        <v>765</v>
      </c>
      <c r="B6" s="45" t="s">
        <v>766</v>
      </c>
      <c r="C6" s="45" t="s">
        <v>767</v>
      </c>
      <c r="D6" s="45" t="s">
        <v>768</v>
      </c>
      <c r="G6" s="45" t="s">
        <v>769</v>
      </c>
      <c r="J6" s="45" t="s">
        <v>770</v>
      </c>
      <c r="M6" s="45" t="s">
        <v>771</v>
      </c>
    </row>
    <row r="7">
      <c r="D7" s="46" t="s">
        <v>772</v>
      </c>
      <c r="E7" s="46" t="s">
        <v>773</v>
      </c>
      <c r="F7" s="46" t="s">
        <v>774</v>
      </c>
      <c r="G7" s="46" t="s">
        <v>772</v>
      </c>
      <c r="H7" s="46" t="s">
        <v>773</v>
      </c>
      <c r="I7" s="46" t="s">
        <v>774</v>
      </c>
      <c r="J7" s="46" t="s">
        <v>772</v>
      </c>
      <c r="K7" s="46" t="s">
        <v>773</v>
      </c>
      <c r="L7" s="46" t="s">
        <v>774</v>
      </c>
      <c r="M7" s="46" t="s">
        <v>772</v>
      </c>
      <c r="N7" s="46" t="s">
        <v>773</v>
      </c>
      <c r="O7" s="46" t="s">
        <v>774</v>
      </c>
    </row>
    <row r="8">
      <c r="A8" s="47">
        <v>1.0</v>
      </c>
      <c r="B8" s="48" t="s">
        <v>19</v>
      </c>
      <c r="C8" s="47" t="s">
        <v>14</v>
      </c>
      <c r="D8" s="36"/>
      <c r="E8" s="36"/>
      <c r="F8" s="36"/>
      <c r="G8" s="36"/>
      <c r="H8" s="47" t="s">
        <v>15</v>
      </c>
      <c r="I8" s="36"/>
      <c r="J8" s="36"/>
      <c r="K8" s="36"/>
      <c r="L8" s="36"/>
      <c r="M8" s="36"/>
      <c r="N8" s="47" t="s">
        <v>15</v>
      </c>
      <c r="O8" s="36"/>
      <c r="P8" s="48" t="s">
        <v>19</v>
      </c>
    </row>
    <row r="9">
      <c r="A9" s="47">
        <v>2.0</v>
      </c>
      <c r="B9" s="48" t="s">
        <v>775</v>
      </c>
      <c r="C9" s="36"/>
      <c r="D9" s="36"/>
      <c r="E9" s="36"/>
      <c r="F9" s="36"/>
      <c r="G9" s="36"/>
      <c r="H9" s="47" t="s">
        <v>14</v>
      </c>
      <c r="I9" s="36"/>
      <c r="J9" s="36"/>
      <c r="K9" s="36"/>
      <c r="L9" s="36"/>
      <c r="M9" s="36"/>
      <c r="N9" s="47" t="s">
        <v>14</v>
      </c>
      <c r="O9" s="36"/>
      <c r="P9" s="48" t="s">
        <v>775</v>
      </c>
    </row>
    <row r="10">
      <c r="A10" s="47">
        <v>3.0</v>
      </c>
      <c r="B10" s="48" t="s">
        <v>776</v>
      </c>
      <c r="C10" s="36"/>
      <c r="D10" s="36"/>
      <c r="E10" s="36"/>
      <c r="F10" s="36"/>
      <c r="G10" s="36"/>
      <c r="H10" s="47" t="s">
        <v>18</v>
      </c>
      <c r="I10" s="36"/>
      <c r="J10" s="36"/>
      <c r="K10" s="36"/>
      <c r="L10" s="36"/>
      <c r="M10" s="36"/>
      <c r="N10" s="36"/>
      <c r="O10" s="36"/>
      <c r="P10" s="48" t="s">
        <v>776</v>
      </c>
    </row>
    <row r="11">
      <c r="A11" s="47">
        <v>4.0</v>
      </c>
      <c r="B11" s="48" t="s">
        <v>777</v>
      </c>
      <c r="C11" s="36"/>
      <c r="D11" s="36"/>
      <c r="E11" s="36"/>
      <c r="F11" s="36"/>
      <c r="G11" s="36"/>
      <c r="H11" s="47" t="s">
        <v>15</v>
      </c>
      <c r="I11" s="36"/>
      <c r="J11" s="36"/>
      <c r="K11" s="36"/>
      <c r="L11" s="36"/>
      <c r="M11" s="36"/>
      <c r="N11" s="47" t="s">
        <v>14</v>
      </c>
      <c r="O11" s="36"/>
      <c r="P11" s="48" t="s">
        <v>777</v>
      </c>
    </row>
    <row r="12">
      <c r="A12" s="47">
        <v>5.0</v>
      </c>
      <c r="B12" s="48" t="s">
        <v>49</v>
      </c>
      <c r="C12" s="36"/>
      <c r="D12" s="36"/>
      <c r="E12" s="36"/>
      <c r="F12" s="36"/>
      <c r="G12" s="36"/>
      <c r="H12" s="47" t="s">
        <v>15</v>
      </c>
      <c r="I12" s="36"/>
      <c r="J12" s="36"/>
      <c r="K12" s="36"/>
      <c r="L12" s="36"/>
      <c r="M12" s="36"/>
      <c r="N12" s="47" t="s">
        <v>15</v>
      </c>
      <c r="O12" s="36"/>
      <c r="P12" s="48" t="s">
        <v>49</v>
      </c>
    </row>
    <row r="13">
      <c r="A13" s="47">
        <v>6.0</v>
      </c>
      <c r="B13" s="48" t="s">
        <v>50</v>
      </c>
      <c r="C13" s="36"/>
      <c r="D13" s="36"/>
      <c r="E13" s="36"/>
      <c r="F13" s="36"/>
      <c r="G13" s="36"/>
      <c r="H13" s="47" t="s">
        <v>14</v>
      </c>
      <c r="I13" s="36"/>
      <c r="J13" s="36"/>
      <c r="K13" s="36"/>
      <c r="L13" s="36"/>
      <c r="M13" s="36"/>
      <c r="N13" s="47" t="s">
        <v>14</v>
      </c>
      <c r="O13" s="36"/>
      <c r="P13" s="48" t="s">
        <v>50</v>
      </c>
    </row>
    <row r="14">
      <c r="A14" s="47">
        <v>7.0</v>
      </c>
      <c r="B14" s="48" t="s">
        <v>778</v>
      </c>
      <c r="C14" s="36"/>
      <c r="D14" s="36"/>
      <c r="E14" s="36"/>
      <c r="F14" s="36"/>
      <c r="G14" s="36"/>
      <c r="H14" s="47" t="s">
        <v>18</v>
      </c>
      <c r="I14" s="36"/>
      <c r="J14" s="36"/>
      <c r="K14" s="36"/>
      <c r="L14" s="36"/>
      <c r="M14" s="36"/>
      <c r="N14" s="36"/>
      <c r="O14" s="36"/>
      <c r="P14" s="48" t="s">
        <v>778</v>
      </c>
    </row>
    <row r="15">
      <c r="A15" s="47">
        <v>8.0</v>
      </c>
      <c r="B15" s="48" t="s">
        <v>779</v>
      </c>
      <c r="C15" s="36"/>
      <c r="D15" s="36"/>
      <c r="E15" s="36"/>
      <c r="F15" s="36"/>
      <c r="G15" s="36"/>
      <c r="H15" s="47" t="s">
        <v>18</v>
      </c>
      <c r="I15" s="36"/>
      <c r="J15" s="36"/>
      <c r="K15" s="36"/>
      <c r="L15" s="36"/>
      <c r="M15" s="36"/>
      <c r="N15" s="47" t="s">
        <v>14</v>
      </c>
      <c r="O15" s="36"/>
      <c r="P15" s="48" t="s">
        <v>779</v>
      </c>
    </row>
    <row r="16">
      <c r="A16" s="47">
        <v>9.0</v>
      </c>
      <c r="B16" s="48" t="s">
        <v>780</v>
      </c>
      <c r="C16" s="36"/>
      <c r="D16" s="36"/>
      <c r="E16" s="36"/>
      <c r="F16" s="36"/>
      <c r="G16" s="36"/>
      <c r="H16" s="47" t="s">
        <v>18</v>
      </c>
      <c r="I16" s="36"/>
      <c r="J16" s="36"/>
      <c r="K16" s="36"/>
      <c r="L16" s="36"/>
      <c r="M16" s="36"/>
      <c r="N16" s="47" t="s">
        <v>14</v>
      </c>
      <c r="O16" s="36"/>
      <c r="P16" s="48" t="s">
        <v>780</v>
      </c>
    </row>
    <row r="17">
      <c r="A17" s="47">
        <v>10.0</v>
      </c>
      <c r="B17" s="48" t="s">
        <v>83</v>
      </c>
      <c r="C17" s="36"/>
      <c r="D17" s="36"/>
      <c r="E17" s="36"/>
      <c r="F17" s="36"/>
      <c r="G17" s="36"/>
      <c r="H17" s="47" t="s">
        <v>14</v>
      </c>
      <c r="I17" s="36"/>
      <c r="J17" s="36"/>
      <c r="K17" s="36"/>
      <c r="L17" s="36"/>
      <c r="M17" s="36"/>
      <c r="N17" s="47" t="s">
        <v>14</v>
      </c>
      <c r="O17" s="36"/>
      <c r="P17" s="48" t="s">
        <v>83</v>
      </c>
    </row>
    <row r="18">
      <c r="A18" s="47">
        <v>11.0</v>
      </c>
      <c r="B18" s="48" t="s">
        <v>90</v>
      </c>
      <c r="C18" s="16"/>
      <c r="D18" s="36"/>
      <c r="E18" s="36"/>
      <c r="F18" s="36"/>
      <c r="G18" s="36"/>
      <c r="H18" s="47" t="s">
        <v>18</v>
      </c>
      <c r="I18" s="36"/>
      <c r="J18" s="36"/>
      <c r="K18" s="36"/>
      <c r="L18" s="36"/>
      <c r="M18" s="36"/>
      <c r="N18" s="47" t="s">
        <v>14</v>
      </c>
      <c r="O18" s="36"/>
      <c r="P18" s="48" t="s">
        <v>90</v>
      </c>
    </row>
    <row r="19">
      <c r="A19" s="47">
        <v>12.0</v>
      </c>
      <c r="B19" s="48" t="s">
        <v>94</v>
      </c>
      <c r="C19" s="36"/>
      <c r="D19" s="36"/>
      <c r="E19" s="36"/>
      <c r="F19" s="36"/>
      <c r="G19" s="36"/>
      <c r="H19" s="47" t="s">
        <v>14</v>
      </c>
      <c r="I19" s="36"/>
      <c r="J19" s="36"/>
      <c r="K19" s="36"/>
      <c r="L19" s="36"/>
      <c r="M19" s="36"/>
      <c r="N19" s="47" t="s">
        <v>14</v>
      </c>
      <c r="O19" s="36"/>
      <c r="P19" s="48" t="s">
        <v>94</v>
      </c>
    </row>
    <row r="20">
      <c r="A20" s="47">
        <v>13.0</v>
      </c>
      <c r="B20" s="48" t="s">
        <v>781</v>
      </c>
      <c r="C20" s="36"/>
      <c r="D20" s="36"/>
      <c r="E20" s="36"/>
      <c r="F20" s="36"/>
      <c r="G20" s="36"/>
      <c r="H20" s="47" t="s">
        <v>14</v>
      </c>
      <c r="I20" s="36"/>
      <c r="J20" s="36"/>
      <c r="K20" s="36"/>
      <c r="L20" s="36"/>
      <c r="M20" s="36"/>
      <c r="N20" s="47" t="s">
        <v>14</v>
      </c>
      <c r="O20" s="36"/>
      <c r="P20" s="48" t="s">
        <v>781</v>
      </c>
    </row>
    <row r="21">
      <c r="A21" s="47">
        <v>14.0</v>
      </c>
      <c r="B21" s="48" t="s">
        <v>782</v>
      </c>
      <c r="C21" s="16"/>
      <c r="D21" s="36"/>
      <c r="E21" s="36"/>
      <c r="F21" s="36"/>
      <c r="G21" s="36"/>
      <c r="H21" s="47" t="s">
        <v>14</v>
      </c>
      <c r="I21" s="36"/>
      <c r="J21" s="36"/>
      <c r="K21" s="36"/>
      <c r="L21" s="36"/>
      <c r="M21" s="36"/>
      <c r="N21" s="47" t="s">
        <v>14</v>
      </c>
      <c r="O21" s="36"/>
      <c r="P21" s="48" t="s">
        <v>782</v>
      </c>
    </row>
    <row r="22">
      <c r="A22" s="47">
        <v>15.0</v>
      </c>
      <c r="B22" s="48" t="s">
        <v>39</v>
      </c>
      <c r="C22" s="16"/>
      <c r="D22" s="36"/>
      <c r="E22" s="36"/>
      <c r="F22" s="36"/>
      <c r="G22" s="36"/>
      <c r="H22" s="47" t="s">
        <v>18</v>
      </c>
      <c r="I22" s="36"/>
      <c r="J22" s="36"/>
      <c r="K22" s="36"/>
      <c r="L22" s="36"/>
      <c r="M22" s="36"/>
      <c r="N22" s="47" t="s">
        <v>14</v>
      </c>
      <c r="O22" s="36"/>
      <c r="P22" s="48" t="s">
        <v>39</v>
      </c>
    </row>
    <row r="23">
      <c r="A23" s="47">
        <v>16.0</v>
      </c>
      <c r="B23" s="48" t="s">
        <v>783</v>
      </c>
      <c r="C23" s="16"/>
      <c r="D23" s="36"/>
      <c r="E23" s="36"/>
      <c r="F23" s="36"/>
      <c r="G23" s="36"/>
      <c r="H23" s="47" t="s">
        <v>14</v>
      </c>
      <c r="I23" s="36"/>
      <c r="J23" s="36"/>
      <c r="K23" s="36"/>
      <c r="L23" s="36"/>
      <c r="M23" s="36"/>
      <c r="N23" s="47" t="s">
        <v>14</v>
      </c>
      <c r="O23" s="36"/>
      <c r="P23" s="48" t="s">
        <v>783</v>
      </c>
    </row>
    <row r="24">
      <c r="A24" s="47">
        <v>17.0</v>
      </c>
      <c r="B24" s="48" t="s">
        <v>128</v>
      </c>
      <c r="C24" s="36"/>
      <c r="D24" s="36"/>
      <c r="E24" s="36"/>
      <c r="F24" s="36"/>
      <c r="G24" s="36"/>
      <c r="H24" s="47" t="s">
        <v>14</v>
      </c>
      <c r="I24" s="36"/>
      <c r="J24" s="36"/>
      <c r="K24" s="36"/>
      <c r="L24" s="36"/>
      <c r="M24" s="36"/>
      <c r="N24" s="47" t="s">
        <v>14</v>
      </c>
      <c r="O24" s="36"/>
      <c r="P24" s="48" t="s">
        <v>128</v>
      </c>
    </row>
    <row r="25">
      <c r="A25" s="47">
        <v>18.0</v>
      </c>
      <c r="B25" s="48" t="s">
        <v>759</v>
      </c>
      <c r="C25" s="36"/>
      <c r="D25" s="36"/>
      <c r="E25" s="36"/>
      <c r="F25" s="36"/>
      <c r="G25" s="36"/>
      <c r="H25" s="47" t="s">
        <v>14</v>
      </c>
      <c r="I25" s="36"/>
      <c r="J25" s="36"/>
      <c r="K25" s="36"/>
      <c r="L25" s="36"/>
      <c r="M25" s="36"/>
      <c r="N25" s="47" t="s">
        <v>15</v>
      </c>
      <c r="O25" s="36"/>
      <c r="P25" s="48" t="s">
        <v>759</v>
      </c>
    </row>
    <row r="26">
      <c r="A26" s="47">
        <v>19.0</v>
      </c>
      <c r="B26" s="48" t="s">
        <v>784</v>
      </c>
      <c r="C26" s="36"/>
      <c r="D26" s="36"/>
      <c r="E26" s="36"/>
      <c r="F26" s="36"/>
      <c r="G26" s="36"/>
      <c r="H26" s="47" t="s">
        <v>15</v>
      </c>
      <c r="I26" s="36"/>
      <c r="J26" s="36"/>
      <c r="K26" s="36"/>
      <c r="L26" s="36"/>
      <c r="M26" s="36"/>
      <c r="N26" s="47" t="s">
        <v>14</v>
      </c>
      <c r="O26" s="36"/>
      <c r="P26" s="48" t="s">
        <v>784</v>
      </c>
    </row>
    <row r="27">
      <c r="A27" s="47">
        <v>20.0</v>
      </c>
      <c r="B27" s="48" t="s">
        <v>135</v>
      </c>
      <c r="C27" s="16"/>
      <c r="D27" s="36"/>
      <c r="E27" s="36"/>
      <c r="F27" s="36"/>
      <c r="G27" s="36"/>
      <c r="H27" s="47" t="s">
        <v>14</v>
      </c>
      <c r="I27" s="36"/>
      <c r="J27" s="36"/>
      <c r="K27" s="36"/>
      <c r="L27" s="36"/>
      <c r="M27" s="36"/>
      <c r="N27" s="47" t="s">
        <v>14</v>
      </c>
      <c r="O27" s="36"/>
      <c r="P27" s="48" t="s">
        <v>135</v>
      </c>
      <c r="Q27" s="20"/>
    </row>
    <row r="28">
      <c r="A28" s="47">
        <v>21.0</v>
      </c>
      <c r="B28" s="48" t="s">
        <v>785</v>
      </c>
      <c r="C28" s="36"/>
      <c r="D28" s="36"/>
      <c r="E28" s="36"/>
      <c r="F28" s="36"/>
      <c r="G28" s="36"/>
      <c r="H28" s="47" t="s">
        <v>18</v>
      </c>
      <c r="I28" s="36"/>
      <c r="J28" s="36"/>
      <c r="K28" s="36"/>
      <c r="L28" s="36"/>
      <c r="M28" s="36"/>
      <c r="N28" s="47" t="s">
        <v>15</v>
      </c>
      <c r="O28" s="36"/>
      <c r="P28" s="48" t="s">
        <v>785</v>
      </c>
    </row>
    <row r="29">
      <c r="A29" s="47">
        <v>22.0</v>
      </c>
      <c r="B29" s="48" t="s">
        <v>87</v>
      </c>
      <c r="C29" s="36"/>
      <c r="D29" s="36"/>
      <c r="E29" s="36"/>
      <c r="F29" s="36"/>
      <c r="G29" s="36"/>
      <c r="H29" s="47" t="s">
        <v>14</v>
      </c>
      <c r="I29" s="36"/>
      <c r="J29" s="36"/>
      <c r="K29" s="36"/>
      <c r="L29" s="36"/>
      <c r="M29" s="36"/>
      <c r="N29" s="47" t="s">
        <v>14</v>
      </c>
      <c r="O29" s="36"/>
      <c r="P29" s="48" t="s">
        <v>87</v>
      </c>
    </row>
    <row r="30">
      <c r="A30" s="47">
        <v>23.0</v>
      </c>
      <c r="B30" s="48" t="s">
        <v>786</v>
      </c>
      <c r="C30" s="36"/>
      <c r="D30" s="36"/>
      <c r="E30" s="36"/>
      <c r="F30" s="36"/>
      <c r="G30" s="36"/>
      <c r="H30" s="47" t="s">
        <v>18</v>
      </c>
      <c r="I30" s="36"/>
      <c r="J30" s="36"/>
      <c r="K30" s="36"/>
      <c r="L30" s="36"/>
      <c r="M30" s="36"/>
      <c r="N30" s="47" t="s">
        <v>18</v>
      </c>
      <c r="O30" s="36"/>
      <c r="P30" s="48" t="s">
        <v>786</v>
      </c>
    </row>
    <row r="31">
      <c r="A31" s="47">
        <v>24.0</v>
      </c>
      <c r="B31" s="48" t="s">
        <v>787</v>
      </c>
      <c r="C31" s="36"/>
      <c r="D31" s="36"/>
      <c r="E31" s="36"/>
      <c r="F31" s="36"/>
      <c r="G31" s="36"/>
      <c r="H31" s="47" t="s">
        <v>14</v>
      </c>
      <c r="I31" s="36"/>
      <c r="J31" s="36"/>
      <c r="K31" s="36"/>
      <c r="L31" s="36"/>
      <c r="M31" s="36"/>
      <c r="N31" s="47" t="s">
        <v>14</v>
      </c>
      <c r="O31" s="36"/>
      <c r="P31" s="48" t="s">
        <v>787</v>
      </c>
    </row>
    <row r="32">
      <c r="A32" s="47">
        <v>25.0</v>
      </c>
      <c r="B32" s="48" t="s">
        <v>788</v>
      </c>
      <c r="C32" s="36"/>
      <c r="D32" s="36"/>
      <c r="E32" s="36"/>
      <c r="F32" s="36"/>
      <c r="G32" s="36"/>
      <c r="H32" s="47" t="s">
        <v>18</v>
      </c>
      <c r="I32" s="36"/>
      <c r="J32" s="36"/>
      <c r="K32" s="36"/>
      <c r="L32" s="36"/>
      <c r="M32" s="36"/>
      <c r="N32" s="47" t="s">
        <v>15</v>
      </c>
      <c r="O32" s="36"/>
      <c r="P32" s="48" t="s">
        <v>788</v>
      </c>
    </row>
    <row r="33">
      <c r="A33" s="47">
        <v>26.0</v>
      </c>
      <c r="B33" s="48" t="s">
        <v>789</v>
      </c>
      <c r="C33" s="36"/>
      <c r="D33" s="36"/>
      <c r="E33" s="36"/>
      <c r="F33" s="36"/>
      <c r="G33" s="36"/>
      <c r="H33" s="47" t="s">
        <v>18</v>
      </c>
      <c r="I33" s="36"/>
      <c r="J33" s="36"/>
      <c r="K33" s="36"/>
      <c r="L33" s="36"/>
      <c r="M33" s="36"/>
      <c r="N33" s="47" t="s">
        <v>18</v>
      </c>
      <c r="O33" s="36"/>
      <c r="P33" s="48" t="s">
        <v>789</v>
      </c>
    </row>
    <row r="34">
      <c r="A34" s="47">
        <v>27.0</v>
      </c>
      <c r="B34" s="48" t="s">
        <v>790</v>
      </c>
      <c r="C34" s="36"/>
      <c r="D34" s="36"/>
      <c r="E34" s="36"/>
      <c r="F34" s="36"/>
      <c r="G34" s="36"/>
      <c r="H34" s="47" t="s">
        <v>18</v>
      </c>
      <c r="I34" s="36"/>
      <c r="J34" s="36"/>
      <c r="K34" s="36"/>
      <c r="L34" s="36"/>
      <c r="M34" s="36"/>
      <c r="N34" s="47" t="s">
        <v>18</v>
      </c>
      <c r="O34" s="36"/>
      <c r="P34" s="48" t="s">
        <v>790</v>
      </c>
    </row>
    <row r="35">
      <c r="A35" s="47">
        <v>28.0</v>
      </c>
      <c r="B35" s="48" t="s">
        <v>791</v>
      </c>
      <c r="C35" s="36"/>
      <c r="D35" s="36"/>
      <c r="E35" s="36"/>
      <c r="F35" s="36"/>
      <c r="G35" s="36"/>
      <c r="H35" s="47" t="s">
        <v>18</v>
      </c>
      <c r="I35" s="36"/>
      <c r="J35" s="36"/>
      <c r="K35" s="36"/>
      <c r="L35" s="36"/>
      <c r="M35" s="36"/>
      <c r="N35" s="47" t="s">
        <v>18</v>
      </c>
      <c r="O35" s="36"/>
      <c r="P35" s="48" t="s">
        <v>791</v>
      </c>
    </row>
    <row r="36">
      <c r="A36" s="47">
        <v>29.0</v>
      </c>
      <c r="B36" s="48" t="s">
        <v>792</v>
      </c>
      <c r="C36" s="36"/>
      <c r="D36" s="36"/>
      <c r="E36" s="36"/>
      <c r="F36" s="36"/>
      <c r="G36" s="36"/>
      <c r="H36" s="47" t="s">
        <v>18</v>
      </c>
      <c r="I36" s="36"/>
      <c r="J36" s="36"/>
      <c r="K36" s="36"/>
      <c r="L36" s="36"/>
      <c r="M36" s="36"/>
      <c r="N36" s="47" t="s">
        <v>18</v>
      </c>
      <c r="O36" s="36"/>
      <c r="P36" s="48" t="s">
        <v>792</v>
      </c>
    </row>
    <row r="37">
      <c r="A37" s="47">
        <v>30.0</v>
      </c>
      <c r="B37" s="48" t="s">
        <v>793</v>
      </c>
      <c r="C37" s="36"/>
      <c r="D37" s="36"/>
      <c r="E37" s="36"/>
      <c r="F37" s="36"/>
      <c r="G37" s="36"/>
      <c r="H37" s="47" t="s">
        <v>15</v>
      </c>
      <c r="I37" s="36"/>
      <c r="J37" s="36"/>
      <c r="K37" s="36"/>
      <c r="L37" s="36"/>
      <c r="M37" s="36"/>
      <c r="N37" s="47" t="s">
        <v>15</v>
      </c>
      <c r="O37" s="36"/>
      <c r="P37" s="48" t="s">
        <v>793</v>
      </c>
    </row>
    <row r="38">
      <c r="A38" s="47">
        <v>31.0</v>
      </c>
      <c r="B38" s="48" t="s">
        <v>794</v>
      </c>
      <c r="C38" s="36"/>
      <c r="D38" s="36"/>
      <c r="E38" s="36"/>
      <c r="F38" s="36"/>
      <c r="G38" s="36"/>
      <c r="H38" s="47" t="s">
        <v>14</v>
      </c>
      <c r="I38" s="36"/>
      <c r="J38" s="36"/>
      <c r="K38" s="36"/>
      <c r="L38" s="36"/>
      <c r="M38" s="36"/>
      <c r="N38" s="47" t="s">
        <v>14</v>
      </c>
      <c r="O38" s="36"/>
      <c r="P38" s="48" t="s">
        <v>794</v>
      </c>
    </row>
    <row r="39">
      <c r="A39" s="47">
        <v>32.0</v>
      </c>
      <c r="B39" s="48" t="s">
        <v>795</v>
      </c>
      <c r="C39" s="36"/>
      <c r="D39" s="36"/>
      <c r="E39" s="36"/>
      <c r="F39" s="36"/>
      <c r="G39" s="36"/>
      <c r="H39" s="47" t="s">
        <v>18</v>
      </c>
      <c r="I39" s="36"/>
      <c r="J39" s="36"/>
      <c r="K39" s="36"/>
      <c r="L39" s="36"/>
      <c r="M39" s="36"/>
      <c r="N39" s="47" t="s">
        <v>15</v>
      </c>
      <c r="O39" s="36"/>
      <c r="P39" s="48" t="s">
        <v>795</v>
      </c>
    </row>
    <row r="40">
      <c r="A40" s="47">
        <v>33.0</v>
      </c>
      <c r="B40" s="48" t="s">
        <v>796</v>
      </c>
      <c r="C40" s="36"/>
      <c r="D40" s="36"/>
      <c r="E40" s="36"/>
      <c r="F40" s="36"/>
      <c r="G40" s="36"/>
      <c r="H40" s="47" t="s">
        <v>14</v>
      </c>
      <c r="I40" s="36"/>
      <c r="J40" s="36"/>
      <c r="K40" s="36"/>
      <c r="L40" s="36"/>
      <c r="M40" s="36"/>
      <c r="N40" s="47" t="s">
        <v>14</v>
      </c>
      <c r="O40" s="36"/>
      <c r="P40" s="48" t="s">
        <v>796</v>
      </c>
    </row>
    <row r="41">
      <c r="A41" s="47">
        <v>34.0</v>
      </c>
      <c r="B41" s="48" t="s">
        <v>797</v>
      </c>
      <c r="C41" s="36"/>
      <c r="D41" s="36"/>
      <c r="E41" s="36"/>
      <c r="F41" s="36"/>
      <c r="G41" s="36"/>
      <c r="H41" s="47" t="s">
        <v>15</v>
      </c>
      <c r="I41" s="36"/>
      <c r="J41" s="36"/>
      <c r="K41" s="36"/>
      <c r="L41" s="36"/>
      <c r="M41" s="36"/>
      <c r="N41" s="47" t="s">
        <v>14</v>
      </c>
      <c r="O41" s="36"/>
      <c r="P41" s="48" t="s">
        <v>797</v>
      </c>
    </row>
    <row r="42">
      <c r="A42" s="47">
        <v>35.0</v>
      </c>
      <c r="B42" s="48" t="s">
        <v>798</v>
      </c>
      <c r="C42" s="36"/>
      <c r="D42" s="36"/>
      <c r="E42" s="36"/>
      <c r="F42" s="36"/>
      <c r="G42" s="36"/>
      <c r="H42" s="47" t="s">
        <v>15</v>
      </c>
      <c r="I42" s="36"/>
      <c r="J42" s="36"/>
      <c r="K42" s="36"/>
      <c r="L42" s="36"/>
      <c r="M42" s="36"/>
      <c r="N42" s="47" t="s">
        <v>14</v>
      </c>
      <c r="O42" s="36"/>
      <c r="P42" s="48" t="s">
        <v>798</v>
      </c>
    </row>
    <row r="43">
      <c r="A43" s="47">
        <v>36.0</v>
      </c>
      <c r="B43" s="49" t="s">
        <v>799</v>
      </c>
      <c r="C43" s="36"/>
      <c r="D43" s="36"/>
      <c r="E43" s="36"/>
      <c r="F43" s="36"/>
      <c r="G43" s="36"/>
      <c r="H43" s="47" t="s">
        <v>15</v>
      </c>
      <c r="I43" s="36"/>
      <c r="J43" s="36"/>
      <c r="K43" s="36"/>
      <c r="L43" s="36"/>
      <c r="M43" s="36"/>
      <c r="N43" s="47" t="s">
        <v>14</v>
      </c>
      <c r="O43" s="36"/>
      <c r="P43" s="49" t="s">
        <v>799</v>
      </c>
    </row>
    <row r="44">
      <c r="A44" s="47">
        <v>37.0</v>
      </c>
      <c r="B44" s="49" t="s">
        <v>800</v>
      </c>
      <c r="C44" s="36"/>
      <c r="D44" s="36"/>
      <c r="E44" s="36"/>
      <c r="F44" s="36"/>
      <c r="G44" s="36"/>
      <c r="H44" s="47" t="s">
        <v>14</v>
      </c>
      <c r="I44" s="36"/>
      <c r="J44" s="36"/>
      <c r="K44" s="36"/>
      <c r="L44" s="36"/>
      <c r="M44" s="36"/>
      <c r="N44" s="47" t="s">
        <v>14</v>
      </c>
      <c r="O44" s="36"/>
      <c r="P44" s="49" t="s">
        <v>800</v>
      </c>
    </row>
    <row r="45">
      <c r="A45" s="47">
        <v>38.0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</row>
    <row r="46">
      <c r="A46" s="47">
        <v>39.0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>
      <c r="A47" s="47">
        <v>40.0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</row>
    <row r="48">
      <c r="A48" s="47">
        <v>41.0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</row>
    <row r="49">
      <c r="M49" s="36"/>
      <c r="N49" s="36"/>
      <c r="O49" s="36"/>
    </row>
    <row r="50">
      <c r="M50" s="36"/>
      <c r="N50" s="36"/>
      <c r="O50" s="36"/>
    </row>
    <row r="51">
      <c r="M51" s="36"/>
      <c r="N51" s="36"/>
      <c r="O51" s="36"/>
    </row>
    <row r="52">
      <c r="M52" s="36"/>
      <c r="N52" s="36"/>
      <c r="O52" s="36"/>
    </row>
    <row r="53">
      <c r="M53" s="36"/>
      <c r="N53" s="36"/>
      <c r="O53" s="36"/>
    </row>
    <row r="54">
      <c r="M54" s="36"/>
      <c r="N54" s="36"/>
      <c r="O54" s="36"/>
    </row>
    <row r="55">
      <c r="M55" s="36"/>
      <c r="N55" s="36"/>
      <c r="O55" s="36"/>
    </row>
    <row r="56">
      <c r="M56" s="36"/>
      <c r="N56" s="36"/>
      <c r="O56" s="36"/>
    </row>
    <row r="57">
      <c r="M57" s="36"/>
      <c r="N57" s="36"/>
      <c r="O57" s="36"/>
    </row>
    <row r="58">
      <c r="M58" s="36"/>
      <c r="N58" s="36"/>
      <c r="O58" s="36"/>
    </row>
    <row r="59">
      <c r="M59" s="36"/>
      <c r="N59" s="36"/>
      <c r="O59" s="36"/>
    </row>
    <row r="60">
      <c r="M60" s="36"/>
      <c r="N60" s="36"/>
      <c r="O60" s="36"/>
    </row>
    <row r="61">
      <c r="M61" s="36"/>
      <c r="N61" s="36"/>
      <c r="O61" s="36"/>
    </row>
    <row r="62">
      <c r="M62" s="36"/>
      <c r="N62" s="36"/>
      <c r="O62" s="36"/>
    </row>
    <row r="63">
      <c r="M63" s="36"/>
      <c r="N63" s="36"/>
      <c r="O63" s="36"/>
    </row>
    <row r="64">
      <c r="M64" s="36"/>
      <c r="N64" s="36"/>
      <c r="O64" s="36"/>
    </row>
    <row r="65">
      <c r="M65" s="36"/>
      <c r="N65" s="36"/>
      <c r="O65" s="36"/>
    </row>
    <row r="66">
      <c r="M66" s="36"/>
      <c r="N66" s="36"/>
      <c r="O66" s="36"/>
    </row>
    <row r="67">
      <c r="M67" s="36"/>
      <c r="N67" s="36"/>
      <c r="O67" s="36"/>
    </row>
    <row r="68">
      <c r="M68" s="36"/>
      <c r="N68" s="36"/>
      <c r="O68" s="36"/>
    </row>
    <row r="69">
      <c r="M69" s="36"/>
      <c r="N69" s="36"/>
      <c r="O69" s="36"/>
    </row>
    <row r="70">
      <c r="M70" s="36"/>
      <c r="N70" s="36"/>
      <c r="O70" s="36"/>
    </row>
    <row r="71">
      <c r="M71" s="36"/>
      <c r="N71" s="36"/>
      <c r="O71" s="36"/>
    </row>
    <row r="72">
      <c r="M72" s="36"/>
      <c r="N72" s="36"/>
      <c r="O72" s="36"/>
    </row>
    <row r="73">
      <c r="M73" s="36"/>
      <c r="N73" s="36"/>
      <c r="O73" s="36"/>
    </row>
    <row r="74">
      <c r="M74" s="36"/>
      <c r="N74" s="36"/>
      <c r="O74" s="36"/>
    </row>
    <row r="75">
      <c r="M75" s="36"/>
      <c r="N75" s="36"/>
      <c r="O75" s="36"/>
    </row>
    <row r="76">
      <c r="M76" s="36"/>
      <c r="N76" s="36"/>
      <c r="O76" s="36"/>
    </row>
    <row r="77">
      <c r="M77" s="36"/>
      <c r="N77" s="36"/>
      <c r="O77" s="36"/>
    </row>
    <row r="78">
      <c r="M78" s="36"/>
      <c r="N78" s="36"/>
      <c r="O78" s="36"/>
    </row>
    <row r="79">
      <c r="M79" s="36"/>
      <c r="N79" s="36"/>
      <c r="O79" s="36"/>
    </row>
    <row r="80">
      <c r="M80" s="36"/>
      <c r="N80" s="36"/>
      <c r="O80" s="36"/>
    </row>
    <row r="81">
      <c r="M81" s="36"/>
      <c r="N81" s="36"/>
      <c r="O81" s="36"/>
    </row>
    <row r="82">
      <c r="M82" s="36"/>
      <c r="N82" s="36"/>
      <c r="O82" s="36"/>
    </row>
    <row r="83">
      <c r="M83" s="36"/>
      <c r="N83" s="36"/>
      <c r="O83" s="36"/>
    </row>
    <row r="84">
      <c r="M84" s="36"/>
      <c r="N84" s="36"/>
      <c r="O84" s="36"/>
    </row>
    <row r="85">
      <c r="M85" s="36"/>
      <c r="N85" s="36"/>
      <c r="O85" s="36"/>
    </row>
    <row r="86">
      <c r="M86" s="36"/>
      <c r="N86" s="36"/>
      <c r="O86" s="36"/>
    </row>
    <row r="87">
      <c r="M87" s="36"/>
      <c r="N87" s="36"/>
      <c r="O87" s="36"/>
    </row>
    <row r="88">
      <c r="M88" s="36"/>
      <c r="N88" s="36"/>
      <c r="O88" s="36"/>
    </row>
    <row r="89">
      <c r="M89" s="36"/>
      <c r="N89" s="36"/>
      <c r="O89" s="36"/>
    </row>
    <row r="90">
      <c r="M90" s="36"/>
      <c r="N90" s="36"/>
      <c r="O90" s="36"/>
    </row>
    <row r="91">
      <c r="M91" s="36"/>
      <c r="N91" s="36"/>
      <c r="O91" s="36"/>
    </row>
    <row r="92">
      <c r="M92" s="36"/>
      <c r="N92" s="36"/>
      <c r="O92" s="36"/>
    </row>
    <row r="93">
      <c r="M93" s="36"/>
      <c r="N93" s="36"/>
      <c r="O93" s="36"/>
    </row>
    <row r="94">
      <c r="M94" s="36"/>
      <c r="N94" s="36"/>
      <c r="O94" s="36"/>
    </row>
    <row r="95">
      <c r="M95" s="36"/>
      <c r="N95" s="36"/>
      <c r="O95" s="36"/>
    </row>
    <row r="96">
      <c r="M96" s="36"/>
      <c r="N96" s="36"/>
      <c r="O96" s="36"/>
    </row>
    <row r="97">
      <c r="M97" s="36"/>
      <c r="N97" s="36"/>
      <c r="O97" s="36"/>
    </row>
    <row r="98">
      <c r="M98" s="36"/>
      <c r="N98" s="36"/>
      <c r="O98" s="36"/>
    </row>
    <row r="99">
      <c r="M99" s="36"/>
      <c r="N99" s="36"/>
      <c r="O99" s="36"/>
    </row>
    <row r="100">
      <c r="M100" s="36"/>
      <c r="N100" s="36"/>
      <c r="O100" s="36"/>
    </row>
    <row r="101">
      <c r="M101" s="36"/>
      <c r="N101" s="36"/>
      <c r="O101" s="36"/>
    </row>
    <row r="102">
      <c r="M102" s="36"/>
      <c r="N102" s="36"/>
      <c r="O102" s="36"/>
    </row>
    <row r="103">
      <c r="M103" s="36"/>
      <c r="N103" s="36"/>
      <c r="O103" s="36"/>
    </row>
    <row r="104">
      <c r="M104" s="36"/>
      <c r="N104" s="36"/>
      <c r="O104" s="36"/>
    </row>
    <row r="105">
      <c r="M105" s="36"/>
      <c r="N105" s="36"/>
      <c r="O105" s="36"/>
    </row>
    <row r="106">
      <c r="M106" s="36"/>
      <c r="N106" s="36"/>
      <c r="O106" s="36"/>
    </row>
    <row r="107">
      <c r="M107" s="36"/>
      <c r="N107" s="36"/>
      <c r="O107" s="36"/>
    </row>
    <row r="108">
      <c r="M108" s="36"/>
      <c r="N108" s="36"/>
      <c r="O108" s="36"/>
    </row>
    <row r="109">
      <c r="M109" s="36"/>
      <c r="N109" s="36"/>
      <c r="O109" s="36"/>
    </row>
    <row r="110">
      <c r="M110" s="36"/>
      <c r="N110" s="36"/>
      <c r="O110" s="36"/>
    </row>
    <row r="111">
      <c r="M111" s="36"/>
      <c r="N111" s="36"/>
      <c r="O111" s="36"/>
    </row>
    <row r="112">
      <c r="M112" s="36"/>
      <c r="N112" s="36"/>
      <c r="O112" s="36"/>
    </row>
    <row r="113">
      <c r="M113" s="36"/>
      <c r="N113" s="36"/>
      <c r="O113" s="36"/>
    </row>
    <row r="114">
      <c r="M114" s="36"/>
      <c r="N114" s="36"/>
      <c r="O114" s="36"/>
    </row>
    <row r="115">
      <c r="M115" s="36"/>
      <c r="N115" s="36"/>
      <c r="O115" s="36"/>
    </row>
    <row r="116">
      <c r="M116" s="36"/>
      <c r="N116" s="36"/>
      <c r="O116" s="36"/>
    </row>
    <row r="117">
      <c r="M117" s="36"/>
      <c r="N117" s="36"/>
      <c r="O117" s="36"/>
    </row>
    <row r="118">
      <c r="M118" s="36"/>
      <c r="N118" s="36"/>
      <c r="O118" s="36"/>
    </row>
    <row r="119">
      <c r="M119" s="36"/>
      <c r="N119" s="36"/>
      <c r="O119" s="36"/>
    </row>
    <row r="120">
      <c r="M120" s="36"/>
      <c r="N120" s="36"/>
      <c r="O120" s="36"/>
    </row>
    <row r="121">
      <c r="M121" s="36"/>
      <c r="N121" s="36"/>
      <c r="O121" s="36"/>
    </row>
    <row r="122">
      <c r="M122" s="36"/>
      <c r="N122" s="36"/>
      <c r="O122" s="36"/>
    </row>
    <row r="123">
      <c r="M123" s="36"/>
      <c r="N123" s="36"/>
      <c r="O123" s="36"/>
    </row>
    <row r="124">
      <c r="M124" s="36"/>
      <c r="N124" s="36"/>
      <c r="O124" s="36"/>
    </row>
    <row r="125">
      <c r="M125" s="36"/>
      <c r="N125" s="36"/>
      <c r="O125" s="36"/>
    </row>
    <row r="126">
      <c r="M126" s="36"/>
      <c r="N126" s="36"/>
      <c r="O126" s="36"/>
    </row>
    <row r="127">
      <c r="M127" s="36"/>
      <c r="N127" s="36"/>
      <c r="O127" s="36"/>
    </row>
    <row r="128">
      <c r="M128" s="36"/>
      <c r="N128" s="36"/>
      <c r="O128" s="36"/>
    </row>
    <row r="129">
      <c r="M129" s="36"/>
      <c r="N129" s="36"/>
      <c r="O129" s="36"/>
    </row>
    <row r="130">
      <c r="M130" s="36"/>
      <c r="N130" s="36"/>
      <c r="O130" s="36"/>
    </row>
    <row r="131">
      <c r="M131" s="36"/>
      <c r="N131" s="36"/>
      <c r="O131" s="36"/>
    </row>
    <row r="132">
      <c r="M132" s="36"/>
      <c r="N132" s="36"/>
      <c r="O132" s="36"/>
    </row>
    <row r="133">
      <c r="M133" s="36"/>
      <c r="N133" s="36"/>
      <c r="O133" s="36"/>
    </row>
    <row r="134">
      <c r="M134" s="36"/>
      <c r="N134" s="36"/>
      <c r="O134" s="36"/>
    </row>
    <row r="135">
      <c r="M135" s="36"/>
      <c r="N135" s="36"/>
      <c r="O135" s="36"/>
    </row>
    <row r="136">
      <c r="M136" s="36"/>
      <c r="N136" s="36"/>
      <c r="O136" s="36"/>
    </row>
    <row r="137">
      <c r="M137" s="36"/>
      <c r="N137" s="36"/>
      <c r="O137" s="36"/>
    </row>
    <row r="138">
      <c r="M138" s="36"/>
      <c r="N138" s="36"/>
      <c r="O138" s="36"/>
    </row>
    <row r="139">
      <c r="M139" s="36"/>
      <c r="N139" s="36"/>
      <c r="O139" s="36"/>
    </row>
    <row r="140">
      <c r="M140" s="36"/>
      <c r="N140" s="36"/>
      <c r="O140" s="36"/>
    </row>
    <row r="141">
      <c r="M141" s="36"/>
      <c r="N141" s="36"/>
      <c r="O141" s="36"/>
    </row>
    <row r="142">
      <c r="M142" s="36"/>
      <c r="N142" s="36"/>
      <c r="O142" s="36"/>
    </row>
    <row r="143">
      <c r="M143" s="36"/>
      <c r="N143" s="36"/>
      <c r="O143" s="36"/>
    </row>
    <row r="144">
      <c r="M144" s="36"/>
      <c r="N144" s="36"/>
      <c r="O144" s="36"/>
    </row>
    <row r="145">
      <c r="M145" s="36"/>
      <c r="N145" s="36"/>
      <c r="O145" s="36"/>
    </row>
    <row r="146">
      <c r="M146" s="36"/>
      <c r="N146" s="36"/>
      <c r="O146" s="36"/>
    </row>
    <row r="147">
      <c r="M147" s="36"/>
      <c r="N147" s="36"/>
      <c r="O147" s="36"/>
    </row>
    <row r="148">
      <c r="M148" s="36"/>
      <c r="N148" s="36"/>
      <c r="O148" s="36"/>
    </row>
    <row r="149">
      <c r="M149" s="36"/>
      <c r="N149" s="36"/>
      <c r="O149" s="36"/>
    </row>
    <row r="150">
      <c r="M150" s="36"/>
      <c r="N150" s="36"/>
      <c r="O150" s="36"/>
    </row>
    <row r="151">
      <c r="M151" s="36"/>
      <c r="N151" s="36"/>
      <c r="O151" s="36"/>
    </row>
    <row r="152">
      <c r="M152" s="36"/>
      <c r="N152" s="36"/>
      <c r="O152" s="36"/>
    </row>
    <row r="153">
      <c r="M153" s="36"/>
      <c r="N153" s="36"/>
      <c r="O153" s="36"/>
    </row>
    <row r="154">
      <c r="M154" s="36"/>
      <c r="N154" s="36"/>
      <c r="O154" s="36"/>
    </row>
    <row r="155">
      <c r="M155" s="36"/>
      <c r="N155" s="36"/>
      <c r="O155" s="36"/>
    </row>
    <row r="156">
      <c r="M156" s="36"/>
      <c r="N156" s="36"/>
      <c r="O156" s="36"/>
    </row>
    <row r="157">
      <c r="M157" s="36"/>
      <c r="N157" s="36"/>
      <c r="O157" s="36"/>
    </row>
    <row r="158">
      <c r="M158" s="36"/>
      <c r="N158" s="36"/>
      <c r="O158" s="36"/>
    </row>
    <row r="159">
      <c r="M159" s="36"/>
      <c r="N159" s="36"/>
      <c r="O159" s="36"/>
    </row>
    <row r="160">
      <c r="M160" s="36"/>
      <c r="N160" s="36"/>
      <c r="O160" s="36"/>
    </row>
    <row r="161">
      <c r="M161" s="36"/>
      <c r="N161" s="36"/>
      <c r="O161" s="36"/>
    </row>
    <row r="162">
      <c r="M162" s="36"/>
      <c r="N162" s="36"/>
      <c r="O162" s="36"/>
    </row>
    <row r="163">
      <c r="M163" s="36"/>
      <c r="N163" s="36"/>
      <c r="O163" s="36"/>
    </row>
    <row r="164">
      <c r="M164" s="36"/>
      <c r="N164" s="36"/>
      <c r="O164" s="36"/>
    </row>
    <row r="165">
      <c r="M165" s="36"/>
      <c r="N165" s="36"/>
      <c r="O165" s="36"/>
    </row>
    <row r="166">
      <c r="M166" s="36"/>
      <c r="N166" s="36"/>
      <c r="O166" s="36"/>
    </row>
    <row r="167">
      <c r="M167" s="36"/>
      <c r="N167" s="36"/>
      <c r="O167" s="36"/>
    </row>
    <row r="168">
      <c r="M168" s="36"/>
      <c r="N168" s="36"/>
      <c r="O168" s="36"/>
    </row>
    <row r="169">
      <c r="M169" s="36"/>
      <c r="N169" s="36"/>
      <c r="O169" s="36"/>
    </row>
    <row r="170">
      <c r="M170" s="36"/>
      <c r="N170" s="36"/>
      <c r="O170" s="36"/>
    </row>
    <row r="171">
      <c r="M171" s="36"/>
      <c r="N171" s="36"/>
      <c r="O171" s="36"/>
    </row>
    <row r="172">
      <c r="M172" s="36"/>
      <c r="N172" s="36"/>
      <c r="O172" s="36"/>
    </row>
    <row r="173">
      <c r="M173" s="36"/>
      <c r="N173" s="36"/>
      <c r="O173" s="36"/>
    </row>
    <row r="174">
      <c r="M174" s="36"/>
      <c r="N174" s="36"/>
      <c r="O174" s="36"/>
    </row>
    <row r="175">
      <c r="M175" s="36"/>
      <c r="N175" s="36"/>
      <c r="O175" s="36"/>
    </row>
    <row r="176">
      <c r="M176" s="36"/>
      <c r="N176" s="36"/>
      <c r="O176" s="36"/>
    </row>
    <row r="177">
      <c r="M177" s="36"/>
      <c r="N177" s="36"/>
      <c r="O177" s="36"/>
    </row>
    <row r="178">
      <c r="M178" s="36"/>
      <c r="N178" s="36"/>
      <c r="O178" s="36"/>
    </row>
    <row r="179">
      <c r="M179" s="36"/>
      <c r="N179" s="36"/>
      <c r="O179" s="36"/>
    </row>
    <row r="180">
      <c r="M180" s="36"/>
      <c r="N180" s="36"/>
      <c r="O180" s="36"/>
    </row>
    <row r="181">
      <c r="M181" s="36"/>
      <c r="N181" s="36"/>
      <c r="O181" s="36"/>
    </row>
    <row r="182">
      <c r="M182" s="36"/>
      <c r="N182" s="36"/>
      <c r="O182" s="36"/>
    </row>
    <row r="183">
      <c r="M183" s="36"/>
      <c r="N183" s="36"/>
      <c r="O183" s="36"/>
    </row>
    <row r="184">
      <c r="M184" s="36"/>
      <c r="N184" s="36"/>
      <c r="O184" s="36"/>
    </row>
    <row r="185">
      <c r="M185" s="36"/>
      <c r="N185" s="36"/>
      <c r="O185" s="36"/>
    </row>
    <row r="186">
      <c r="M186" s="36"/>
      <c r="N186" s="36"/>
      <c r="O186" s="36"/>
    </row>
    <row r="187">
      <c r="M187" s="36"/>
      <c r="N187" s="36"/>
      <c r="O187" s="36"/>
    </row>
    <row r="188">
      <c r="M188" s="36"/>
      <c r="N188" s="36"/>
      <c r="O188" s="36"/>
    </row>
    <row r="189">
      <c r="M189" s="36"/>
      <c r="N189" s="36"/>
      <c r="O189" s="36"/>
    </row>
    <row r="190">
      <c r="M190" s="36"/>
      <c r="N190" s="36"/>
      <c r="O190" s="36"/>
    </row>
    <row r="191">
      <c r="M191" s="36"/>
      <c r="N191" s="36"/>
      <c r="O191" s="36"/>
    </row>
    <row r="192">
      <c r="M192" s="36"/>
      <c r="N192" s="36"/>
      <c r="O192" s="36"/>
    </row>
    <row r="193">
      <c r="M193" s="36"/>
      <c r="N193" s="36"/>
      <c r="O193" s="36"/>
    </row>
    <row r="194">
      <c r="M194" s="36"/>
      <c r="N194" s="36"/>
      <c r="O194" s="36"/>
    </row>
    <row r="195">
      <c r="M195" s="36"/>
      <c r="N195" s="36"/>
      <c r="O195" s="36"/>
    </row>
    <row r="196">
      <c r="M196" s="36"/>
      <c r="N196" s="36"/>
      <c r="O196" s="36"/>
    </row>
    <row r="197">
      <c r="M197" s="36"/>
      <c r="N197" s="36"/>
      <c r="O197" s="36"/>
    </row>
    <row r="198">
      <c r="M198" s="36"/>
      <c r="N198" s="36"/>
      <c r="O198" s="36"/>
    </row>
    <row r="199">
      <c r="M199" s="36"/>
      <c r="N199" s="36"/>
      <c r="O199" s="36"/>
    </row>
    <row r="200">
      <c r="M200" s="36"/>
      <c r="N200" s="36"/>
      <c r="O200" s="36"/>
    </row>
    <row r="201">
      <c r="M201" s="36"/>
      <c r="N201" s="36"/>
      <c r="O201" s="36"/>
    </row>
    <row r="202">
      <c r="M202" s="36"/>
      <c r="N202" s="36"/>
      <c r="O202" s="36"/>
    </row>
    <row r="203">
      <c r="M203" s="36"/>
      <c r="N203" s="36"/>
      <c r="O203" s="36"/>
    </row>
    <row r="204">
      <c r="M204" s="36"/>
      <c r="N204" s="36"/>
      <c r="O204" s="36"/>
    </row>
    <row r="205">
      <c r="M205" s="36"/>
      <c r="N205" s="36"/>
      <c r="O205" s="36"/>
    </row>
    <row r="206">
      <c r="M206" s="36"/>
      <c r="N206" s="36"/>
      <c r="O206" s="36"/>
    </row>
    <row r="207">
      <c r="M207" s="36"/>
      <c r="N207" s="36"/>
      <c r="O207" s="36"/>
    </row>
    <row r="208">
      <c r="M208" s="36"/>
      <c r="N208" s="36"/>
      <c r="O208" s="36"/>
    </row>
    <row r="209">
      <c r="M209" s="36"/>
      <c r="N209" s="36"/>
      <c r="O209" s="36"/>
    </row>
    <row r="210">
      <c r="M210" s="36"/>
      <c r="N210" s="36"/>
      <c r="O210" s="36"/>
    </row>
    <row r="211">
      <c r="M211" s="36"/>
      <c r="N211" s="36"/>
      <c r="O211" s="36"/>
    </row>
    <row r="212">
      <c r="M212" s="36"/>
      <c r="N212" s="36"/>
      <c r="O212" s="36"/>
    </row>
    <row r="213">
      <c r="M213" s="36"/>
      <c r="N213" s="36"/>
      <c r="O213" s="36"/>
    </row>
    <row r="214">
      <c r="M214" s="36"/>
      <c r="N214" s="36"/>
      <c r="O214" s="36"/>
    </row>
    <row r="215">
      <c r="M215" s="36"/>
      <c r="N215" s="36"/>
      <c r="O215" s="36"/>
    </row>
    <row r="216">
      <c r="M216" s="36"/>
      <c r="N216" s="36"/>
      <c r="O216" s="36"/>
    </row>
    <row r="217">
      <c r="M217" s="36"/>
      <c r="N217" s="36"/>
      <c r="O217" s="36"/>
    </row>
    <row r="218">
      <c r="M218" s="36"/>
      <c r="N218" s="36"/>
      <c r="O218" s="36"/>
    </row>
    <row r="219">
      <c r="M219" s="36"/>
      <c r="N219" s="36"/>
      <c r="O219" s="36"/>
    </row>
    <row r="220">
      <c r="M220" s="36"/>
      <c r="N220" s="36"/>
      <c r="O220" s="36"/>
    </row>
    <row r="221">
      <c r="M221" s="36"/>
      <c r="N221" s="36"/>
      <c r="O221" s="36"/>
    </row>
    <row r="222">
      <c r="M222" s="36"/>
      <c r="N222" s="36"/>
      <c r="O222" s="36"/>
    </row>
    <row r="223">
      <c r="M223" s="36"/>
      <c r="N223" s="36"/>
      <c r="O223" s="36"/>
    </row>
    <row r="224">
      <c r="M224" s="36"/>
      <c r="N224" s="36"/>
      <c r="O224" s="36"/>
    </row>
    <row r="225">
      <c r="M225" s="36"/>
      <c r="N225" s="36"/>
      <c r="O225" s="36"/>
    </row>
    <row r="226">
      <c r="M226" s="36"/>
      <c r="N226" s="36"/>
      <c r="O226" s="36"/>
    </row>
    <row r="227">
      <c r="M227" s="36"/>
      <c r="N227" s="36"/>
      <c r="O227" s="36"/>
    </row>
    <row r="228">
      <c r="M228" s="36"/>
      <c r="N228" s="36"/>
      <c r="O228" s="36"/>
    </row>
    <row r="229">
      <c r="M229" s="36"/>
      <c r="N229" s="36"/>
      <c r="O229" s="36"/>
    </row>
    <row r="230">
      <c r="M230" s="36"/>
      <c r="N230" s="36"/>
      <c r="O230" s="36"/>
    </row>
    <row r="231">
      <c r="M231" s="36"/>
      <c r="N231" s="36"/>
      <c r="O231" s="36"/>
    </row>
    <row r="232">
      <c r="M232" s="36"/>
      <c r="N232" s="36"/>
      <c r="O232" s="36"/>
    </row>
    <row r="233">
      <c r="M233" s="36"/>
      <c r="N233" s="36"/>
      <c r="O233" s="36"/>
    </row>
    <row r="234">
      <c r="M234" s="36"/>
      <c r="N234" s="36"/>
      <c r="O234" s="36"/>
    </row>
    <row r="235">
      <c r="M235" s="36"/>
      <c r="N235" s="36"/>
      <c r="O235" s="36"/>
    </row>
    <row r="236">
      <c r="M236" s="36"/>
      <c r="N236" s="36"/>
      <c r="O236" s="36"/>
    </row>
    <row r="237">
      <c r="M237" s="36"/>
      <c r="N237" s="36"/>
      <c r="O237" s="36"/>
    </row>
    <row r="238">
      <c r="M238" s="36"/>
      <c r="N238" s="36"/>
      <c r="O238" s="36"/>
    </row>
    <row r="239">
      <c r="M239" s="36"/>
      <c r="N239" s="36"/>
      <c r="O239" s="36"/>
    </row>
    <row r="240">
      <c r="M240" s="36"/>
      <c r="N240" s="36"/>
      <c r="O240" s="36"/>
    </row>
    <row r="241">
      <c r="M241" s="36"/>
      <c r="N241" s="36"/>
      <c r="O241" s="36"/>
    </row>
    <row r="242">
      <c r="M242" s="36"/>
      <c r="N242" s="36"/>
      <c r="O242" s="36"/>
    </row>
    <row r="243">
      <c r="M243" s="36"/>
      <c r="N243" s="36"/>
      <c r="O243" s="36"/>
    </row>
    <row r="244">
      <c r="M244" s="36"/>
      <c r="N244" s="36"/>
      <c r="O244" s="36"/>
    </row>
    <row r="245">
      <c r="M245" s="36"/>
      <c r="N245" s="36"/>
      <c r="O245" s="36"/>
    </row>
    <row r="246">
      <c r="M246" s="36"/>
      <c r="N246" s="36"/>
      <c r="O246" s="36"/>
    </row>
    <row r="247">
      <c r="M247" s="36"/>
      <c r="N247" s="36"/>
      <c r="O247" s="36"/>
    </row>
    <row r="248">
      <c r="M248" s="36"/>
      <c r="N248" s="36"/>
      <c r="O248" s="36"/>
    </row>
    <row r="249">
      <c r="M249" s="36"/>
      <c r="N249" s="36"/>
      <c r="O249" s="36"/>
    </row>
    <row r="250">
      <c r="M250" s="36"/>
      <c r="N250" s="36"/>
      <c r="O250" s="36"/>
    </row>
    <row r="251">
      <c r="M251" s="36"/>
      <c r="N251" s="36"/>
      <c r="O251" s="36"/>
    </row>
    <row r="252">
      <c r="M252" s="36"/>
      <c r="N252" s="36"/>
      <c r="O252" s="36"/>
    </row>
    <row r="253">
      <c r="M253" s="36"/>
      <c r="N253" s="36"/>
      <c r="O253" s="36"/>
    </row>
    <row r="254">
      <c r="M254" s="36"/>
      <c r="N254" s="36"/>
      <c r="O254" s="36"/>
    </row>
    <row r="255">
      <c r="M255" s="36"/>
      <c r="N255" s="36"/>
      <c r="O255" s="36"/>
    </row>
    <row r="256">
      <c r="M256" s="36"/>
      <c r="N256" s="36"/>
      <c r="O256" s="36"/>
    </row>
    <row r="257">
      <c r="M257" s="36"/>
      <c r="N257" s="36"/>
      <c r="O257" s="36"/>
    </row>
    <row r="258">
      <c r="M258" s="36"/>
      <c r="N258" s="36"/>
      <c r="O258" s="36"/>
    </row>
    <row r="259">
      <c r="M259" s="36"/>
      <c r="N259" s="36"/>
      <c r="O259" s="36"/>
    </row>
    <row r="260">
      <c r="M260" s="36"/>
      <c r="N260" s="36"/>
      <c r="O260" s="36"/>
    </row>
    <row r="261">
      <c r="M261" s="36"/>
      <c r="N261" s="36"/>
      <c r="O261" s="36"/>
    </row>
    <row r="262">
      <c r="M262" s="36"/>
      <c r="N262" s="36"/>
      <c r="O262" s="36"/>
    </row>
    <row r="263">
      <c r="M263" s="36"/>
      <c r="N263" s="36"/>
      <c r="O263" s="36"/>
    </row>
    <row r="264">
      <c r="M264" s="36"/>
      <c r="N264" s="36"/>
      <c r="O264" s="36"/>
    </row>
    <row r="265">
      <c r="M265" s="36"/>
      <c r="N265" s="36"/>
      <c r="O265" s="36"/>
    </row>
    <row r="266">
      <c r="M266" s="36"/>
      <c r="N266" s="36"/>
      <c r="O266" s="36"/>
    </row>
    <row r="267">
      <c r="M267" s="36"/>
      <c r="N267" s="36"/>
      <c r="O267" s="36"/>
    </row>
    <row r="268">
      <c r="M268" s="36"/>
      <c r="N268" s="36"/>
      <c r="O268" s="36"/>
    </row>
    <row r="269">
      <c r="M269" s="36"/>
      <c r="N269" s="36"/>
      <c r="O269" s="36"/>
    </row>
    <row r="270">
      <c r="M270" s="36"/>
      <c r="N270" s="36"/>
      <c r="O270" s="36"/>
    </row>
    <row r="271">
      <c r="M271" s="36"/>
      <c r="N271" s="36"/>
      <c r="O271" s="36"/>
    </row>
    <row r="272">
      <c r="M272" s="36"/>
      <c r="N272" s="36"/>
      <c r="O272" s="36"/>
    </row>
    <row r="273">
      <c r="M273" s="36"/>
      <c r="N273" s="36"/>
      <c r="O273" s="36"/>
    </row>
    <row r="274">
      <c r="M274" s="36"/>
      <c r="N274" s="36"/>
      <c r="O274" s="36"/>
    </row>
    <row r="275">
      <c r="M275" s="36"/>
      <c r="N275" s="36"/>
      <c r="O275" s="36"/>
    </row>
    <row r="276">
      <c r="M276" s="36"/>
      <c r="N276" s="36"/>
      <c r="O276" s="36"/>
    </row>
    <row r="277">
      <c r="M277" s="36"/>
      <c r="N277" s="36"/>
      <c r="O277" s="36"/>
    </row>
    <row r="278">
      <c r="M278" s="36"/>
      <c r="N278" s="36"/>
      <c r="O278" s="36"/>
    </row>
    <row r="279">
      <c r="M279" s="36"/>
      <c r="N279" s="36"/>
      <c r="O279" s="36"/>
    </row>
    <row r="280">
      <c r="M280" s="36"/>
      <c r="N280" s="36"/>
      <c r="O280" s="36"/>
    </row>
    <row r="281">
      <c r="M281" s="36"/>
      <c r="N281" s="36"/>
      <c r="O281" s="36"/>
    </row>
    <row r="282">
      <c r="M282" s="36"/>
      <c r="N282" s="36"/>
      <c r="O282" s="36"/>
    </row>
    <row r="283">
      <c r="M283" s="36"/>
      <c r="N283" s="36"/>
      <c r="O283" s="36"/>
    </row>
    <row r="284">
      <c r="M284" s="36"/>
      <c r="N284" s="36"/>
      <c r="O284" s="36"/>
    </row>
    <row r="285">
      <c r="M285" s="36"/>
      <c r="N285" s="36"/>
      <c r="O285" s="36"/>
    </row>
    <row r="286">
      <c r="M286" s="36"/>
      <c r="N286" s="36"/>
      <c r="O286" s="36"/>
    </row>
    <row r="287">
      <c r="M287" s="36"/>
      <c r="N287" s="36"/>
      <c r="O287" s="36"/>
    </row>
    <row r="288">
      <c r="M288" s="36"/>
      <c r="N288" s="36"/>
      <c r="O288" s="36"/>
    </row>
    <row r="289">
      <c r="M289" s="36"/>
      <c r="N289" s="36"/>
      <c r="O289" s="36"/>
    </row>
    <row r="290">
      <c r="M290" s="36"/>
      <c r="N290" s="36"/>
      <c r="O290" s="36"/>
    </row>
    <row r="291">
      <c r="M291" s="36"/>
      <c r="N291" s="36"/>
      <c r="O291" s="36"/>
    </row>
    <row r="292">
      <c r="M292" s="36"/>
      <c r="N292" s="36"/>
      <c r="O292" s="36"/>
    </row>
    <row r="293">
      <c r="M293" s="36"/>
      <c r="N293" s="36"/>
      <c r="O293" s="36"/>
    </row>
    <row r="294">
      <c r="M294" s="36"/>
      <c r="N294" s="36"/>
      <c r="O294" s="36"/>
    </row>
    <row r="295">
      <c r="M295" s="36"/>
      <c r="N295" s="36"/>
      <c r="O295" s="36"/>
    </row>
    <row r="296">
      <c r="M296" s="36"/>
      <c r="N296" s="36"/>
      <c r="O296" s="36"/>
    </row>
    <row r="297">
      <c r="M297" s="36"/>
      <c r="N297" s="36"/>
      <c r="O297" s="36"/>
    </row>
    <row r="298">
      <c r="M298" s="36"/>
      <c r="N298" s="36"/>
      <c r="O298" s="36"/>
    </row>
    <row r="299">
      <c r="M299" s="36"/>
      <c r="N299" s="36"/>
      <c r="O299" s="36"/>
    </row>
    <row r="300">
      <c r="M300" s="36"/>
      <c r="N300" s="36"/>
      <c r="O300" s="36"/>
    </row>
    <row r="301">
      <c r="M301" s="36"/>
      <c r="N301" s="36"/>
      <c r="O301" s="36"/>
    </row>
    <row r="302">
      <c r="M302" s="36"/>
      <c r="N302" s="36"/>
      <c r="O302" s="36"/>
    </row>
    <row r="303">
      <c r="M303" s="36"/>
      <c r="N303" s="36"/>
      <c r="O303" s="36"/>
    </row>
    <row r="304">
      <c r="M304" s="36"/>
      <c r="N304" s="36"/>
      <c r="O304" s="36"/>
    </row>
    <row r="305">
      <c r="M305" s="36"/>
      <c r="N305" s="36"/>
      <c r="O305" s="36"/>
    </row>
    <row r="306">
      <c r="M306" s="36"/>
      <c r="N306" s="36"/>
      <c r="O306" s="36"/>
    </row>
    <row r="307">
      <c r="M307" s="36"/>
      <c r="N307" s="36"/>
      <c r="O307" s="36"/>
    </row>
    <row r="308">
      <c r="M308" s="36"/>
      <c r="N308" s="36"/>
      <c r="O308" s="36"/>
    </row>
    <row r="309">
      <c r="M309" s="36"/>
      <c r="N309" s="36"/>
      <c r="O309" s="36"/>
    </row>
    <row r="310">
      <c r="M310" s="36"/>
      <c r="N310" s="36"/>
      <c r="O310" s="36"/>
    </row>
    <row r="311">
      <c r="M311" s="36"/>
      <c r="N311" s="36"/>
      <c r="O311" s="36"/>
    </row>
    <row r="312">
      <c r="M312" s="36"/>
      <c r="N312" s="36"/>
      <c r="O312" s="36"/>
    </row>
    <row r="313">
      <c r="M313" s="36"/>
      <c r="N313" s="36"/>
      <c r="O313" s="36"/>
    </row>
    <row r="314">
      <c r="M314" s="36"/>
      <c r="N314" s="36"/>
      <c r="O314" s="36"/>
    </row>
    <row r="315">
      <c r="M315" s="36"/>
      <c r="N315" s="36"/>
      <c r="O315" s="36"/>
    </row>
    <row r="316">
      <c r="M316" s="36"/>
      <c r="N316" s="36"/>
      <c r="O316" s="36"/>
    </row>
    <row r="317">
      <c r="M317" s="36"/>
      <c r="N317" s="36"/>
      <c r="O317" s="36"/>
    </row>
    <row r="318">
      <c r="M318" s="36"/>
      <c r="N318" s="36"/>
      <c r="O318" s="36"/>
    </row>
    <row r="319">
      <c r="M319" s="36"/>
      <c r="N319" s="36"/>
      <c r="O319" s="36"/>
    </row>
    <row r="320">
      <c r="M320" s="36"/>
      <c r="N320" s="36"/>
      <c r="O320" s="36"/>
    </row>
    <row r="321">
      <c r="M321" s="36"/>
      <c r="N321" s="36"/>
      <c r="O321" s="36"/>
    </row>
    <row r="322">
      <c r="M322" s="36"/>
      <c r="N322" s="36"/>
      <c r="O322" s="36"/>
    </row>
    <row r="323">
      <c r="M323" s="36"/>
      <c r="N323" s="36"/>
      <c r="O323" s="36"/>
    </row>
    <row r="324">
      <c r="M324" s="36"/>
      <c r="N324" s="36"/>
      <c r="O324" s="36"/>
    </row>
    <row r="325">
      <c r="M325" s="36"/>
      <c r="N325" s="36"/>
      <c r="O325" s="36"/>
    </row>
    <row r="326">
      <c r="M326" s="36"/>
      <c r="N326" s="36"/>
      <c r="O326" s="36"/>
    </row>
    <row r="327">
      <c r="M327" s="36"/>
      <c r="N327" s="36"/>
      <c r="O327" s="36"/>
    </row>
    <row r="328">
      <c r="M328" s="36"/>
      <c r="N328" s="36"/>
      <c r="O328" s="36"/>
    </row>
    <row r="329">
      <c r="M329" s="36"/>
      <c r="N329" s="36"/>
      <c r="O329" s="36"/>
    </row>
    <row r="330">
      <c r="M330" s="36"/>
      <c r="N330" s="36"/>
      <c r="O330" s="36"/>
    </row>
    <row r="331">
      <c r="M331" s="36"/>
      <c r="N331" s="36"/>
      <c r="O331" s="36"/>
    </row>
    <row r="332">
      <c r="M332" s="36"/>
      <c r="N332" s="36"/>
      <c r="O332" s="36"/>
    </row>
    <row r="333">
      <c r="M333" s="36"/>
      <c r="N333" s="36"/>
      <c r="O333" s="36"/>
    </row>
    <row r="334">
      <c r="M334" s="36"/>
      <c r="N334" s="36"/>
      <c r="O334" s="36"/>
    </row>
    <row r="335">
      <c r="M335" s="36"/>
      <c r="N335" s="36"/>
      <c r="O335" s="36"/>
    </row>
    <row r="336">
      <c r="M336" s="36"/>
      <c r="N336" s="36"/>
      <c r="O336" s="36"/>
    </row>
    <row r="337">
      <c r="M337" s="36"/>
      <c r="N337" s="36"/>
      <c r="O337" s="36"/>
    </row>
    <row r="338">
      <c r="M338" s="36"/>
      <c r="N338" s="36"/>
      <c r="O338" s="36"/>
    </row>
    <row r="339">
      <c r="M339" s="36"/>
      <c r="N339" s="36"/>
      <c r="O339" s="36"/>
    </row>
    <row r="340">
      <c r="M340" s="36"/>
      <c r="N340" s="36"/>
      <c r="O340" s="36"/>
    </row>
    <row r="341">
      <c r="M341" s="36"/>
      <c r="N341" s="36"/>
      <c r="O341" s="36"/>
    </row>
    <row r="342">
      <c r="M342" s="36"/>
      <c r="N342" s="36"/>
      <c r="O342" s="36"/>
    </row>
    <row r="343">
      <c r="M343" s="36"/>
      <c r="N343" s="36"/>
      <c r="O343" s="36"/>
    </row>
    <row r="344">
      <c r="M344" s="36"/>
      <c r="N344" s="36"/>
      <c r="O344" s="36"/>
    </row>
    <row r="345">
      <c r="M345" s="36"/>
      <c r="N345" s="36"/>
      <c r="O345" s="36"/>
    </row>
    <row r="346">
      <c r="M346" s="36"/>
      <c r="N346" s="36"/>
      <c r="O346" s="36"/>
    </row>
    <row r="347">
      <c r="M347" s="36"/>
      <c r="N347" s="36"/>
      <c r="O347" s="36"/>
    </row>
    <row r="348">
      <c r="M348" s="36"/>
      <c r="N348" s="36"/>
      <c r="O348" s="36"/>
    </row>
    <row r="349">
      <c r="M349" s="36"/>
      <c r="N349" s="36"/>
      <c r="O349" s="36"/>
    </row>
    <row r="350">
      <c r="M350" s="36"/>
      <c r="N350" s="36"/>
      <c r="O350" s="36"/>
    </row>
    <row r="351">
      <c r="M351" s="36"/>
      <c r="N351" s="36"/>
      <c r="O351" s="36"/>
    </row>
    <row r="352">
      <c r="M352" s="36"/>
      <c r="N352" s="36"/>
      <c r="O352" s="36"/>
    </row>
    <row r="353">
      <c r="M353" s="36"/>
      <c r="N353" s="36"/>
      <c r="O353" s="36"/>
    </row>
    <row r="354">
      <c r="M354" s="36"/>
      <c r="N354" s="36"/>
      <c r="O354" s="36"/>
    </row>
    <row r="355">
      <c r="M355" s="36"/>
      <c r="N355" s="36"/>
      <c r="O355" s="36"/>
    </row>
    <row r="356">
      <c r="M356" s="36"/>
      <c r="N356" s="36"/>
      <c r="O356" s="36"/>
    </row>
    <row r="357">
      <c r="M357" s="36"/>
      <c r="N357" s="36"/>
      <c r="O357" s="36"/>
    </row>
    <row r="358">
      <c r="M358" s="36"/>
      <c r="N358" s="36"/>
      <c r="O358" s="36"/>
    </row>
    <row r="359">
      <c r="M359" s="36"/>
      <c r="N359" s="36"/>
      <c r="O359" s="36"/>
    </row>
    <row r="360">
      <c r="M360" s="36"/>
      <c r="N360" s="36"/>
      <c r="O360" s="36"/>
    </row>
    <row r="361">
      <c r="M361" s="36"/>
      <c r="N361" s="36"/>
      <c r="O361" s="36"/>
    </row>
    <row r="362">
      <c r="M362" s="36"/>
      <c r="N362" s="36"/>
      <c r="O362" s="36"/>
    </row>
    <row r="363">
      <c r="M363" s="36"/>
      <c r="N363" s="36"/>
      <c r="O363" s="36"/>
    </row>
    <row r="364">
      <c r="M364" s="36"/>
      <c r="N364" s="36"/>
      <c r="O364" s="36"/>
    </row>
    <row r="365">
      <c r="M365" s="36"/>
      <c r="N365" s="36"/>
      <c r="O365" s="36"/>
    </row>
    <row r="366">
      <c r="M366" s="36"/>
      <c r="N366" s="36"/>
      <c r="O366" s="36"/>
    </row>
    <row r="367">
      <c r="M367" s="36"/>
      <c r="N367" s="36"/>
      <c r="O367" s="36"/>
    </row>
    <row r="368">
      <c r="M368" s="36"/>
      <c r="N368" s="36"/>
      <c r="O368" s="36"/>
    </row>
    <row r="369">
      <c r="M369" s="36"/>
      <c r="N369" s="36"/>
      <c r="O369" s="36"/>
    </row>
    <row r="370">
      <c r="M370" s="36"/>
      <c r="N370" s="36"/>
      <c r="O370" s="36"/>
    </row>
    <row r="371">
      <c r="M371" s="36"/>
      <c r="N371" s="36"/>
      <c r="O371" s="36"/>
    </row>
    <row r="372">
      <c r="M372" s="36"/>
      <c r="N372" s="36"/>
      <c r="O372" s="36"/>
    </row>
    <row r="373">
      <c r="M373" s="36"/>
      <c r="N373" s="36"/>
      <c r="O373" s="36"/>
    </row>
    <row r="374">
      <c r="M374" s="36"/>
      <c r="N374" s="36"/>
      <c r="O374" s="36"/>
    </row>
    <row r="375">
      <c r="M375" s="36"/>
      <c r="N375" s="36"/>
      <c r="O375" s="36"/>
    </row>
    <row r="376">
      <c r="M376" s="36"/>
      <c r="N376" s="36"/>
      <c r="O376" s="36"/>
    </row>
    <row r="377">
      <c r="M377" s="36"/>
      <c r="N377" s="36"/>
      <c r="O377" s="36"/>
    </row>
    <row r="378">
      <c r="M378" s="36"/>
      <c r="N378" s="36"/>
      <c r="O378" s="36"/>
    </row>
    <row r="379">
      <c r="M379" s="36"/>
      <c r="N379" s="36"/>
      <c r="O379" s="36"/>
    </row>
    <row r="380">
      <c r="M380" s="36"/>
      <c r="N380" s="36"/>
      <c r="O380" s="36"/>
    </row>
    <row r="381">
      <c r="M381" s="36"/>
      <c r="N381" s="36"/>
      <c r="O381" s="36"/>
    </row>
    <row r="382">
      <c r="M382" s="36"/>
      <c r="N382" s="36"/>
      <c r="O382" s="36"/>
    </row>
    <row r="383">
      <c r="M383" s="36"/>
      <c r="N383" s="36"/>
      <c r="O383" s="36"/>
    </row>
    <row r="384">
      <c r="M384" s="36"/>
      <c r="N384" s="36"/>
      <c r="O384" s="36"/>
    </row>
    <row r="385">
      <c r="M385" s="36"/>
      <c r="N385" s="36"/>
      <c r="O385" s="36"/>
    </row>
    <row r="386">
      <c r="M386" s="36"/>
      <c r="N386" s="36"/>
      <c r="O386" s="36"/>
    </row>
    <row r="387">
      <c r="M387" s="36"/>
      <c r="N387" s="36"/>
      <c r="O387" s="36"/>
    </row>
    <row r="388">
      <c r="M388" s="36"/>
      <c r="N388" s="36"/>
      <c r="O388" s="36"/>
    </row>
    <row r="389">
      <c r="M389" s="36"/>
      <c r="N389" s="36"/>
      <c r="O389" s="36"/>
    </row>
    <row r="390">
      <c r="M390" s="36"/>
      <c r="N390" s="36"/>
      <c r="O390" s="36"/>
    </row>
    <row r="391">
      <c r="M391" s="36"/>
      <c r="N391" s="36"/>
      <c r="O391" s="36"/>
    </row>
    <row r="392">
      <c r="M392" s="36"/>
      <c r="N392" s="36"/>
      <c r="O392" s="36"/>
    </row>
    <row r="393">
      <c r="M393" s="36"/>
      <c r="N393" s="36"/>
      <c r="O393" s="36"/>
    </row>
    <row r="394">
      <c r="M394" s="36"/>
      <c r="N394" s="36"/>
      <c r="O394" s="36"/>
    </row>
    <row r="395">
      <c r="M395" s="36"/>
      <c r="N395" s="36"/>
      <c r="O395" s="36"/>
    </row>
    <row r="396">
      <c r="M396" s="36"/>
      <c r="N396" s="36"/>
      <c r="O396" s="36"/>
    </row>
    <row r="397">
      <c r="M397" s="36"/>
      <c r="N397" s="36"/>
      <c r="O397" s="36"/>
    </row>
    <row r="398">
      <c r="M398" s="36"/>
      <c r="N398" s="36"/>
      <c r="O398" s="36"/>
    </row>
    <row r="399">
      <c r="M399" s="36"/>
      <c r="N399" s="36"/>
      <c r="O399" s="36"/>
    </row>
    <row r="400">
      <c r="M400" s="36"/>
      <c r="N400" s="36"/>
      <c r="O400" s="36"/>
    </row>
    <row r="401">
      <c r="M401" s="36"/>
      <c r="N401" s="36"/>
      <c r="O401" s="36"/>
    </row>
    <row r="402">
      <c r="M402" s="36"/>
      <c r="N402" s="36"/>
      <c r="O402" s="36"/>
    </row>
    <row r="403">
      <c r="M403" s="36"/>
      <c r="N403" s="36"/>
      <c r="O403" s="36"/>
    </row>
    <row r="404">
      <c r="M404" s="36"/>
      <c r="N404" s="36"/>
      <c r="O404" s="36"/>
    </row>
    <row r="405">
      <c r="M405" s="36"/>
      <c r="N405" s="36"/>
      <c r="O405" s="36"/>
    </row>
    <row r="406">
      <c r="M406" s="36"/>
      <c r="N406" s="36"/>
      <c r="O406" s="36"/>
    </row>
    <row r="407">
      <c r="M407" s="36"/>
      <c r="N407" s="36"/>
      <c r="O407" s="36"/>
    </row>
    <row r="408">
      <c r="M408" s="36"/>
      <c r="N408" s="36"/>
      <c r="O408" s="36"/>
    </row>
    <row r="409">
      <c r="M409" s="36"/>
      <c r="N409" s="36"/>
      <c r="O409" s="36"/>
    </row>
    <row r="410">
      <c r="M410" s="36"/>
      <c r="N410" s="36"/>
      <c r="O410" s="36"/>
    </row>
    <row r="411">
      <c r="M411" s="36"/>
      <c r="N411" s="36"/>
      <c r="O411" s="36"/>
    </row>
    <row r="412">
      <c r="M412" s="36"/>
      <c r="N412" s="36"/>
      <c r="O412" s="36"/>
    </row>
    <row r="413">
      <c r="M413" s="36"/>
      <c r="N413" s="36"/>
      <c r="O413" s="36"/>
    </row>
    <row r="414">
      <c r="M414" s="36"/>
      <c r="N414" s="36"/>
      <c r="O414" s="36"/>
    </row>
    <row r="415">
      <c r="M415" s="36"/>
      <c r="N415" s="36"/>
      <c r="O415" s="36"/>
    </row>
    <row r="416">
      <c r="M416" s="36"/>
      <c r="N416" s="36"/>
      <c r="O416" s="36"/>
    </row>
    <row r="417">
      <c r="M417" s="36"/>
      <c r="N417" s="36"/>
      <c r="O417" s="36"/>
    </row>
    <row r="418">
      <c r="M418" s="36"/>
      <c r="N418" s="36"/>
      <c r="O418" s="36"/>
    </row>
    <row r="419">
      <c r="M419" s="36"/>
      <c r="N419" s="36"/>
      <c r="O419" s="36"/>
    </row>
    <row r="420">
      <c r="M420" s="36"/>
      <c r="N420" s="36"/>
      <c r="O420" s="36"/>
    </row>
    <row r="421">
      <c r="M421" s="36"/>
      <c r="N421" s="36"/>
      <c r="O421" s="36"/>
    </row>
    <row r="422">
      <c r="M422" s="36"/>
      <c r="N422" s="36"/>
      <c r="O422" s="36"/>
    </row>
    <row r="423">
      <c r="M423" s="36"/>
      <c r="N423" s="36"/>
      <c r="O423" s="36"/>
    </row>
    <row r="424">
      <c r="M424" s="36"/>
      <c r="N424" s="36"/>
      <c r="O424" s="36"/>
    </row>
    <row r="425">
      <c r="M425" s="36"/>
      <c r="N425" s="36"/>
      <c r="O425" s="36"/>
    </row>
    <row r="426">
      <c r="M426" s="36"/>
      <c r="N426" s="36"/>
      <c r="O426" s="36"/>
    </row>
    <row r="427">
      <c r="M427" s="36"/>
      <c r="N427" s="36"/>
      <c r="O427" s="36"/>
    </row>
    <row r="428">
      <c r="M428" s="36"/>
      <c r="N428" s="36"/>
      <c r="O428" s="36"/>
    </row>
    <row r="429">
      <c r="M429" s="36"/>
      <c r="N429" s="36"/>
      <c r="O429" s="36"/>
    </row>
    <row r="430">
      <c r="M430" s="36"/>
      <c r="N430" s="36"/>
      <c r="O430" s="36"/>
    </row>
    <row r="431">
      <c r="M431" s="36"/>
      <c r="N431" s="36"/>
      <c r="O431" s="36"/>
    </row>
    <row r="432">
      <c r="M432" s="36"/>
      <c r="N432" s="36"/>
      <c r="O432" s="36"/>
    </row>
    <row r="433">
      <c r="M433" s="36"/>
      <c r="N433" s="36"/>
      <c r="O433" s="36"/>
    </row>
    <row r="434">
      <c r="M434" s="36"/>
      <c r="N434" s="36"/>
      <c r="O434" s="36"/>
    </row>
    <row r="435">
      <c r="M435" s="36"/>
      <c r="N435" s="36"/>
      <c r="O435" s="36"/>
    </row>
    <row r="436">
      <c r="M436" s="36"/>
      <c r="N436" s="36"/>
      <c r="O436" s="36"/>
    </row>
    <row r="437">
      <c r="M437" s="36"/>
      <c r="N437" s="36"/>
      <c r="O437" s="36"/>
    </row>
    <row r="438">
      <c r="M438" s="36"/>
      <c r="N438" s="36"/>
      <c r="O438" s="36"/>
    </row>
    <row r="439">
      <c r="M439" s="36"/>
      <c r="N439" s="36"/>
      <c r="O439" s="36"/>
    </row>
    <row r="440">
      <c r="M440" s="36"/>
      <c r="N440" s="36"/>
      <c r="O440" s="36"/>
    </row>
    <row r="441">
      <c r="M441" s="36"/>
      <c r="N441" s="36"/>
      <c r="O441" s="36"/>
    </row>
    <row r="442">
      <c r="M442" s="36"/>
      <c r="N442" s="36"/>
      <c r="O442" s="36"/>
    </row>
    <row r="443">
      <c r="M443" s="36"/>
      <c r="N443" s="36"/>
      <c r="O443" s="36"/>
    </row>
    <row r="444">
      <c r="M444" s="36"/>
      <c r="N444" s="36"/>
      <c r="O444" s="36"/>
    </row>
    <row r="445">
      <c r="M445" s="36"/>
      <c r="N445" s="36"/>
      <c r="O445" s="36"/>
    </row>
    <row r="446">
      <c r="M446" s="36"/>
      <c r="N446" s="36"/>
      <c r="O446" s="36"/>
    </row>
    <row r="447">
      <c r="M447" s="36"/>
      <c r="N447" s="36"/>
      <c r="O447" s="36"/>
    </row>
    <row r="448">
      <c r="M448" s="36"/>
      <c r="N448" s="36"/>
      <c r="O448" s="36"/>
    </row>
    <row r="449">
      <c r="M449" s="36"/>
      <c r="N449" s="36"/>
      <c r="O449" s="36"/>
    </row>
    <row r="450">
      <c r="M450" s="36"/>
      <c r="N450" s="36"/>
      <c r="O450" s="36"/>
    </row>
    <row r="451">
      <c r="M451" s="36"/>
      <c r="N451" s="36"/>
      <c r="O451" s="36"/>
    </row>
    <row r="452">
      <c r="M452" s="36"/>
      <c r="N452" s="36"/>
      <c r="O452" s="36"/>
    </row>
    <row r="453">
      <c r="M453" s="36"/>
      <c r="N453" s="36"/>
      <c r="O453" s="36"/>
    </row>
    <row r="454">
      <c r="M454" s="36"/>
      <c r="N454" s="36"/>
      <c r="O454" s="36"/>
    </row>
    <row r="455">
      <c r="M455" s="36"/>
      <c r="N455" s="36"/>
      <c r="O455" s="36"/>
    </row>
    <row r="456">
      <c r="M456" s="36"/>
      <c r="N456" s="36"/>
      <c r="O456" s="36"/>
    </row>
    <row r="457">
      <c r="M457" s="36"/>
      <c r="N457" s="36"/>
      <c r="O457" s="36"/>
    </row>
    <row r="458">
      <c r="M458" s="36"/>
      <c r="N458" s="36"/>
      <c r="O458" s="36"/>
    </row>
    <row r="459">
      <c r="M459" s="36"/>
      <c r="N459" s="36"/>
      <c r="O459" s="36"/>
    </row>
    <row r="460">
      <c r="M460" s="36"/>
      <c r="N460" s="36"/>
      <c r="O460" s="36"/>
    </row>
    <row r="461">
      <c r="M461" s="36"/>
      <c r="N461" s="36"/>
      <c r="O461" s="36"/>
    </row>
    <row r="462">
      <c r="M462" s="36"/>
      <c r="N462" s="36"/>
      <c r="O462" s="36"/>
    </row>
    <row r="463">
      <c r="M463" s="36"/>
      <c r="N463" s="36"/>
      <c r="O463" s="36"/>
    </row>
    <row r="464">
      <c r="M464" s="36"/>
      <c r="N464" s="36"/>
      <c r="O464" s="36"/>
    </row>
    <row r="465">
      <c r="M465" s="36"/>
      <c r="N465" s="36"/>
      <c r="O465" s="36"/>
    </row>
    <row r="466">
      <c r="M466" s="36"/>
      <c r="N466" s="36"/>
      <c r="O466" s="36"/>
    </row>
    <row r="467">
      <c r="M467" s="36"/>
      <c r="N467" s="36"/>
      <c r="O467" s="36"/>
    </row>
    <row r="468">
      <c r="M468" s="36"/>
      <c r="N468" s="36"/>
      <c r="O468" s="36"/>
    </row>
    <row r="469">
      <c r="M469" s="36"/>
      <c r="N469" s="36"/>
      <c r="O469" s="36"/>
    </row>
    <row r="470">
      <c r="M470" s="36"/>
      <c r="N470" s="36"/>
      <c r="O470" s="36"/>
    </row>
    <row r="471">
      <c r="M471" s="36"/>
      <c r="N471" s="36"/>
      <c r="O471" s="36"/>
    </row>
    <row r="472">
      <c r="M472" s="36"/>
      <c r="N472" s="36"/>
      <c r="O472" s="36"/>
    </row>
    <row r="473">
      <c r="M473" s="36"/>
      <c r="N473" s="36"/>
      <c r="O473" s="36"/>
    </row>
    <row r="474">
      <c r="M474" s="36"/>
      <c r="N474" s="36"/>
      <c r="O474" s="36"/>
    </row>
    <row r="475">
      <c r="M475" s="36"/>
      <c r="N475" s="36"/>
      <c r="O475" s="36"/>
    </row>
    <row r="476">
      <c r="M476" s="36"/>
      <c r="N476" s="36"/>
      <c r="O476" s="36"/>
    </row>
    <row r="477">
      <c r="M477" s="36"/>
      <c r="N477" s="36"/>
      <c r="O477" s="36"/>
    </row>
    <row r="478">
      <c r="M478" s="36"/>
      <c r="N478" s="36"/>
      <c r="O478" s="36"/>
    </row>
    <row r="479">
      <c r="M479" s="36"/>
      <c r="N479" s="36"/>
      <c r="O479" s="36"/>
    </row>
    <row r="480">
      <c r="M480" s="36"/>
      <c r="N480" s="36"/>
      <c r="O480" s="36"/>
    </row>
    <row r="481">
      <c r="M481" s="36"/>
      <c r="N481" s="36"/>
      <c r="O481" s="36"/>
    </row>
    <row r="482">
      <c r="M482" s="36"/>
      <c r="N482" s="36"/>
      <c r="O482" s="36"/>
    </row>
    <row r="483">
      <c r="M483" s="36"/>
      <c r="N483" s="36"/>
      <c r="O483" s="36"/>
    </row>
    <row r="484">
      <c r="M484" s="36"/>
      <c r="N484" s="36"/>
      <c r="O484" s="36"/>
    </row>
    <row r="485">
      <c r="M485" s="36"/>
      <c r="N485" s="36"/>
      <c r="O485" s="36"/>
    </row>
    <row r="486">
      <c r="M486" s="36"/>
      <c r="N486" s="36"/>
      <c r="O486" s="36"/>
    </row>
    <row r="487">
      <c r="M487" s="36"/>
      <c r="N487" s="36"/>
      <c r="O487" s="36"/>
    </row>
    <row r="488">
      <c r="M488" s="36"/>
      <c r="N488" s="36"/>
      <c r="O488" s="36"/>
    </row>
    <row r="489">
      <c r="M489" s="36"/>
      <c r="N489" s="36"/>
      <c r="O489" s="36"/>
    </row>
    <row r="490">
      <c r="M490" s="36"/>
      <c r="N490" s="36"/>
      <c r="O490" s="36"/>
    </row>
    <row r="491">
      <c r="M491" s="36"/>
      <c r="N491" s="36"/>
      <c r="O491" s="36"/>
    </row>
    <row r="492">
      <c r="M492" s="36"/>
      <c r="N492" s="36"/>
      <c r="O492" s="36"/>
    </row>
    <row r="493">
      <c r="M493" s="36"/>
      <c r="N493" s="36"/>
      <c r="O493" s="36"/>
    </row>
    <row r="494">
      <c r="M494" s="36"/>
      <c r="N494" s="36"/>
      <c r="O494" s="36"/>
    </row>
    <row r="495">
      <c r="M495" s="36"/>
      <c r="N495" s="36"/>
      <c r="O495" s="36"/>
    </row>
    <row r="496">
      <c r="M496" s="36"/>
      <c r="N496" s="36"/>
      <c r="O496" s="36"/>
    </row>
    <row r="497">
      <c r="M497" s="36"/>
      <c r="N497" s="36"/>
      <c r="O497" s="36"/>
    </row>
    <row r="498">
      <c r="M498" s="36"/>
      <c r="N498" s="36"/>
      <c r="O498" s="36"/>
    </row>
    <row r="499">
      <c r="M499" s="36"/>
      <c r="N499" s="36"/>
      <c r="O499" s="36"/>
    </row>
    <row r="500">
      <c r="M500" s="36"/>
      <c r="N500" s="36"/>
      <c r="O500" s="36"/>
    </row>
    <row r="501">
      <c r="M501" s="36"/>
      <c r="N501" s="36"/>
      <c r="O501" s="36"/>
    </row>
    <row r="502">
      <c r="M502" s="36"/>
      <c r="N502" s="36"/>
      <c r="O502" s="36"/>
    </row>
    <row r="503">
      <c r="M503" s="36"/>
      <c r="N503" s="36"/>
      <c r="O503" s="36"/>
    </row>
    <row r="504">
      <c r="M504" s="36"/>
      <c r="N504" s="36"/>
      <c r="O504" s="36"/>
    </row>
    <row r="505">
      <c r="M505" s="36"/>
      <c r="N505" s="36"/>
      <c r="O505" s="36"/>
    </row>
    <row r="506">
      <c r="M506" s="36"/>
      <c r="N506" s="36"/>
      <c r="O506" s="36"/>
    </row>
    <row r="507">
      <c r="M507" s="36"/>
      <c r="N507" s="36"/>
      <c r="O507" s="36"/>
    </row>
    <row r="508">
      <c r="M508" s="36"/>
      <c r="N508" s="36"/>
      <c r="O508" s="36"/>
    </row>
    <row r="509">
      <c r="M509" s="36"/>
      <c r="N509" s="36"/>
      <c r="O509" s="36"/>
    </row>
    <row r="510">
      <c r="M510" s="36"/>
      <c r="N510" s="36"/>
      <c r="O510" s="36"/>
    </row>
    <row r="511">
      <c r="M511" s="36"/>
      <c r="N511" s="36"/>
      <c r="O511" s="36"/>
    </row>
    <row r="512">
      <c r="M512" s="36"/>
      <c r="N512" s="36"/>
      <c r="O512" s="36"/>
    </row>
    <row r="513">
      <c r="M513" s="36"/>
      <c r="N513" s="36"/>
      <c r="O513" s="36"/>
    </row>
    <row r="514">
      <c r="M514" s="36"/>
      <c r="N514" s="36"/>
      <c r="O514" s="36"/>
    </row>
    <row r="515">
      <c r="M515" s="36"/>
      <c r="N515" s="36"/>
      <c r="O515" s="36"/>
    </row>
    <row r="516">
      <c r="M516" s="36"/>
      <c r="N516" s="36"/>
      <c r="O516" s="36"/>
    </row>
    <row r="517">
      <c r="M517" s="36"/>
      <c r="N517" s="36"/>
      <c r="O517" s="36"/>
    </row>
    <row r="518">
      <c r="M518" s="36"/>
      <c r="N518" s="36"/>
      <c r="O518" s="36"/>
    </row>
    <row r="519">
      <c r="M519" s="36"/>
      <c r="N519" s="36"/>
      <c r="O519" s="36"/>
    </row>
    <row r="520">
      <c r="M520" s="36"/>
      <c r="N520" s="36"/>
      <c r="O520" s="36"/>
    </row>
    <row r="521">
      <c r="M521" s="36"/>
      <c r="N521" s="36"/>
      <c r="O521" s="36"/>
    </row>
    <row r="522">
      <c r="M522" s="36"/>
      <c r="N522" s="36"/>
      <c r="O522" s="36"/>
    </row>
    <row r="523">
      <c r="M523" s="36"/>
      <c r="N523" s="36"/>
      <c r="O523" s="36"/>
    </row>
    <row r="524">
      <c r="M524" s="36"/>
      <c r="N524" s="36"/>
      <c r="O524" s="36"/>
    </row>
    <row r="525">
      <c r="M525" s="36"/>
      <c r="N525" s="36"/>
      <c r="O525" s="36"/>
    </row>
    <row r="526">
      <c r="M526" s="36"/>
      <c r="N526" s="36"/>
      <c r="O526" s="36"/>
    </row>
    <row r="527">
      <c r="M527" s="36"/>
      <c r="N527" s="36"/>
      <c r="O527" s="36"/>
    </row>
    <row r="528">
      <c r="M528" s="36"/>
      <c r="N528" s="36"/>
      <c r="O528" s="36"/>
    </row>
    <row r="529">
      <c r="M529" s="36"/>
      <c r="N529" s="36"/>
      <c r="O529" s="36"/>
    </row>
    <row r="530">
      <c r="M530" s="36"/>
      <c r="N530" s="36"/>
      <c r="O530" s="36"/>
    </row>
    <row r="531">
      <c r="M531" s="36"/>
      <c r="N531" s="36"/>
      <c r="O531" s="36"/>
    </row>
    <row r="532">
      <c r="M532" s="36"/>
      <c r="N532" s="36"/>
      <c r="O532" s="36"/>
    </row>
    <row r="533">
      <c r="M533" s="36"/>
      <c r="N533" s="36"/>
      <c r="O533" s="36"/>
    </row>
    <row r="534">
      <c r="M534" s="36"/>
      <c r="N534" s="36"/>
      <c r="O534" s="36"/>
    </row>
    <row r="535">
      <c r="M535" s="36"/>
      <c r="N535" s="36"/>
      <c r="O535" s="36"/>
    </row>
    <row r="536">
      <c r="M536" s="36"/>
      <c r="N536" s="36"/>
      <c r="O536" s="36"/>
    </row>
    <row r="537">
      <c r="M537" s="36"/>
      <c r="N537" s="36"/>
      <c r="O537" s="36"/>
    </row>
    <row r="538">
      <c r="M538" s="36"/>
      <c r="N538" s="36"/>
      <c r="O538" s="36"/>
    </row>
    <row r="539">
      <c r="M539" s="36"/>
      <c r="N539" s="36"/>
      <c r="O539" s="36"/>
    </row>
    <row r="540">
      <c r="M540" s="36"/>
      <c r="N540" s="36"/>
      <c r="O540" s="36"/>
    </row>
    <row r="541">
      <c r="M541" s="36"/>
      <c r="N541" s="36"/>
      <c r="O541" s="36"/>
    </row>
    <row r="542">
      <c r="M542" s="36"/>
      <c r="N542" s="36"/>
      <c r="O542" s="36"/>
    </row>
    <row r="543">
      <c r="M543" s="36"/>
      <c r="N543" s="36"/>
      <c r="O543" s="36"/>
    </row>
    <row r="544">
      <c r="M544" s="36"/>
      <c r="N544" s="36"/>
      <c r="O544" s="36"/>
    </row>
    <row r="545">
      <c r="M545" s="36"/>
      <c r="N545" s="36"/>
      <c r="O545" s="36"/>
    </row>
    <row r="546">
      <c r="M546" s="36"/>
      <c r="N546" s="36"/>
      <c r="O546" s="36"/>
    </row>
    <row r="547">
      <c r="M547" s="36"/>
      <c r="N547" s="36"/>
      <c r="O547" s="36"/>
    </row>
    <row r="548">
      <c r="M548" s="36"/>
      <c r="N548" s="36"/>
      <c r="O548" s="36"/>
    </row>
    <row r="549">
      <c r="M549" s="36"/>
      <c r="N549" s="36"/>
      <c r="O549" s="36"/>
    </row>
    <row r="550">
      <c r="M550" s="36"/>
      <c r="N550" s="36"/>
      <c r="O550" s="36"/>
    </row>
    <row r="551">
      <c r="M551" s="36"/>
      <c r="N551" s="36"/>
      <c r="O551" s="36"/>
    </row>
    <row r="552">
      <c r="M552" s="36"/>
      <c r="N552" s="36"/>
      <c r="O552" s="36"/>
    </row>
    <row r="553">
      <c r="M553" s="36"/>
      <c r="N553" s="36"/>
      <c r="O553" s="36"/>
    </row>
    <row r="554">
      <c r="M554" s="36"/>
      <c r="N554" s="36"/>
      <c r="O554" s="36"/>
    </row>
    <row r="555">
      <c r="M555" s="36"/>
      <c r="N555" s="36"/>
      <c r="O555" s="36"/>
    </row>
    <row r="556">
      <c r="M556" s="36"/>
      <c r="N556" s="36"/>
      <c r="O556" s="36"/>
    </row>
    <row r="557">
      <c r="M557" s="36"/>
      <c r="N557" s="36"/>
      <c r="O557" s="36"/>
    </row>
    <row r="558">
      <c r="M558" s="36"/>
      <c r="N558" s="36"/>
      <c r="O558" s="36"/>
    </row>
    <row r="559">
      <c r="M559" s="36"/>
      <c r="N559" s="36"/>
      <c r="O559" s="36"/>
    </row>
    <row r="560">
      <c r="M560" s="36"/>
      <c r="N560" s="36"/>
      <c r="O560" s="36"/>
    </row>
    <row r="561">
      <c r="M561" s="36"/>
      <c r="N561" s="36"/>
      <c r="O561" s="36"/>
    </row>
    <row r="562">
      <c r="M562" s="36"/>
      <c r="N562" s="36"/>
      <c r="O562" s="36"/>
    </row>
    <row r="563">
      <c r="M563" s="36"/>
      <c r="N563" s="36"/>
      <c r="O563" s="36"/>
    </row>
    <row r="564">
      <c r="M564" s="36"/>
      <c r="N564" s="36"/>
      <c r="O564" s="36"/>
    </row>
    <row r="565">
      <c r="M565" s="36"/>
      <c r="N565" s="36"/>
      <c r="O565" s="36"/>
    </row>
    <row r="566">
      <c r="M566" s="36"/>
      <c r="N566" s="36"/>
      <c r="O566" s="36"/>
    </row>
    <row r="567">
      <c r="M567" s="36"/>
      <c r="N567" s="36"/>
      <c r="O567" s="36"/>
    </row>
    <row r="568">
      <c r="M568" s="36"/>
      <c r="N568" s="36"/>
      <c r="O568" s="36"/>
    </row>
    <row r="569">
      <c r="M569" s="36"/>
      <c r="N569" s="36"/>
      <c r="O569" s="36"/>
    </row>
    <row r="570">
      <c r="M570" s="36"/>
      <c r="N570" s="36"/>
      <c r="O570" s="36"/>
    </row>
    <row r="571">
      <c r="M571" s="36"/>
      <c r="N571" s="36"/>
      <c r="O571" s="36"/>
    </row>
    <row r="572">
      <c r="M572" s="36"/>
      <c r="N572" s="36"/>
      <c r="O572" s="36"/>
    </row>
    <row r="573">
      <c r="M573" s="36"/>
      <c r="N573" s="36"/>
      <c r="O573" s="36"/>
    </row>
    <row r="574">
      <c r="M574" s="36"/>
      <c r="N574" s="36"/>
      <c r="O574" s="36"/>
    </row>
    <row r="575">
      <c r="M575" s="36"/>
      <c r="N575" s="36"/>
      <c r="O575" s="36"/>
    </row>
    <row r="576">
      <c r="M576" s="36"/>
      <c r="N576" s="36"/>
      <c r="O576" s="36"/>
    </row>
    <row r="577">
      <c r="M577" s="36"/>
      <c r="N577" s="36"/>
      <c r="O577" s="36"/>
    </row>
    <row r="578">
      <c r="M578" s="36"/>
      <c r="N578" s="36"/>
      <c r="O578" s="36"/>
    </row>
    <row r="579">
      <c r="M579" s="36"/>
      <c r="N579" s="36"/>
      <c r="O579" s="36"/>
    </row>
    <row r="580">
      <c r="M580" s="36"/>
      <c r="N580" s="36"/>
      <c r="O580" s="36"/>
    </row>
    <row r="581">
      <c r="M581" s="36"/>
      <c r="N581" s="36"/>
      <c r="O581" s="36"/>
    </row>
    <row r="582">
      <c r="M582" s="36"/>
      <c r="N582" s="36"/>
      <c r="O582" s="36"/>
    </row>
    <row r="583">
      <c r="M583" s="36"/>
      <c r="N583" s="36"/>
      <c r="O583" s="36"/>
    </row>
    <row r="584">
      <c r="M584" s="36"/>
      <c r="N584" s="36"/>
      <c r="O584" s="36"/>
    </row>
    <row r="585">
      <c r="M585" s="36"/>
      <c r="N585" s="36"/>
      <c r="O585" s="36"/>
    </row>
    <row r="586">
      <c r="M586" s="36"/>
      <c r="N586" s="36"/>
      <c r="O586" s="36"/>
    </row>
    <row r="587">
      <c r="M587" s="36"/>
      <c r="N587" s="36"/>
      <c r="O587" s="36"/>
    </row>
    <row r="588">
      <c r="M588" s="36"/>
      <c r="N588" s="36"/>
      <c r="O588" s="36"/>
    </row>
    <row r="589">
      <c r="M589" s="36"/>
      <c r="N589" s="36"/>
      <c r="O589" s="36"/>
    </row>
    <row r="590">
      <c r="M590" s="36"/>
      <c r="N590" s="36"/>
      <c r="O590" s="36"/>
    </row>
    <row r="591">
      <c r="M591" s="36"/>
      <c r="N591" s="36"/>
      <c r="O591" s="36"/>
    </row>
    <row r="592">
      <c r="M592" s="36"/>
      <c r="N592" s="36"/>
      <c r="O592" s="36"/>
    </row>
    <row r="593">
      <c r="M593" s="36"/>
      <c r="N593" s="36"/>
      <c r="O593" s="36"/>
    </row>
    <row r="594">
      <c r="M594" s="36"/>
      <c r="N594" s="36"/>
      <c r="O594" s="36"/>
    </row>
    <row r="595">
      <c r="M595" s="36"/>
      <c r="N595" s="36"/>
      <c r="O595" s="36"/>
    </row>
    <row r="596">
      <c r="M596" s="36"/>
      <c r="N596" s="36"/>
      <c r="O596" s="36"/>
    </row>
    <row r="597">
      <c r="M597" s="36"/>
      <c r="N597" s="36"/>
      <c r="O597" s="36"/>
    </row>
    <row r="598">
      <c r="M598" s="36"/>
      <c r="N598" s="36"/>
      <c r="O598" s="36"/>
    </row>
    <row r="599">
      <c r="M599" s="36"/>
      <c r="N599" s="36"/>
      <c r="O599" s="36"/>
    </row>
    <row r="600">
      <c r="M600" s="36"/>
      <c r="N600" s="36"/>
      <c r="O600" s="36"/>
    </row>
    <row r="601">
      <c r="M601" s="36"/>
      <c r="N601" s="36"/>
      <c r="O601" s="36"/>
    </row>
    <row r="602">
      <c r="M602" s="36"/>
      <c r="N602" s="36"/>
      <c r="O602" s="36"/>
    </row>
    <row r="603">
      <c r="M603" s="36"/>
      <c r="N603" s="36"/>
      <c r="O603" s="36"/>
    </row>
    <row r="604">
      <c r="M604" s="36"/>
      <c r="N604" s="36"/>
      <c r="O604" s="36"/>
    </row>
    <row r="605">
      <c r="M605" s="36"/>
      <c r="N605" s="36"/>
      <c r="O605" s="36"/>
    </row>
    <row r="606">
      <c r="M606" s="36"/>
      <c r="N606" s="36"/>
      <c r="O606" s="36"/>
    </row>
    <row r="607">
      <c r="M607" s="36"/>
      <c r="N607" s="36"/>
      <c r="O607" s="36"/>
    </row>
    <row r="608">
      <c r="M608" s="36"/>
      <c r="N608" s="36"/>
      <c r="O608" s="36"/>
    </row>
    <row r="609">
      <c r="M609" s="36"/>
      <c r="N609" s="36"/>
      <c r="O609" s="36"/>
    </row>
    <row r="610">
      <c r="M610" s="36"/>
      <c r="N610" s="36"/>
      <c r="O610" s="36"/>
    </row>
    <row r="611">
      <c r="M611" s="36"/>
      <c r="N611" s="36"/>
      <c r="O611" s="36"/>
    </row>
    <row r="612">
      <c r="M612" s="36"/>
      <c r="N612" s="36"/>
      <c r="O612" s="36"/>
    </row>
    <row r="613">
      <c r="M613" s="36"/>
      <c r="N613" s="36"/>
      <c r="O613" s="36"/>
    </row>
    <row r="614">
      <c r="M614" s="36"/>
      <c r="N614" s="36"/>
      <c r="O614" s="36"/>
    </row>
    <row r="615">
      <c r="M615" s="36"/>
      <c r="N615" s="36"/>
      <c r="O615" s="36"/>
    </row>
    <row r="616">
      <c r="M616" s="36"/>
      <c r="N616" s="36"/>
      <c r="O616" s="36"/>
    </row>
    <row r="617">
      <c r="M617" s="36"/>
      <c r="N617" s="36"/>
      <c r="O617" s="36"/>
    </row>
    <row r="618">
      <c r="M618" s="36"/>
      <c r="N618" s="36"/>
      <c r="O618" s="36"/>
    </row>
    <row r="619">
      <c r="M619" s="36"/>
      <c r="N619" s="36"/>
      <c r="O619" s="36"/>
    </row>
    <row r="620">
      <c r="M620" s="36"/>
      <c r="N620" s="36"/>
      <c r="O620" s="36"/>
    </row>
    <row r="621">
      <c r="M621" s="36"/>
      <c r="N621" s="36"/>
      <c r="O621" s="36"/>
    </row>
    <row r="622">
      <c r="M622" s="36"/>
      <c r="N622" s="36"/>
      <c r="O622" s="36"/>
    </row>
    <row r="623">
      <c r="M623" s="36"/>
      <c r="N623" s="36"/>
      <c r="O623" s="36"/>
    </row>
    <row r="624">
      <c r="M624" s="36"/>
      <c r="N624" s="36"/>
      <c r="O624" s="36"/>
    </row>
    <row r="625">
      <c r="M625" s="36"/>
      <c r="N625" s="36"/>
      <c r="O625" s="36"/>
    </row>
    <row r="626">
      <c r="M626" s="36"/>
      <c r="N626" s="36"/>
      <c r="O626" s="36"/>
    </row>
    <row r="627">
      <c r="M627" s="36"/>
      <c r="N627" s="36"/>
      <c r="O627" s="36"/>
    </row>
    <row r="628">
      <c r="M628" s="36"/>
      <c r="N628" s="36"/>
      <c r="O628" s="36"/>
    </row>
    <row r="629">
      <c r="M629" s="36"/>
      <c r="N629" s="36"/>
      <c r="O629" s="36"/>
    </row>
    <row r="630">
      <c r="M630" s="36"/>
      <c r="N630" s="36"/>
      <c r="O630" s="36"/>
    </row>
    <row r="631">
      <c r="M631" s="36"/>
      <c r="N631" s="36"/>
      <c r="O631" s="36"/>
    </row>
    <row r="632">
      <c r="M632" s="36"/>
      <c r="N632" s="36"/>
      <c r="O632" s="36"/>
    </row>
    <row r="633">
      <c r="M633" s="36"/>
      <c r="N633" s="36"/>
      <c r="O633" s="36"/>
    </row>
    <row r="634">
      <c r="M634" s="36"/>
      <c r="N634" s="36"/>
      <c r="O634" s="36"/>
    </row>
    <row r="635">
      <c r="M635" s="36"/>
      <c r="N635" s="36"/>
      <c r="O635" s="36"/>
    </row>
    <row r="636">
      <c r="M636" s="36"/>
      <c r="N636" s="36"/>
      <c r="O636" s="36"/>
    </row>
    <row r="637">
      <c r="M637" s="36"/>
      <c r="N637" s="36"/>
      <c r="O637" s="36"/>
    </row>
    <row r="638">
      <c r="M638" s="36"/>
      <c r="N638" s="36"/>
      <c r="O638" s="36"/>
    </row>
    <row r="639">
      <c r="M639" s="36"/>
      <c r="N639" s="36"/>
      <c r="O639" s="36"/>
    </row>
    <row r="640">
      <c r="M640" s="36"/>
      <c r="N640" s="36"/>
      <c r="O640" s="36"/>
    </row>
    <row r="641">
      <c r="M641" s="36"/>
      <c r="N641" s="36"/>
      <c r="O641" s="36"/>
    </row>
    <row r="642">
      <c r="M642" s="36"/>
      <c r="N642" s="36"/>
      <c r="O642" s="36"/>
    </row>
    <row r="643">
      <c r="M643" s="36"/>
      <c r="N643" s="36"/>
      <c r="O643" s="36"/>
    </row>
    <row r="644">
      <c r="M644" s="36"/>
      <c r="N644" s="36"/>
      <c r="O644" s="36"/>
    </row>
    <row r="645">
      <c r="M645" s="36"/>
      <c r="N645" s="36"/>
      <c r="O645" s="36"/>
    </row>
    <row r="646">
      <c r="M646" s="36"/>
      <c r="N646" s="36"/>
      <c r="O646" s="36"/>
    </row>
    <row r="647">
      <c r="M647" s="36"/>
      <c r="N647" s="36"/>
      <c r="O647" s="36"/>
    </row>
    <row r="648">
      <c r="M648" s="36"/>
      <c r="N648" s="36"/>
      <c r="O648" s="36"/>
    </row>
    <row r="649">
      <c r="M649" s="36"/>
      <c r="N649" s="36"/>
      <c r="O649" s="36"/>
    </row>
    <row r="650">
      <c r="M650" s="36"/>
      <c r="N650" s="36"/>
      <c r="O650" s="36"/>
    </row>
    <row r="651">
      <c r="M651" s="36"/>
      <c r="N651" s="36"/>
      <c r="O651" s="36"/>
    </row>
    <row r="652">
      <c r="M652" s="36"/>
      <c r="N652" s="36"/>
      <c r="O652" s="36"/>
    </row>
    <row r="653">
      <c r="M653" s="36"/>
      <c r="N653" s="36"/>
      <c r="O653" s="36"/>
    </row>
    <row r="654">
      <c r="M654" s="36"/>
      <c r="N654" s="36"/>
      <c r="O654" s="36"/>
    </row>
    <row r="655">
      <c r="M655" s="36"/>
      <c r="N655" s="36"/>
      <c r="O655" s="36"/>
    </row>
    <row r="656">
      <c r="M656" s="36"/>
      <c r="N656" s="36"/>
      <c r="O656" s="36"/>
    </row>
    <row r="657">
      <c r="M657" s="36"/>
      <c r="N657" s="36"/>
      <c r="O657" s="36"/>
    </row>
    <row r="658">
      <c r="M658" s="36"/>
      <c r="N658" s="36"/>
      <c r="O658" s="36"/>
    </row>
    <row r="659">
      <c r="M659" s="36"/>
      <c r="N659" s="36"/>
      <c r="O659" s="36"/>
    </row>
    <row r="660">
      <c r="M660" s="36"/>
      <c r="N660" s="36"/>
      <c r="O660" s="36"/>
    </row>
    <row r="661">
      <c r="M661" s="36"/>
      <c r="N661" s="36"/>
      <c r="O661" s="36"/>
    </row>
    <row r="662">
      <c r="M662" s="36"/>
      <c r="N662" s="36"/>
      <c r="O662" s="36"/>
    </row>
    <row r="663">
      <c r="M663" s="36"/>
      <c r="N663" s="36"/>
      <c r="O663" s="36"/>
    </row>
    <row r="664">
      <c r="M664" s="36"/>
      <c r="N664" s="36"/>
      <c r="O664" s="36"/>
    </row>
    <row r="665">
      <c r="M665" s="36"/>
      <c r="N665" s="36"/>
      <c r="O665" s="36"/>
    </row>
    <row r="666">
      <c r="M666" s="36"/>
      <c r="N666" s="36"/>
      <c r="O666" s="36"/>
    </row>
    <row r="667">
      <c r="M667" s="36"/>
      <c r="N667" s="36"/>
      <c r="O667" s="36"/>
    </row>
    <row r="668">
      <c r="M668" s="36"/>
      <c r="N668" s="36"/>
      <c r="O668" s="36"/>
    </row>
    <row r="669">
      <c r="M669" s="36"/>
      <c r="N669" s="36"/>
      <c r="O669" s="36"/>
    </row>
    <row r="670">
      <c r="M670" s="36"/>
      <c r="N670" s="36"/>
      <c r="O670" s="36"/>
    </row>
    <row r="671">
      <c r="M671" s="36"/>
      <c r="N671" s="36"/>
      <c r="O671" s="36"/>
    </row>
    <row r="672">
      <c r="M672" s="36"/>
      <c r="N672" s="36"/>
      <c r="O672" s="36"/>
    </row>
    <row r="673">
      <c r="M673" s="36"/>
      <c r="N673" s="36"/>
      <c r="O673" s="36"/>
    </row>
    <row r="674">
      <c r="M674" s="36"/>
      <c r="N674" s="36"/>
      <c r="O674" s="36"/>
    </row>
    <row r="675">
      <c r="M675" s="36"/>
      <c r="N675" s="36"/>
      <c r="O675" s="36"/>
    </row>
    <row r="676">
      <c r="M676" s="36"/>
      <c r="N676" s="36"/>
      <c r="O676" s="36"/>
    </row>
    <row r="677">
      <c r="M677" s="36"/>
      <c r="N677" s="36"/>
      <c r="O677" s="36"/>
    </row>
    <row r="678">
      <c r="M678" s="36"/>
      <c r="N678" s="36"/>
      <c r="O678" s="36"/>
    </row>
    <row r="679">
      <c r="M679" s="36"/>
      <c r="N679" s="36"/>
      <c r="O679" s="36"/>
    </row>
    <row r="680">
      <c r="M680" s="36"/>
      <c r="N680" s="36"/>
      <c r="O680" s="36"/>
    </row>
    <row r="681">
      <c r="M681" s="36"/>
      <c r="N681" s="36"/>
      <c r="O681" s="36"/>
    </row>
    <row r="682">
      <c r="M682" s="36"/>
      <c r="N682" s="36"/>
      <c r="O682" s="36"/>
    </row>
    <row r="683">
      <c r="M683" s="36"/>
      <c r="N683" s="36"/>
      <c r="O683" s="36"/>
    </row>
    <row r="684">
      <c r="M684" s="36"/>
      <c r="N684" s="36"/>
      <c r="O684" s="36"/>
    </row>
    <row r="685">
      <c r="M685" s="36"/>
      <c r="N685" s="36"/>
      <c r="O685" s="36"/>
    </row>
    <row r="686">
      <c r="M686" s="36"/>
      <c r="N686" s="36"/>
      <c r="O686" s="36"/>
    </row>
    <row r="687">
      <c r="M687" s="36"/>
      <c r="N687" s="36"/>
      <c r="O687" s="36"/>
    </row>
    <row r="688">
      <c r="M688" s="36"/>
      <c r="N688" s="36"/>
      <c r="O688" s="36"/>
    </row>
    <row r="689">
      <c r="M689" s="36"/>
      <c r="N689" s="36"/>
      <c r="O689" s="36"/>
    </row>
    <row r="690">
      <c r="M690" s="36"/>
      <c r="N690" s="36"/>
      <c r="O690" s="36"/>
    </row>
    <row r="691">
      <c r="M691" s="36"/>
      <c r="N691" s="36"/>
      <c r="O691" s="36"/>
    </row>
    <row r="692">
      <c r="M692" s="36"/>
      <c r="N692" s="36"/>
      <c r="O692" s="36"/>
    </row>
    <row r="693">
      <c r="M693" s="36"/>
      <c r="N693" s="36"/>
      <c r="O693" s="36"/>
    </row>
    <row r="694">
      <c r="M694" s="36"/>
      <c r="N694" s="36"/>
      <c r="O694" s="36"/>
    </row>
    <row r="695">
      <c r="M695" s="36"/>
      <c r="N695" s="36"/>
      <c r="O695" s="36"/>
    </row>
    <row r="696">
      <c r="M696" s="36"/>
      <c r="N696" s="36"/>
      <c r="O696" s="36"/>
    </row>
    <row r="697">
      <c r="M697" s="36"/>
      <c r="N697" s="36"/>
      <c r="O697" s="36"/>
    </row>
    <row r="698">
      <c r="M698" s="36"/>
      <c r="N698" s="36"/>
      <c r="O698" s="36"/>
    </row>
    <row r="699">
      <c r="M699" s="36"/>
      <c r="N699" s="36"/>
      <c r="O699" s="36"/>
    </row>
    <row r="700">
      <c r="M700" s="36"/>
      <c r="N700" s="36"/>
      <c r="O700" s="36"/>
    </row>
    <row r="701">
      <c r="M701" s="36"/>
      <c r="N701" s="36"/>
      <c r="O701" s="36"/>
    </row>
    <row r="702">
      <c r="M702" s="36"/>
      <c r="N702" s="36"/>
      <c r="O702" s="36"/>
    </row>
    <row r="703">
      <c r="M703" s="36"/>
      <c r="N703" s="36"/>
      <c r="O703" s="36"/>
    </row>
    <row r="704">
      <c r="M704" s="36"/>
      <c r="N704" s="36"/>
      <c r="O704" s="36"/>
    </row>
    <row r="705">
      <c r="M705" s="36"/>
      <c r="N705" s="36"/>
      <c r="O705" s="36"/>
    </row>
    <row r="706">
      <c r="M706" s="36"/>
      <c r="N706" s="36"/>
      <c r="O706" s="36"/>
    </row>
    <row r="707">
      <c r="M707" s="36"/>
      <c r="N707" s="36"/>
      <c r="O707" s="36"/>
    </row>
    <row r="708">
      <c r="M708" s="36"/>
      <c r="N708" s="36"/>
      <c r="O708" s="36"/>
    </row>
    <row r="709">
      <c r="M709" s="36"/>
      <c r="N709" s="36"/>
      <c r="O709" s="36"/>
    </row>
    <row r="710">
      <c r="M710" s="36"/>
      <c r="N710" s="36"/>
      <c r="O710" s="36"/>
    </row>
    <row r="711">
      <c r="M711" s="36"/>
      <c r="N711" s="36"/>
      <c r="O711" s="36"/>
    </row>
    <row r="712">
      <c r="M712" s="36"/>
      <c r="N712" s="36"/>
      <c r="O712" s="36"/>
    </row>
    <row r="713">
      <c r="M713" s="36"/>
      <c r="N713" s="36"/>
      <c r="O713" s="36"/>
    </row>
    <row r="714">
      <c r="M714" s="36"/>
      <c r="N714" s="36"/>
      <c r="O714" s="36"/>
    </row>
    <row r="715">
      <c r="M715" s="36"/>
      <c r="N715" s="36"/>
      <c r="O715" s="36"/>
    </row>
    <row r="716">
      <c r="M716" s="36"/>
      <c r="N716" s="36"/>
      <c r="O716" s="36"/>
    </row>
    <row r="717">
      <c r="M717" s="36"/>
      <c r="N717" s="36"/>
      <c r="O717" s="36"/>
    </row>
    <row r="718">
      <c r="M718" s="36"/>
      <c r="N718" s="36"/>
      <c r="O718" s="36"/>
    </row>
    <row r="719">
      <c r="M719" s="36"/>
      <c r="N719" s="36"/>
      <c r="O719" s="36"/>
    </row>
    <row r="720">
      <c r="M720" s="36"/>
      <c r="N720" s="36"/>
      <c r="O720" s="36"/>
    </row>
    <row r="721">
      <c r="M721" s="36"/>
      <c r="N721" s="36"/>
      <c r="O721" s="36"/>
    </row>
    <row r="722">
      <c r="M722" s="36"/>
      <c r="N722" s="36"/>
      <c r="O722" s="36"/>
    </row>
    <row r="723">
      <c r="M723" s="36"/>
      <c r="N723" s="36"/>
      <c r="O723" s="36"/>
    </row>
    <row r="724">
      <c r="M724" s="36"/>
      <c r="N724" s="36"/>
      <c r="O724" s="36"/>
    </row>
    <row r="725">
      <c r="M725" s="36"/>
      <c r="N725" s="36"/>
      <c r="O725" s="36"/>
    </row>
    <row r="726">
      <c r="M726" s="36"/>
      <c r="N726" s="36"/>
      <c r="O726" s="36"/>
    </row>
    <row r="727">
      <c r="M727" s="36"/>
      <c r="N727" s="36"/>
      <c r="O727" s="36"/>
    </row>
    <row r="728">
      <c r="M728" s="36"/>
      <c r="N728" s="36"/>
      <c r="O728" s="36"/>
    </row>
    <row r="729">
      <c r="M729" s="36"/>
      <c r="N729" s="36"/>
      <c r="O729" s="36"/>
    </row>
    <row r="730">
      <c r="M730" s="36"/>
      <c r="N730" s="36"/>
      <c r="O730" s="36"/>
    </row>
    <row r="731">
      <c r="M731" s="36"/>
      <c r="N731" s="36"/>
      <c r="O731" s="36"/>
    </row>
    <row r="732">
      <c r="M732" s="36"/>
      <c r="N732" s="36"/>
      <c r="O732" s="36"/>
    </row>
    <row r="733">
      <c r="M733" s="36"/>
      <c r="N733" s="36"/>
      <c r="O733" s="36"/>
    </row>
    <row r="734">
      <c r="M734" s="36"/>
      <c r="N734" s="36"/>
      <c r="O734" s="36"/>
    </row>
    <row r="735">
      <c r="M735" s="36"/>
      <c r="N735" s="36"/>
      <c r="O735" s="36"/>
    </row>
    <row r="736">
      <c r="M736" s="36"/>
      <c r="N736" s="36"/>
      <c r="O736" s="36"/>
    </row>
    <row r="737">
      <c r="M737" s="36"/>
      <c r="N737" s="36"/>
      <c r="O737" s="36"/>
    </row>
    <row r="738">
      <c r="M738" s="36"/>
      <c r="N738" s="36"/>
      <c r="O738" s="36"/>
    </row>
    <row r="739">
      <c r="M739" s="36"/>
      <c r="N739" s="36"/>
      <c r="O739" s="36"/>
    </row>
    <row r="740">
      <c r="M740" s="36"/>
      <c r="N740" s="36"/>
      <c r="O740" s="36"/>
    </row>
    <row r="741">
      <c r="M741" s="36"/>
      <c r="N741" s="36"/>
      <c r="O741" s="36"/>
    </row>
    <row r="742">
      <c r="M742" s="36"/>
      <c r="N742" s="36"/>
      <c r="O742" s="36"/>
    </row>
    <row r="743">
      <c r="M743" s="36"/>
      <c r="N743" s="36"/>
      <c r="O743" s="36"/>
    </row>
    <row r="744">
      <c r="M744" s="36"/>
      <c r="N744" s="36"/>
      <c r="O744" s="36"/>
    </row>
    <row r="745">
      <c r="M745" s="36"/>
      <c r="N745" s="36"/>
      <c r="O745" s="36"/>
    </row>
    <row r="746">
      <c r="M746" s="36"/>
      <c r="N746" s="36"/>
      <c r="O746" s="36"/>
    </row>
    <row r="747">
      <c r="M747" s="36"/>
      <c r="N747" s="36"/>
      <c r="O747" s="36"/>
    </row>
    <row r="748">
      <c r="M748" s="36"/>
      <c r="N748" s="36"/>
      <c r="O748" s="36"/>
    </row>
    <row r="749">
      <c r="M749" s="36"/>
      <c r="N749" s="36"/>
      <c r="O749" s="36"/>
    </row>
    <row r="750">
      <c r="M750" s="36"/>
      <c r="N750" s="36"/>
      <c r="O750" s="36"/>
    </row>
    <row r="751">
      <c r="M751" s="36"/>
      <c r="N751" s="36"/>
      <c r="O751" s="36"/>
    </row>
    <row r="752">
      <c r="M752" s="36"/>
      <c r="N752" s="36"/>
      <c r="O752" s="36"/>
    </row>
    <row r="753">
      <c r="M753" s="36"/>
      <c r="N753" s="36"/>
      <c r="O753" s="36"/>
    </row>
    <row r="754">
      <c r="M754" s="36"/>
      <c r="N754" s="36"/>
      <c r="O754" s="36"/>
    </row>
    <row r="755">
      <c r="M755" s="36"/>
      <c r="N755" s="36"/>
      <c r="O755" s="36"/>
    </row>
    <row r="756">
      <c r="M756" s="36"/>
      <c r="N756" s="36"/>
      <c r="O756" s="36"/>
    </row>
    <row r="757">
      <c r="M757" s="36"/>
      <c r="N757" s="36"/>
      <c r="O757" s="36"/>
    </row>
    <row r="758">
      <c r="M758" s="36"/>
      <c r="N758" s="36"/>
      <c r="O758" s="36"/>
    </row>
    <row r="759">
      <c r="M759" s="36"/>
      <c r="N759" s="36"/>
      <c r="O759" s="36"/>
    </row>
    <row r="760">
      <c r="M760" s="36"/>
      <c r="N760" s="36"/>
      <c r="O760" s="36"/>
    </row>
    <row r="761">
      <c r="M761" s="36"/>
      <c r="N761" s="36"/>
      <c r="O761" s="36"/>
    </row>
    <row r="762">
      <c r="M762" s="36"/>
      <c r="N762" s="36"/>
      <c r="O762" s="36"/>
    </row>
    <row r="763">
      <c r="M763" s="36"/>
      <c r="N763" s="36"/>
      <c r="O763" s="36"/>
    </row>
    <row r="764">
      <c r="M764" s="36"/>
      <c r="N764" s="36"/>
      <c r="O764" s="36"/>
    </row>
    <row r="765">
      <c r="M765" s="36"/>
      <c r="N765" s="36"/>
      <c r="O765" s="36"/>
    </row>
    <row r="766">
      <c r="M766" s="36"/>
      <c r="N766" s="36"/>
      <c r="O766" s="36"/>
    </row>
    <row r="767">
      <c r="M767" s="36"/>
      <c r="N767" s="36"/>
      <c r="O767" s="36"/>
    </row>
    <row r="768">
      <c r="M768" s="36"/>
      <c r="N768" s="36"/>
      <c r="O768" s="36"/>
    </row>
    <row r="769">
      <c r="M769" s="36"/>
      <c r="N769" s="36"/>
      <c r="O769" s="36"/>
    </row>
    <row r="770">
      <c r="M770" s="36"/>
      <c r="N770" s="36"/>
      <c r="O770" s="36"/>
    </row>
    <row r="771">
      <c r="M771" s="36"/>
      <c r="N771" s="36"/>
      <c r="O771" s="36"/>
    </row>
    <row r="772">
      <c r="M772" s="36"/>
      <c r="N772" s="36"/>
      <c r="O772" s="36"/>
    </row>
    <row r="773">
      <c r="M773" s="36"/>
      <c r="N773" s="36"/>
      <c r="O773" s="36"/>
    </row>
    <row r="774">
      <c r="M774" s="36"/>
      <c r="N774" s="36"/>
      <c r="O774" s="36"/>
    </row>
    <row r="775">
      <c r="M775" s="36"/>
      <c r="N775" s="36"/>
      <c r="O775" s="36"/>
    </row>
    <row r="776">
      <c r="M776" s="36"/>
      <c r="N776" s="36"/>
      <c r="O776" s="36"/>
    </row>
    <row r="777">
      <c r="M777" s="36"/>
      <c r="N777" s="36"/>
      <c r="O777" s="36"/>
    </row>
    <row r="778">
      <c r="M778" s="36"/>
      <c r="N778" s="36"/>
      <c r="O778" s="36"/>
    </row>
    <row r="779">
      <c r="M779" s="36"/>
      <c r="N779" s="36"/>
      <c r="O779" s="36"/>
    </row>
    <row r="780">
      <c r="M780" s="36"/>
      <c r="N780" s="36"/>
      <c r="O780" s="36"/>
    </row>
    <row r="781">
      <c r="M781" s="36"/>
      <c r="N781" s="36"/>
      <c r="O781" s="36"/>
    </row>
    <row r="782">
      <c r="M782" s="36"/>
      <c r="N782" s="36"/>
      <c r="O782" s="36"/>
    </row>
    <row r="783">
      <c r="M783" s="36"/>
      <c r="N783" s="36"/>
      <c r="O783" s="36"/>
    </row>
    <row r="784">
      <c r="M784" s="36"/>
      <c r="N784" s="36"/>
      <c r="O784" s="36"/>
    </row>
    <row r="785">
      <c r="M785" s="36"/>
      <c r="N785" s="36"/>
      <c r="O785" s="36"/>
    </row>
    <row r="786">
      <c r="M786" s="36"/>
      <c r="N786" s="36"/>
      <c r="O786" s="36"/>
    </row>
    <row r="787">
      <c r="M787" s="36"/>
      <c r="N787" s="36"/>
      <c r="O787" s="36"/>
    </row>
    <row r="788">
      <c r="M788" s="36"/>
      <c r="N788" s="36"/>
      <c r="O788" s="36"/>
    </row>
    <row r="789">
      <c r="M789" s="36"/>
      <c r="N789" s="36"/>
      <c r="O789" s="36"/>
    </row>
    <row r="790">
      <c r="M790" s="36"/>
      <c r="N790" s="36"/>
      <c r="O790" s="36"/>
    </row>
    <row r="791">
      <c r="M791" s="36"/>
      <c r="N791" s="36"/>
      <c r="O791" s="36"/>
    </row>
    <row r="792">
      <c r="M792" s="36"/>
      <c r="N792" s="36"/>
      <c r="O792" s="36"/>
    </row>
    <row r="793">
      <c r="M793" s="36"/>
      <c r="N793" s="36"/>
      <c r="O793" s="36"/>
    </row>
    <row r="794">
      <c r="M794" s="36"/>
      <c r="N794" s="36"/>
      <c r="O794" s="36"/>
    </row>
    <row r="795">
      <c r="M795" s="36"/>
      <c r="N795" s="36"/>
      <c r="O795" s="36"/>
    </row>
    <row r="796">
      <c r="M796" s="36"/>
      <c r="N796" s="36"/>
      <c r="O796" s="36"/>
    </row>
    <row r="797">
      <c r="M797" s="36"/>
      <c r="N797" s="36"/>
      <c r="O797" s="36"/>
    </row>
    <row r="798">
      <c r="M798" s="36"/>
      <c r="N798" s="36"/>
      <c r="O798" s="36"/>
    </row>
    <row r="799">
      <c r="M799" s="36"/>
      <c r="N799" s="36"/>
      <c r="O799" s="36"/>
    </row>
    <row r="800">
      <c r="M800" s="36"/>
      <c r="N800" s="36"/>
      <c r="O800" s="36"/>
    </row>
    <row r="801">
      <c r="M801" s="36"/>
      <c r="N801" s="36"/>
      <c r="O801" s="36"/>
    </row>
    <row r="802">
      <c r="M802" s="36"/>
      <c r="N802" s="36"/>
      <c r="O802" s="36"/>
    </row>
    <row r="803">
      <c r="M803" s="36"/>
      <c r="N803" s="36"/>
      <c r="O803" s="36"/>
    </row>
    <row r="804">
      <c r="M804" s="36"/>
      <c r="N804" s="36"/>
      <c r="O804" s="36"/>
    </row>
    <row r="805">
      <c r="M805" s="36"/>
      <c r="N805" s="36"/>
      <c r="O805" s="36"/>
    </row>
    <row r="806">
      <c r="M806" s="36"/>
      <c r="N806" s="36"/>
      <c r="O806" s="36"/>
    </row>
    <row r="807">
      <c r="M807" s="36"/>
      <c r="N807" s="36"/>
      <c r="O807" s="36"/>
    </row>
    <row r="808">
      <c r="M808" s="36"/>
      <c r="N808" s="36"/>
      <c r="O808" s="36"/>
    </row>
    <row r="809">
      <c r="M809" s="36"/>
      <c r="N809" s="36"/>
      <c r="O809" s="36"/>
    </row>
    <row r="810">
      <c r="M810" s="36"/>
      <c r="N810" s="36"/>
      <c r="O810" s="36"/>
    </row>
    <row r="811">
      <c r="M811" s="36"/>
      <c r="N811" s="36"/>
      <c r="O811" s="36"/>
    </row>
    <row r="812">
      <c r="M812" s="36"/>
      <c r="N812" s="36"/>
      <c r="O812" s="36"/>
    </row>
    <row r="813">
      <c r="M813" s="36"/>
      <c r="N813" s="36"/>
      <c r="O813" s="36"/>
    </row>
    <row r="814">
      <c r="M814" s="36"/>
      <c r="N814" s="36"/>
      <c r="O814" s="36"/>
    </row>
    <row r="815">
      <c r="M815" s="36"/>
      <c r="N815" s="36"/>
      <c r="O815" s="36"/>
    </row>
    <row r="816">
      <c r="M816" s="36"/>
      <c r="N816" s="36"/>
      <c r="O816" s="36"/>
    </row>
    <row r="817">
      <c r="M817" s="36"/>
      <c r="N817" s="36"/>
      <c r="O817" s="36"/>
    </row>
    <row r="818">
      <c r="M818" s="36"/>
      <c r="N818" s="36"/>
      <c r="O818" s="36"/>
    </row>
    <row r="819">
      <c r="M819" s="36"/>
      <c r="N819" s="36"/>
      <c r="O819" s="36"/>
    </row>
    <row r="820">
      <c r="M820" s="36"/>
      <c r="N820" s="36"/>
      <c r="O820" s="36"/>
    </row>
    <row r="821">
      <c r="M821" s="36"/>
      <c r="N821" s="36"/>
      <c r="O821" s="36"/>
    </row>
    <row r="822">
      <c r="M822" s="36"/>
      <c r="N822" s="36"/>
      <c r="O822" s="36"/>
    </row>
    <row r="823">
      <c r="M823" s="36"/>
      <c r="N823" s="36"/>
      <c r="O823" s="36"/>
    </row>
    <row r="824">
      <c r="M824" s="36"/>
      <c r="N824" s="36"/>
      <c r="O824" s="36"/>
    </row>
    <row r="825">
      <c r="M825" s="36"/>
      <c r="N825" s="36"/>
      <c r="O825" s="36"/>
    </row>
    <row r="826">
      <c r="M826" s="36"/>
      <c r="N826" s="36"/>
      <c r="O826" s="36"/>
    </row>
    <row r="827">
      <c r="M827" s="36"/>
      <c r="N827" s="36"/>
      <c r="O827" s="36"/>
    </row>
    <row r="828">
      <c r="M828" s="36"/>
      <c r="N828" s="36"/>
      <c r="O828" s="36"/>
    </row>
    <row r="829">
      <c r="M829" s="36"/>
      <c r="N829" s="36"/>
      <c r="O829" s="36"/>
    </row>
    <row r="830">
      <c r="M830" s="36"/>
      <c r="N830" s="36"/>
      <c r="O830" s="36"/>
    </row>
    <row r="831">
      <c r="M831" s="36"/>
      <c r="N831" s="36"/>
      <c r="O831" s="36"/>
    </row>
    <row r="832">
      <c r="M832" s="36"/>
      <c r="N832" s="36"/>
      <c r="O832" s="36"/>
    </row>
    <row r="833">
      <c r="M833" s="36"/>
      <c r="N833" s="36"/>
      <c r="O833" s="36"/>
    </row>
    <row r="834">
      <c r="M834" s="36"/>
      <c r="N834" s="36"/>
      <c r="O834" s="36"/>
    </row>
    <row r="835">
      <c r="M835" s="36"/>
      <c r="N835" s="36"/>
      <c r="O835" s="36"/>
    </row>
    <row r="836">
      <c r="M836" s="36"/>
      <c r="N836" s="36"/>
      <c r="O836" s="36"/>
    </row>
    <row r="837">
      <c r="M837" s="36"/>
      <c r="N837" s="36"/>
      <c r="O837" s="36"/>
    </row>
    <row r="838">
      <c r="M838" s="36"/>
      <c r="N838" s="36"/>
      <c r="O838" s="36"/>
    </row>
    <row r="839">
      <c r="M839" s="36"/>
      <c r="N839" s="36"/>
      <c r="O839" s="36"/>
    </row>
    <row r="840">
      <c r="M840" s="36"/>
      <c r="N840" s="36"/>
      <c r="O840" s="36"/>
    </row>
    <row r="841">
      <c r="M841" s="36"/>
      <c r="N841" s="36"/>
      <c r="O841" s="36"/>
    </row>
    <row r="842">
      <c r="M842" s="36"/>
      <c r="N842" s="36"/>
      <c r="O842" s="36"/>
    </row>
    <row r="843">
      <c r="M843" s="36"/>
      <c r="N843" s="36"/>
      <c r="O843" s="36"/>
    </row>
    <row r="844">
      <c r="M844" s="36"/>
      <c r="N844" s="36"/>
      <c r="O844" s="36"/>
    </row>
    <row r="845">
      <c r="M845" s="36"/>
      <c r="N845" s="36"/>
      <c r="O845" s="36"/>
    </row>
    <row r="846">
      <c r="M846" s="36"/>
      <c r="N846" s="36"/>
      <c r="O846" s="36"/>
    </row>
    <row r="847">
      <c r="M847" s="36"/>
      <c r="N847" s="36"/>
      <c r="O847" s="36"/>
    </row>
    <row r="848">
      <c r="M848" s="36"/>
      <c r="N848" s="36"/>
      <c r="O848" s="36"/>
    </row>
    <row r="849">
      <c r="M849" s="36"/>
      <c r="N849" s="36"/>
      <c r="O849" s="36"/>
    </row>
    <row r="850">
      <c r="M850" s="36"/>
      <c r="N850" s="36"/>
      <c r="O850" s="36"/>
    </row>
    <row r="851">
      <c r="M851" s="36"/>
      <c r="N851" s="36"/>
      <c r="O851" s="36"/>
    </row>
    <row r="852">
      <c r="M852" s="36"/>
      <c r="N852" s="36"/>
      <c r="O852" s="36"/>
    </row>
    <row r="853">
      <c r="M853" s="36"/>
      <c r="N853" s="36"/>
      <c r="O853" s="36"/>
    </row>
    <row r="854">
      <c r="M854" s="36"/>
      <c r="N854" s="36"/>
      <c r="O854" s="36"/>
    </row>
    <row r="855">
      <c r="M855" s="36"/>
      <c r="N855" s="36"/>
      <c r="O855" s="36"/>
    </row>
    <row r="856">
      <c r="M856" s="36"/>
      <c r="N856" s="36"/>
      <c r="O856" s="36"/>
    </row>
    <row r="857">
      <c r="M857" s="36"/>
      <c r="N857" s="36"/>
      <c r="O857" s="36"/>
    </row>
    <row r="858">
      <c r="M858" s="36"/>
      <c r="N858" s="36"/>
      <c r="O858" s="36"/>
    </row>
    <row r="859">
      <c r="M859" s="36"/>
      <c r="N859" s="36"/>
      <c r="O859" s="36"/>
    </row>
    <row r="860">
      <c r="M860" s="36"/>
      <c r="N860" s="36"/>
      <c r="O860" s="36"/>
    </row>
    <row r="861">
      <c r="M861" s="36"/>
      <c r="N861" s="36"/>
      <c r="O861" s="36"/>
    </row>
    <row r="862">
      <c r="M862" s="36"/>
      <c r="N862" s="36"/>
      <c r="O862" s="36"/>
    </row>
    <row r="863">
      <c r="M863" s="36"/>
      <c r="N863" s="36"/>
      <c r="O863" s="36"/>
    </row>
    <row r="864">
      <c r="M864" s="36"/>
      <c r="N864" s="36"/>
      <c r="O864" s="36"/>
    </row>
    <row r="865">
      <c r="M865" s="36"/>
      <c r="N865" s="36"/>
      <c r="O865" s="36"/>
    </row>
    <row r="866">
      <c r="M866" s="36"/>
      <c r="N866" s="36"/>
      <c r="O866" s="36"/>
    </row>
    <row r="867">
      <c r="M867" s="36"/>
      <c r="N867" s="36"/>
      <c r="O867" s="36"/>
    </row>
    <row r="868">
      <c r="M868" s="36"/>
      <c r="N868" s="36"/>
      <c r="O868" s="36"/>
    </row>
    <row r="869">
      <c r="M869" s="36"/>
      <c r="N869" s="36"/>
      <c r="O869" s="36"/>
    </row>
    <row r="870">
      <c r="M870" s="36"/>
      <c r="N870" s="36"/>
      <c r="O870" s="36"/>
    </row>
    <row r="871">
      <c r="M871" s="36"/>
      <c r="N871" s="36"/>
      <c r="O871" s="36"/>
    </row>
    <row r="872">
      <c r="M872" s="36"/>
      <c r="N872" s="36"/>
      <c r="O872" s="36"/>
    </row>
    <row r="873">
      <c r="M873" s="36"/>
      <c r="N873" s="36"/>
      <c r="O873" s="36"/>
    </row>
    <row r="874">
      <c r="M874" s="36"/>
      <c r="N874" s="36"/>
      <c r="O874" s="36"/>
    </row>
    <row r="875">
      <c r="M875" s="36"/>
      <c r="N875" s="36"/>
      <c r="O875" s="36"/>
    </row>
    <row r="876">
      <c r="M876" s="36"/>
      <c r="N876" s="36"/>
      <c r="O876" s="36"/>
    </row>
    <row r="877">
      <c r="M877" s="36"/>
      <c r="N877" s="36"/>
      <c r="O877" s="36"/>
    </row>
    <row r="878">
      <c r="M878" s="36"/>
      <c r="N878" s="36"/>
      <c r="O878" s="36"/>
    </row>
    <row r="879">
      <c r="M879" s="36"/>
      <c r="N879" s="36"/>
      <c r="O879" s="36"/>
    </row>
    <row r="880">
      <c r="M880" s="36"/>
      <c r="N880" s="36"/>
      <c r="O880" s="36"/>
    </row>
    <row r="881">
      <c r="M881" s="36"/>
      <c r="N881" s="36"/>
      <c r="O881" s="36"/>
    </row>
    <row r="882">
      <c r="M882" s="36"/>
      <c r="N882" s="36"/>
      <c r="O882" s="36"/>
    </row>
    <row r="883">
      <c r="M883" s="36"/>
      <c r="N883" s="36"/>
      <c r="O883" s="36"/>
    </row>
    <row r="884">
      <c r="M884" s="36"/>
      <c r="N884" s="36"/>
      <c r="O884" s="36"/>
    </row>
    <row r="885">
      <c r="M885" s="36"/>
      <c r="N885" s="36"/>
      <c r="O885" s="36"/>
    </row>
    <row r="886">
      <c r="M886" s="36"/>
      <c r="N886" s="36"/>
      <c r="O886" s="36"/>
    </row>
    <row r="887">
      <c r="M887" s="36"/>
      <c r="N887" s="36"/>
      <c r="O887" s="36"/>
    </row>
    <row r="888">
      <c r="M888" s="36"/>
      <c r="N888" s="36"/>
      <c r="O888" s="36"/>
    </row>
    <row r="889">
      <c r="M889" s="36"/>
      <c r="N889" s="36"/>
      <c r="O889" s="36"/>
    </row>
    <row r="890">
      <c r="M890" s="36"/>
      <c r="N890" s="36"/>
      <c r="O890" s="36"/>
    </row>
    <row r="891">
      <c r="M891" s="36"/>
      <c r="N891" s="36"/>
      <c r="O891" s="36"/>
    </row>
    <row r="892">
      <c r="M892" s="36"/>
      <c r="N892" s="36"/>
      <c r="O892" s="36"/>
    </row>
    <row r="893">
      <c r="M893" s="36"/>
      <c r="N893" s="36"/>
      <c r="O893" s="36"/>
    </row>
    <row r="894">
      <c r="M894" s="36"/>
      <c r="N894" s="36"/>
      <c r="O894" s="36"/>
    </row>
    <row r="895">
      <c r="M895" s="36"/>
      <c r="N895" s="36"/>
      <c r="O895" s="36"/>
    </row>
    <row r="896">
      <c r="M896" s="36"/>
      <c r="N896" s="36"/>
      <c r="O896" s="36"/>
    </row>
    <row r="897">
      <c r="M897" s="36"/>
      <c r="N897" s="36"/>
      <c r="O897" s="36"/>
    </row>
    <row r="898">
      <c r="M898" s="36"/>
      <c r="N898" s="36"/>
      <c r="O898" s="36"/>
    </row>
    <row r="899">
      <c r="M899" s="36"/>
      <c r="N899" s="36"/>
      <c r="O899" s="36"/>
    </row>
    <row r="900">
      <c r="M900" s="36"/>
      <c r="N900" s="36"/>
      <c r="O900" s="36"/>
    </row>
    <row r="901">
      <c r="M901" s="36"/>
      <c r="N901" s="36"/>
      <c r="O901" s="36"/>
    </row>
    <row r="902">
      <c r="M902" s="36"/>
      <c r="N902" s="36"/>
      <c r="O902" s="36"/>
    </row>
    <row r="903">
      <c r="M903" s="36"/>
      <c r="N903" s="36"/>
      <c r="O903" s="36"/>
    </row>
    <row r="904">
      <c r="M904" s="36"/>
      <c r="N904" s="36"/>
      <c r="O904" s="36"/>
    </row>
    <row r="905">
      <c r="M905" s="36"/>
      <c r="N905" s="36"/>
      <c r="O905" s="36"/>
    </row>
    <row r="906">
      <c r="M906" s="36"/>
      <c r="N906" s="36"/>
      <c r="O906" s="36"/>
    </row>
    <row r="907">
      <c r="M907" s="36"/>
      <c r="N907" s="36"/>
      <c r="O907" s="36"/>
    </row>
    <row r="908">
      <c r="M908" s="36"/>
      <c r="N908" s="36"/>
      <c r="O908" s="36"/>
    </row>
    <row r="909">
      <c r="M909" s="36"/>
      <c r="N909" s="36"/>
      <c r="O909" s="36"/>
    </row>
    <row r="910">
      <c r="M910" s="36"/>
      <c r="N910" s="36"/>
      <c r="O910" s="36"/>
    </row>
    <row r="911">
      <c r="M911" s="36"/>
      <c r="N911" s="36"/>
      <c r="O911" s="36"/>
    </row>
    <row r="912">
      <c r="M912" s="36"/>
      <c r="N912" s="36"/>
      <c r="O912" s="36"/>
    </row>
    <row r="913">
      <c r="M913" s="36"/>
      <c r="N913" s="36"/>
      <c r="O913" s="36"/>
    </row>
    <row r="914">
      <c r="M914" s="36"/>
      <c r="N914" s="36"/>
      <c r="O914" s="36"/>
    </row>
    <row r="915">
      <c r="M915" s="36"/>
      <c r="N915" s="36"/>
      <c r="O915" s="36"/>
    </row>
    <row r="916">
      <c r="M916" s="36"/>
      <c r="N916" s="36"/>
      <c r="O916" s="36"/>
    </row>
    <row r="917">
      <c r="M917" s="36"/>
      <c r="N917" s="36"/>
      <c r="O917" s="36"/>
    </row>
    <row r="918">
      <c r="M918" s="36"/>
      <c r="N918" s="36"/>
      <c r="O918" s="36"/>
    </row>
    <row r="919">
      <c r="M919" s="36"/>
      <c r="N919" s="36"/>
      <c r="O919" s="36"/>
    </row>
    <row r="920">
      <c r="M920" s="36"/>
      <c r="N920" s="36"/>
      <c r="O920" s="36"/>
    </row>
    <row r="921">
      <c r="M921" s="36"/>
      <c r="N921" s="36"/>
      <c r="O921" s="36"/>
    </row>
    <row r="922">
      <c r="M922" s="36"/>
      <c r="N922" s="36"/>
      <c r="O922" s="36"/>
    </row>
    <row r="923">
      <c r="M923" s="36"/>
      <c r="N923" s="36"/>
      <c r="O923" s="36"/>
    </row>
    <row r="924">
      <c r="M924" s="36"/>
      <c r="N924" s="36"/>
      <c r="O924" s="36"/>
    </row>
    <row r="925">
      <c r="M925" s="36"/>
      <c r="N925" s="36"/>
      <c r="O925" s="36"/>
    </row>
    <row r="926">
      <c r="M926" s="36"/>
      <c r="N926" s="36"/>
      <c r="O926" s="36"/>
    </row>
    <row r="927">
      <c r="M927" s="36"/>
      <c r="N927" s="36"/>
      <c r="O927" s="36"/>
    </row>
    <row r="928">
      <c r="M928" s="36"/>
      <c r="N928" s="36"/>
      <c r="O928" s="36"/>
    </row>
    <row r="929">
      <c r="M929" s="36"/>
      <c r="N929" s="36"/>
      <c r="O929" s="36"/>
    </row>
    <row r="930">
      <c r="M930" s="36"/>
      <c r="N930" s="36"/>
      <c r="O930" s="36"/>
    </row>
    <row r="931">
      <c r="M931" s="36"/>
      <c r="N931" s="36"/>
      <c r="O931" s="36"/>
    </row>
    <row r="932">
      <c r="M932" s="36"/>
      <c r="N932" s="36"/>
      <c r="O932" s="36"/>
    </row>
    <row r="933">
      <c r="M933" s="36"/>
      <c r="N933" s="36"/>
      <c r="O933" s="36"/>
    </row>
    <row r="934">
      <c r="M934" s="36"/>
      <c r="N934" s="36"/>
      <c r="O934" s="36"/>
    </row>
    <row r="935">
      <c r="M935" s="36"/>
      <c r="N935" s="36"/>
      <c r="O935" s="36"/>
    </row>
    <row r="936">
      <c r="M936" s="36"/>
      <c r="N936" s="36"/>
      <c r="O936" s="36"/>
    </row>
    <row r="937">
      <c r="M937" s="36"/>
      <c r="N937" s="36"/>
      <c r="O937" s="36"/>
    </row>
    <row r="938">
      <c r="M938" s="36"/>
      <c r="N938" s="36"/>
      <c r="O938" s="36"/>
    </row>
    <row r="939">
      <c r="M939" s="36"/>
      <c r="N939" s="36"/>
      <c r="O939" s="36"/>
    </row>
    <row r="940">
      <c r="M940" s="36"/>
      <c r="N940" s="36"/>
      <c r="O940" s="36"/>
    </row>
    <row r="941">
      <c r="M941" s="36"/>
      <c r="N941" s="36"/>
      <c r="O941" s="36"/>
    </row>
    <row r="942">
      <c r="M942" s="36"/>
      <c r="N942" s="36"/>
      <c r="O942" s="36"/>
    </row>
    <row r="943">
      <c r="M943" s="36"/>
      <c r="N943" s="36"/>
      <c r="O943" s="36"/>
    </row>
    <row r="944">
      <c r="M944" s="36"/>
      <c r="N944" s="36"/>
      <c r="O944" s="36"/>
    </row>
    <row r="945">
      <c r="M945" s="36"/>
      <c r="N945" s="36"/>
      <c r="O945" s="36"/>
    </row>
    <row r="946">
      <c r="M946" s="36"/>
      <c r="N946" s="36"/>
      <c r="O946" s="36"/>
    </row>
    <row r="947">
      <c r="M947" s="36"/>
      <c r="N947" s="36"/>
      <c r="O947" s="36"/>
    </row>
    <row r="948">
      <c r="M948" s="36"/>
      <c r="N948" s="36"/>
      <c r="O948" s="36"/>
    </row>
    <row r="949">
      <c r="M949" s="36"/>
      <c r="N949" s="36"/>
      <c r="O949" s="36"/>
    </row>
    <row r="950">
      <c r="M950" s="36"/>
      <c r="N950" s="36"/>
      <c r="O950" s="36"/>
    </row>
    <row r="951">
      <c r="M951" s="36"/>
      <c r="N951" s="36"/>
      <c r="O951" s="36"/>
    </row>
    <row r="952">
      <c r="M952" s="36"/>
      <c r="N952" s="36"/>
      <c r="O952" s="36"/>
    </row>
    <row r="953">
      <c r="M953" s="36"/>
      <c r="N953" s="36"/>
      <c r="O953" s="36"/>
    </row>
    <row r="954">
      <c r="M954" s="36"/>
      <c r="N954" s="36"/>
      <c r="O954" s="36"/>
    </row>
    <row r="955">
      <c r="M955" s="36"/>
      <c r="N955" s="36"/>
      <c r="O955" s="36"/>
    </row>
    <row r="956">
      <c r="M956" s="36"/>
      <c r="N956" s="36"/>
      <c r="O956" s="36"/>
    </row>
    <row r="957">
      <c r="M957" s="36"/>
      <c r="N957" s="36"/>
      <c r="O957" s="36"/>
    </row>
    <row r="958">
      <c r="M958" s="36"/>
      <c r="N958" s="36"/>
      <c r="O958" s="36"/>
    </row>
    <row r="959">
      <c r="M959" s="36"/>
      <c r="N959" s="36"/>
      <c r="O959" s="36"/>
    </row>
    <row r="960">
      <c r="M960" s="36"/>
      <c r="N960" s="36"/>
      <c r="O960" s="36"/>
    </row>
    <row r="961">
      <c r="M961" s="36"/>
      <c r="N961" s="36"/>
      <c r="O961" s="36"/>
    </row>
    <row r="962">
      <c r="M962" s="36"/>
      <c r="N962" s="36"/>
      <c r="O962" s="36"/>
    </row>
    <row r="963">
      <c r="M963" s="36"/>
      <c r="N963" s="36"/>
      <c r="O963" s="36"/>
    </row>
    <row r="964">
      <c r="M964" s="36"/>
      <c r="N964" s="36"/>
      <c r="O964" s="36"/>
    </row>
    <row r="965">
      <c r="M965" s="36"/>
      <c r="N965" s="36"/>
      <c r="O965" s="36"/>
    </row>
    <row r="966">
      <c r="M966" s="36"/>
      <c r="N966" s="36"/>
      <c r="O966" s="36"/>
    </row>
    <row r="967">
      <c r="M967" s="36"/>
      <c r="N967" s="36"/>
      <c r="O967" s="36"/>
    </row>
    <row r="968">
      <c r="M968" s="36"/>
      <c r="N968" s="36"/>
      <c r="O968" s="36"/>
    </row>
    <row r="969">
      <c r="M969" s="36"/>
      <c r="N969" s="36"/>
      <c r="O969" s="36"/>
    </row>
    <row r="970">
      <c r="M970" s="36"/>
      <c r="N970" s="36"/>
      <c r="O970" s="36"/>
    </row>
    <row r="971">
      <c r="M971" s="36"/>
      <c r="N971" s="36"/>
      <c r="O971" s="36"/>
    </row>
    <row r="972">
      <c r="M972" s="36"/>
      <c r="N972" s="36"/>
      <c r="O972" s="36"/>
    </row>
    <row r="973">
      <c r="M973" s="36"/>
      <c r="N973" s="36"/>
      <c r="O973" s="36"/>
    </row>
    <row r="974">
      <c r="M974" s="36"/>
      <c r="N974" s="36"/>
      <c r="O974" s="36"/>
    </row>
    <row r="975">
      <c r="M975" s="36"/>
      <c r="N975" s="36"/>
      <c r="O975" s="36"/>
    </row>
    <row r="976">
      <c r="M976" s="36"/>
      <c r="N976" s="36"/>
      <c r="O976" s="36"/>
    </row>
    <row r="977">
      <c r="M977" s="36"/>
      <c r="N977" s="36"/>
      <c r="O977" s="36"/>
    </row>
    <row r="978">
      <c r="M978" s="36"/>
      <c r="N978" s="36"/>
      <c r="O978" s="36"/>
    </row>
    <row r="979">
      <c r="M979" s="36"/>
      <c r="N979" s="36"/>
      <c r="O979" s="36"/>
    </row>
    <row r="980">
      <c r="M980" s="36"/>
      <c r="N980" s="36"/>
      <c r="O980" s="36"/>
    </row>
    <row r="981">
      <c r="M981" s="36"/>
      <c r="N981" s="36"/>
      <c r="O981" s="36"/>
    </row>
    <row r="982">
      <c r="M982" s="36"/>
      <c r="N982" s="36"/>
      <c r="O982" s="36"/>
    </row>
    <row r="983">
      <c r="M983" s="36"/>
      <c r="N983" s="36"/>
      <c r="O983" s="36"/>
    </row>
    <row r="984">
      <c r="M984" s="36"/>
      <c r="N984" s="36"/>
      <c r="O984" s="36"/>
    </row>
    <row r="985">
      <c r="M985" s="36"/>
      <c r="N985" s="36"/>
      <c r="O985" s="36"/>
    </row>
    <row r="986">
      <c r="M986" s="36"/>
      <c r="N986" s="36"/>
      <c r="O986" s="36"/>
    </row>
    <row r="987">
      <c r="M987" s="36"/>
      <c r="N987" s="36"/>
      <c r="O987" s="36"/>
    </row>
    <row r="988">
      <c r="M988" s="36"/>
      <c r="N988" s="36"/>
      <c r="O988" s="36"/>
    </row>
    <row r="989">
      <c r="M989" s="36"/>
      <c r="N989" s="36"/>
      <c r="O989" s="36"/>
    </row>
    <row r="990">
      <c r="M990" s="36"/>
      <c r="N990" s="36"/>
      <c r="O990" s="36"/>
    </row>
    <row r="991">
      <c r="M991" s="36"/>
      <c r="N991" s="36"/>
      <c r="O991" s="36"/>
    </row>
    <row r="992">
      <c r="M992" s="36"/>
      <c r="N992" s="36"/>
      <c r="O992" s="36"/>
    </row>
    <row r="993">
      <c r="M993" s="36"/>
      <c r="N993" s="36"/>
      <c r="O993" s="36"/>
    </row>
    <row r="994">
      <c r="M994" s="36"/>
      <c r="N994" s="36"/>
      <c r="O994" s="36"/>
    </row>
    <row r="995">
      <c r="M995" s="36"/>
      <c r="N995" s="36"/>
      <c r="O995" s="36"/>
    </row>
    <row r="996">
      <c r="M996" s="36"/>
      <c r="N996" s="36"/>
      <c r="O996" s="36"/>
    </row>
    <row r="997">
      <c r="M997" s="36"/>
      <c r="N997" s="36"/>
      <c r="O997" s="36"/>
    </row>
    <row r="998">
      <c r="M998" s="36"/>
      <c r="N998" s="36"/>
      <c r="O998" s="36"/>
    </row>
    <row r="999">
      <c r="M999" s="36"/>
      <c r="N999" s="36"/>
      <c r="O999" s="36"/>
    </row>
    <row r="1000">
      <c r="M1000" s="36"/>
      <c r="N1000" s="36"/>
      <c r="O1000" s="36"/>
    </row>
  </sheetData>
  <mergeCells count="7">
    <mergeCell ref="A6:A7"/>
    <mergeCell ref="B6:B7"/>
    <mergeCell ref="C6:C7"/>
    <mergeCell ref="D6:F6"/>
    <mergeCell ref="G6:I6"/>
    <mergeCell ref="J6:L6"/>
    <mergeCell ref="M6:O6"/>
  </mergeCells>
  <dataValidations>
    <dataValidation type="list" allowBlank="1" showErrorMessage="1" sqref="C8:O44">
      <formula1>"H,S,I,A"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7" width="12.63"/>
  </cols>
  <sheetData>
    <row r="3">
      <c r="A3" s="50"/>
      <c r="B3" s="50"/>
      <c r="C3" s="51">
        <v>1.0</v>
      </c>
      <c r="D3" s="52">
        <v>2.0</v>
      </c>
      <c r="E3" s="52">
        <v>3.0</v>
      </c>
      <c r="F3" s="52">
        <v>4.0</v>
      </c>
      <c r="G3" s="52">
        <v>5.0</v>
      </c>
      <c r="H3" s="52">
        <v>6.0</v>
      </c>
      <c r="I3" s="52">
        <v>7.0</v>
      </c>
      <c r="J3" s="52"/>
      <c r="K3" s="52">
        <v>8.0</v>
      </c>
      <c r="L3" s="52">
        <v>9.0</v>
      </c>
      <c r="M3" s="52">
        <v>10.0</v>
      </c>
      <c r="N3" s="52">
        <v>11.0</v>
      </c>
      <c r="O3" s="52">
        <v>12.0</v>
      </c>
      <c r="P3" s="52">
        <v>13.0</v>
      </c>
      <c r="Q3" s="52">
        <v>14.0</v>
      </c>
      <c r="R3" s="52"/>
      <c r="S3" s="52">
        <v>15.0</v>
      </c>
      <c r="T3" s="52">
        <v>16.0</v>
      </c>
      <c r="U3" s="52">
        <v>17.0</v>
      </c>
      <c r="V3" s="52">
        <v>18.0</v>
      </c>
      <c r="W3" s="52">
        <v>19.0</v>
      </c>
      <c r="X3" s="52">
        <v>20.0</v>
      </c>
      <c r="Y3" s="52">
        <v>21.0</v>
      </c>
      <c r="Z3" s="52"/>
      <c r="AA3" s="52">
        <v>22.0</v>
      </c>
      <c r="AB3" s="52">
        <v>23.0</v>
      </c>
      <c r="AC3" s="52">
        <v>24.0</v>
      </c>
      <c r="AD3" s="52">
        <v>25.0</v>
      </c>
      <c r="AE3" s="52">
        <v>26.0</v>
      </c>
      <c r="AF3" s="52">
        <v>27.0</v>
      </c>
      <c r="AG3" s="52">
        <v>28.0</v>
      </c>
      <c r="AH3" s="52"/>
      <c r="AI3" s="52">
        <v>29.0</v>
      </c>
      <c r="AJ3" s="52">
        <v>30.0</v>
      </c>
      <c r="AK3" s="52">
        <v>31.0</v>
      </c>
    </row>
    <row r="4">
      <c r="A4" s="53"/>
      <c r="B4" s="28" t="s">
        <v>10</v>
      </c>
      <c r="C4" s="28">
        <f t="shared" ref="C4:AK4" si="1">COUNTIF(C5:C41,"HADIR")</f>
        <v>32</v>
      </c>
      <c r="D4" s="28">
        <f t="shared" si="1"/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  <c r="K4" s="28">
        <f t="shared" si="1"/>
        <v>0</v>
      </c>
      <c r="L4" s="28">
        <f t="shared" si="1"/>
        <v>0</v>
      </c>
      <c r="M4" s="28">
        <f t="shared" si="1"/>
        <v>0</v>
      </c>
      <c r="N4" s="28">
        <f t="shared" si="1"/>
        <v>0</v>
      </c>
      <c r="O4" s="28">
        <f t="shared" si="1"/>
        <v>0</v>
      </c>
      <c r="P4" s="28">
        <f t="shared" si="1"/>
        <v>0</v>
      </c>
      <c r="Q4" s="28">
        <f t="shared" si="1"/>
        <v>0</v>
      </c>
      <c r="R4" s="28">
        <f t="shared" si="1"/>
        <v>0</v>
      </c>
      <c r="S4" s="28">
        <f t="shared" si="1"/>
        <v>0</v>
      </c>
      <c r="T4" s="28">
        <f t="shared" si="1"/>
        <v>0</v>
      </c>
      <c r="U4" s="28">
        <f t="shared" si="1"/>
        <v>0</v>
      </c>
      <c r="V4" s="28">
        <f t="shared" si="1"/>
        <v>0</v>
      </c>
      <c r="W4" s="28">
        <f t="shared" si="1"/>
        <v>0</v>
      </c>
      <c r="X4" s="28">
        <f t="shared" si="1"/>
        <v>0</v>
      </c>
      <c r="Y4" s="28">
        <f t="shared" si="1"/>
        <v>0</v>
      </c>
      <c r="Z4" s="28">
        <f t="shared" si="1"/>
        <v>0</v>
      </c>
      <c r="AA4" s="28">
        <f t="shared" si="1"/>
        <v>0</v>
      </c>
      <c r="AB4" s="28">
        <f t="shared" si="1"/>
        <v>31</v>
      </c>
      <c r="AC4" s="28">
        <f t="shared" si="1"/>
        <v>31</v>
      </c>
      <c r="AD4" s="28">
        <f t="shared" si="1"/>
        <v>0</v>
      </c>
      <c r="AE4" s="28">
        <f t="shared" si="1"/>
        <v>0</v>
      </c>
      <c r="AF4" s="28">
        <f t="shared" si="1"/>
        <v>0</v>
      </c>
      <c r="AG4" s="28">
        <f t="shared" si="1"/>
        <v>0</v>
      </c>
      <c r="AH4" s="28">
        <f t="shared" si="1"/>
        <v>0</v>
      </c>
      <c r="AI4" s="28">
        <f t="shared" si="1"/>
        <v>0</v>
      </c>
      <c r="AJ4" s="28">
        <f t="shared" si="1"/>
        <v>0</v>
      </c>
      <c r="AK4" s="28">
        <f t="shared" si="1"/>
        <v>0</v>
      </c>
    </row>
    <row r="5">
      <c r="A5" s="20">
        <v>1.0</v>
      </c>
      <c r="B5" s="54" t="s">
        <v>19</v>
      </c>
      <c r="C5" s="20" t="s">
        <v>801</v>
      </c>
      <c r="D5" s="16"/>
      <c r="E5" s="16"/>
      <c r="F5" s="16"/>
      <c r="G5" s="16"/>
      <c r="H5" s="16"/>
      <c r="I5" s="16"/>
      <c r="J5" s="54" t="s">
        <v>19</v>
      </c>
      <c r="K5" s="16"/>
      <c r="L5" s="16"/>
      <c r="M5" s="16"/>
      <c r="N5" s="16"/>
      <c r="O5" s="16"/>
      <c r="P5" s="16"/>
      <c r="Q5" s="16"/>
      <c r="R5" s="54" t="s">
        <v>19</v>
      </c>
      <c r="S5" s="16"/>
      <c r="T5" s="16"/>
      <c r="U5" s="16"/>
      <c r="V5" s="16"/>
      <c r="W5" s="16"/>
      <c r="X5" s="16"/>
      <c r="Y5" s="16"/>
      <c r="Z5" s="54" t="s">
        <v>19</v>
      </c>
      <c r="AA5" s="16"/>
      <c r="AB5" s="20" t="s">
        <v>801</v>
      </c>
      <c r="AC5" s="20" t="s">
        <v>801</v>
      </c>
      <c r="AD5" s="16"/>
      <c r="AE5" s="16"/>
      <c r="AF5" s="16"/>
      <c r="AG5" s="16"/>
      <c r="AH5" s="54" t="s">
        <v>19</v>
      </c>
      <c r="AI5" s="16"/>
      <c r="AJ5" s="16"/>
      <c r="AK5" s="16"/>
    </row>
    <row r="6">
      <c r="A6" s="20">
        <v>2.0</v>
      </c>
      <c r="B6" s="54" t="s">
        <v>775</v>
      </c>
      <c r="C6" s="20" t="s">
        <v>802</v>
      </c>
      <c r="D6" s="16"/>
      <c r="E6" s="16"/>
      <c r="F6" s="16"/>
      <c r="G6" s="16"/>
      <c r="H6" s="16"/>
      <c r="I6" s="16"/>
      <c r="J6" s="54" t="s">
        <v>775</v>
      </c>
      <c r="K6" s="16"/>
      <c r="L6" s="16"/>
      <c r="M6" s="16"/>
      <c r="N6" s="16"/>
      <c r="O6" s="16"/>
      <c r="P6" s="16"/>
      <c r="Q6" s="16"/>
      <c r="R6" s="54" t="s">
        <v>775</v>
      </c>
      <c r="S6" s="16"/>
      <c r="T6" s="16"/>
      <c r="U6" s="16"/>
      <c r="V6" s="16"/>
      <c r="W6" s="16"/>
      <c r="X6" s="16"/>
      <c r="Y6" s="16"/>
      <c r="Z6" s="54" t="s">
        <v>775</v>
      </c>
      <c r="AA6" s="16"/>
      <c r="AB6" s="20" t="s">
        <v>802</v>
      </c>
      <c r="AC6" s="20" t="s">
        <v>802</v>
      </c>
      <c r="AD6" s="16"/>
      <c r="AE6" s="16"/>
      <c r="AF6" s="16"/>
      <c r="AG6" s="16"/>
      <c r="AH6" s="54" t="s">
        <v>775</v>
      </c>
      <c r="AI6" s="16"/>
      <c r="AJ6" s="16"/>
      <c r="AK6" s="16"/>
    </row>
    <row r="7">
      <c r="A7" s="20">
        <v>3.0</v>
      </c>
      <c r="B7" s="54" t="s">
        <v>776</v>
      </c>
      <c r="C7" s="20" t="s">
        <v>802</v>
      </c>
      <c r="D7" s="16"/>
      <c r="E7" s="16"/>
      <c r="F7" s="16"/>
      <c r="G7" s="16"/>
      <c r="H7" s="16"/>
      <c r="I7" s="16"/>
      <c r="J7" s="54" t="s">
        <v>776</v>
      </c>
      <c r="K7" s="16"/>
      <c r="L7" s="16"/>
      <c r="M7" s="16"/>
      <c r="N7" s="16"/>
      <c r="O7" s="16"/>
      <c r="P7" s="16"/>
      <c r="Q7" s="16"/>
      <c r="R7" s="54" t="s">
        <v>776</v>
      </c>
      <c r="S7" s="16"/>
      <c r="T7" s="16"/>
      <c r="U7" s="16"/>
      <c r="V7" s="16"/>
      <c r="W7" s="16"/>
      <c r="X7" s="16"/>
      <c r="Y7" s="16"/>
      <c r="Z7" s="54" t="s">
        <v>776</v>
      </c>
      <c r="AA7" s="16"/>
      <c r="AB7" s="20" t="s">
        <v>802</v>
      </c>
      <c r="AC7" s="20" t="s">
        <v>802</v>
      </c>
      <c r="AD7" s="16"/>
      <c r="AE7" s="16"/>
      <c r="AF7" s="16"/>
      <c r="AG7" s="16"/>
      <c r="AH7" s="54" t="s">
        <v>776</v>
      </c>
      <c r="AI7" s="16"/>
      <c r="AJ7" s="16"/>
      <c r="AK7" s="16"/>
    </row>
    <row r="8">
      <c r="A8" s="20">
        <v>4.0</v>
      </c>
      <c r="B8" s="54" t="s">
        <v>758</v>
      </c>
      <c r="C8" s="20" t="s">
        <v>802</v>
      </c>
      <c r="D8" s="16"/>
      <c r="E8" s="16"/>
      <c r="F8" s="16"/>
      <c r="G8" s="16"/>
      <c r="H8" s="16"/>
      <c r="I8" s="16"/>
      <c r="J8" s="54" t="s">
        <v>758</v>
      </c>
      <c r="K8" s="16"/>
      <c r="L8" s="16"/>
      <c r="M8" s="16"/>
      <c r="N8" s="16"/>
      <c r="O8" s="16"/>
      <c r="P8" s="16"/>
      <c r="Q8" s="16"/>
      <c r="R8" s="54" t="s">
        <v>758</v>
      </c>
      <c r="S8" s="16"/>
      <c r="T8" s="16"/>
      <c r="U8" s="16"/>
      <c r="V8" s="16"/>
      <c r="W8" s="16"/>
      <c r="X8" s="16"/>
      <c r="Y8" s="16"/>
      <c r="Z8" s="54" t="s">
        <v>758</v>
      </c>
      <c r="AA8" s="16"/>
      <c r="AB8" s="20" t="s">
        <v>802</v>
      </c>
      <c r="AC8" s="20" t="s">
        <v>802</v>
      </c>
      <c r="AD8" s="16"/>
      <c r="AE8" s="16"/>
      <c r="AF8" s="16"/>
      <c r="AG8" s="16"/>
      <c r="AH8" s="54" t="s">
        <v>758</v>
      </c>
      <c r="AI8" s="16"/>
      <c r="AJ8" s="16"/>
      <c r="AK8" s="16"/>
    </row>
    <row r="9">
      <c r="A9" s="20">
        <v>5.0</v>
      </c>
      <c r="B9" s="54" t="s">
        <v>777</v>
      </c>
      <c r="C9" s="20" t="s">
        <v>802</v>
      </c>
      <c r="D9" s="16"/>
      <c r="E9" s="16"/>
      <c r="F9" s="16"/>
      <c r="G9" s="16"/>
      <c r="H9" s="16"/>
      <c r="I9" s="16"/>
      <c r="J9" s="54" t="s">
        <v>777</v>
      </c>
      <c r="K9" s="16"/>
      <c r="L9" s="16"/>
      <c r="M9" s="16"/>
      <c r="N9" s="16"/>
      <c r="O9" s="16"/>
      <c r="P9" s="16"/>
      <c r="Q9" s="16"/>
      <c r="R9" s="54" t="s">
        <v>777</v>
      </c>
      <c r="S9" s="16"/>
      <c r="T9" s="16"/>
      <c r="U9" s="16"/>
      <c r="V9" s="16"/>
      <c r="W9" s="16"/>
      <c r="X9" s="16"/>
      <c r="Y9" s="16"/>
      <c r="Z9" s="54" t="s">
        <v>777</v>
      </c>
      <c r="AA9" s="16"/>
      <c r="AB9" s="20" t="s">
        <v>802</v>
      </c>
      <c r="AC9" s="20" t="s">
        <v>802</v>
      </c>
      <c r="AD9" s="16"/>
      <c r="AE9" s="16"/>
      <c r="AF9" s="16"/>
      <c r="AG9" s="16"/>
      <c r="AH9" s="54" t="s">
        <v>777</v>
      </c>
      <c r="AI9" s="16"/>
      <c r="AJ9" s="16"/>
      <c r="AK9" s="16"/>
    </row>
    <row r="10">
      <c r="A10" s="20">
        <v>6.0</v>
      </c>
      <c r="B10" s="54" t="s">
        <v>49</v>
      </c>
      <c r="C10" s="20" t="s">
        <v>802</v>
      </c>
      <c r="D10" s="16"/>
      <c r="E10" s="16"/>
      <c r="F10" s="16"/>
      <c r="G10" s="16"/>
      <c r="H10" s="16"/>
      <c r="I10" s="16"/>
      <c r="J10" s="54" t="s">
        <v>49</v>
      </c>
      <c r="K10" s="16"/>
      <c r="L10" s="16"/>
      <c r="M10" s="16"/>
      <c r="N10" s="16"/>
      <c r="O10" s="16"/>
      <c r="P10" s="16"/>
      <c r="Q10" s="16"/>
      <c r="R10" s="54" t="s">
        <v>49</v>
      </c>
      <c r="S10" s="16"/>
      <c r="T10" s="16"/>
      <c r="U10" s="16"/>
      <c r="V10" s="16"/>
      <c r="W10" s="16"/>
      <c r="X10" s="16"/>
      <c r="Y10" s="16"/>
      <c r="Z10" s="54" t="s">
        <v>49</v>
      </c>
      <c r="AA10" s="16"/>
      <c r="AB10" s="20" t="s">
        <v>801</v>
      </c>
      <c r="AC10" s="20" t="s">
        <v>801</v>
      </c>
      <c r="AD10" s="16"/>
      <c r="AE10" s="16"/>
      <c r="AF10" s="16"/>
      <c r="AG10" s="16"/>
      <c r="AH10" s="54" t="s">
        <v>49</v>
      </c>
      <c r="AI10" s="16"/>
      <c r="AJ10" s="16"/>
      <c r="AK10" s="16"/>
    </row>
    <row r="11">
      <c r="A11" s="20">
        <v>7.0</v>
      </c>
      <c r="B11" s="54" t="s">
        <v>50</v>
      </c>
      <c r="C11" s="20" t="s">
        <v>802</v>
      </c>
      <c r="D11" s="16"/>
      <c r="E11" s="16"/>
      <c r="F11" s="16"/>
      <c r="G11" s="16"/>
      <c r="H11" s="16"/>
      <c r="I11" s="16"/>
      <c r="J11" s="54" t="s">
        <v>50</v>
      </c>
      <c r="K11" s="16"/>
      <c r="L11" s="16"/>
      <c r="M11" s="16"/>
      <c r="N11" s="16"/>
      <c r="O11" s="16"/>
      <c r="P11" s="16"/>
      <c r="Q11" s="16"/>
      <c r="R11" s="54" t="s">
        <v>50</v>
      </c>
      <c r="S11" s="16"/>
      <c r="T11" s="16"/>
      <c r="U11" s="16"/>
      <c r="V11" s="16"/>
      <c r="W11" s="16"/>
      <c r="X11" s="16"/>
      <c r="Y11" s="16"/>
      <c r="Z11" s="54" t="s">
        <v>50</v>
      </c>
      <c r="AA11" s="16"/>
      <c r="AB11" s="20" t="s">
        <v>802</v>
      </c>
      <c r="AC11" s="20" t="s">
        <v>802</v>
      </c>
      <c r="AD11" s="16"/>
      <c r="AE11" s="16"/>
      <c r="AF11" s="16"/>
      <c r="AG11" s="16"/>
      <c r="AH11" s="54" t="s">
        <v>50</v>
      </c>
      <c r="AI11" s="16"/>
      <c r="AJ11" s="16"/>
      <c r="AK11" s="16"/>
    </row>
    <row r="12">
      <c r="A12" s="20">
        <v>8.0</v>
      </c>
      <c r="B12" s="54" t="s">
        <v>778</v>
      </c>
      <c r="C12" s="20" t="s">
        <v>802</v>
      </c>
      <c r="D12" s="16"/>
      <c r="E12" s="16"/>
      <c r="F12" s="16"/>
      <c r="G12" s="16"/>
      <c r="H12" s="16"/>
      <c r="I12" s="16"/>
      <c r="J12" s="54" t="s">
        <v>778</v>
      </c>
      <c r="K12" s="16"/>
      <c r="L12" s="16"/>
      <c r="M12" s="16"/>
      <c r="N12" s="16"/>
      <c r="O12" s="16"/>
      <c r="P12" s="16"/>
      <c r="Q12" s="16"/>
      <c r="R12" s="54" t="s">
        <v>778</v>
      </c>
      <c r="S12" s="16"/>
      <c r="T12" s="16"/>
      <c r="U12" s="16"/>
      <c r="V12" s="16"/>
      <c r="W12" s="16"/>
      <c r="X12" s="16"/>
      <c r="Y12" s="16"/>
      <c r="Z12" s="54" t="s">
        <v>778</v>
      </c>
      <c r="AA12" s="16"/>
      <c r="AB12" s="20" t="s">
        <v>802</v>
      </c>
      <c r="AC12" s="20" t="s">
        <v>802</v>
      </c>
      <c r="AD12" s="16"/>
      <c r="AE12" s="16"/>
      <c r="AF12" s="16"/>
      <c r="AG12" s="16"/>
      <c r="AH12" s="54" t="s">
        <v>778</v>
      </c>
      <c r="AI12" s="16"/>
      <c r="AJ12" s="16"/>
      <c r="AK12" s="16"/>
    </row>
    <row r="13">
      <c r="A13" s="20">
        <v>9.0</v>
      </c>
      <c r="B13" s="54" t="s">
        <v>759</v>
      </c>
      <c r="C13" s="20" t="s">
        <v>801</v>
      </c>
      <c r="D13" s="16"/>
      <c r="E13" s="16"/>
      <c r="F13" s="16"/>
      <c r="G13" s="16"/>
      <c r="H13" s="16"/>
      <c r="I13" s="16"/>
      <c r="J13" s="54" t="s">
        <v>759</v>
      </c>
      <c r="K13" s="16"/>
      <c r="L13" s="16"/>
      <c r="M13" s="16"/>
      <c r="N13" s="16"/>
      <c r="O13" s="16"/>
      <c r="P13" s="16"/>
      <c r="Q13" s="16"/>
      <c r="R13" s="54" t="s">
        <v>759</v>
      </c>
      <c r="S13" s="16"/>
      <c r="T13" s="16"/>
      <c r="U13" s="16"/>
      <c r="V13" s="16"/>
      <c r="W13" s="16"/>
      <c r="X13" s="16"/>
      <c r="Y13" s="16"/>
      <c r="Z13" s="54" t="s">
        <v>759</v>
      </c>
      <c r="AA13" s="16"/>
      <c r="AB13" s="20" t="s">
        <v>801</v>
      </c>
      <c r="AC13" s="20" t="s">
        <v>801</v>
      </c>
      <c r="AD13" s="16"/>
      <c r="AE13" s="16"/>
      <c r="AF13" s="16"/>
      <c r="AG13" s="16"/>
      <c r="AH13" s="54" t="s">
        <v>759</v>
      </c>
      <c r="AI13" s="16"/>
      <c r="AJ13" s="16"/>
      <c r="AK13" s="16"/>
    </row>
    <row r="14">
      <c r="A14" s="20">
        <v>10.0</v>
      </c>
      <c r="B14" s="54" t="s">
        <v>803</v>
      </c>
      <c r="C14" s="20" t="s">
        <v>802</v>
      </c>
      <c r="D14" s="16"/>
      <c r="E14" s="16"/>
      <c r="F14" s="16"/>
      <c r="G14" s="16"/>
      <c r="H14" s="16"/>
      <c r="I14" s="16"/>
      <c r="J14" s="54" t="s">
        <v>803</v>
      </c>
      <c r="K14" s="16"/>
      <c r="L14" s="16"/>
      <c r="M14" s="16"/>
      <c r="N14" s="16"/>
      <c r="O14" s="16"/>
      <c r="P14" s="16"/>
      <c r="Q14" s="16"/>
      <c r="R14" s="54" t="s">
        <v>803</v>
      </c>
      <c r="S14" s="16"/>
      <c r="T14" s="16"/>
      <c r="U14" s="16"/>
      <c r="V14" s="16"/>
      <c r="W14" s="16"/>
      <c r="X14" s="16"/>
      <c r="Y14" s="16"/>
      <c r="Z14" s="54" t="s">
        <v>803</v>
      </c>
      <c r="AA14" s="16"/>
      <c r="AB14" s="20" t="s">
        <v>802</v>
      </c>
      <c r="AC14" s="20" t="s">
        <v>802</v>
      </c>
      <c r="AD14" s="16"/>
      <c r="AE14" s="16"/>
      <c r="AF14" s="16"/>
      <c r="AG14" s="16"/>
      <c r="AH14" s="54" t="s">
        <v>803</v>
      </c>
      <c r="AI14" s="16"/>
      <c r="AJ14" s="16"/>
      <c r="AK14" s="16"/>
    </row>
    <row r="15">
      <c r="A15" s="20">
        <v>11.0</v>
      </c>
      <c r="B15" s="54" t="s">
        <v>780</v>
      </c>
      <c r="C15" s="20" t="s">
        <v>802</v>
      </c>
      <c r="D15" s="16"/>
      <c r="E15" s="16"/>
      <c r="F15" s="16"/>
      <c r="G15" s="16"/>
      <c r="H15" s="16"/>
      <c r="I15" s="16"/>
      <c r="J15" s="54" t="s">
        <v>780</v>
      </c>
      <c r="K15" s="16"/>
      <c r="L15" s="16"/>
      <c r="M15" s="16"/>
      <c r="N15" s="16"/>
      <c r="O15" s="16"/>
      <c r="P15" s="16"/>
      <c r="Q15" s="16"/>
      <c r="R15" s="54" t="s">
        <v>780</v>
      </c>
      <c r="S15" s="16"/>
      <c r="T15" s="16"/>
      <c r="U15" s="16"/>
      <c r="V15" s="16"/>
      <c r="W15" s="16"/>
      <c r="X15" s="16"/>
      <c r="Y15" s="16"/>
      <c r="Z15" s="54" t="s">
        <v>780</v>
      </c>
      <c r="AA15" s="16"/>
      <c r="AB15" s="20" t="s">
        <v>802</v>
      </c>
      <c r="AC15" s="20" t="s">
        <v>802</v>
      </c>
      <c r="AD15" s="16"/>
      <c r="AE15" s="16"/>
      <c r="AF15" s="16"/>
      <c r="AG15" s="16"/>
      <c r="AH15" s="54" t="s">
        <v>780</v>
      </c>
      <c r="AI15" s="16"/>
      <c r="AJ15" s="16"/>
      <c r="AK15" s="16"/>
    </row>
    <row r="16">
      <c r="A16" s="20">
        <v>12.0</v>
      </c>
      <c r="B16" s="54" t="s">
        <v>83</v>
      </c>
      <c r="C16" s="20" t="s">
        <v>802</v>
      </c>
      <c r="D16" s="16"/>
      <c r="E16" s="16"/>
      <c r="F16" s="16"/>
      <c r="G16" s="16"/>
      <c r="H16" s="16"/>
      <c r="I16" s="16"/>
      <c r="J16" s="54" t="s">
        <v>83</v>
      </c>
      <c r="K16" s="16"/>
      <c r="L16" s="16"/>
      <c r="M16" s="16"/>
      <c r="N16" s="16"/>
      <c r="O16" s="16"/>
      <c r="P16" s="16"/>
      <c r="Q16" s="16"/>
      <c r="R16" s="54" t="s">
        <v>83</v>
      </c>
      <c r="S16" s="16"/>
      <c r="T16" s="16"/>
      <c r="U16" s="16"/>
      <c r="V16" s="16"/>
      <c r="W16" s="16"/>
      <c r="X16" s="16"/>
      <c r="Y16" s="16"/>
      <c r="Z16" s="54" t="s">
        <v>83</v>
      </c>
      <c r="AA16" s="16"/>
      <c r="AB16" s="20" t="s">
        <v>802</v>
      </c>
      <c r="AC16" s="20" t="s">
        <v>802</v>
      </c>
      <c r="AD16" s="16"/>
      <c r="AE16" s="16"/>
      <c r="AF16" s="16"/>
      <c r="AG16" s="16"/>
      <c r="AH16" s="54" t="s">
        <v>83</v>
      </c>
      <c r="AI16" s="16"/>
      <c r="AJ16" s="16"/>
      <c r="AK16" s="16"/>
    </row>
    <row r="17">
      <c r="A17" s="20">
        <v>13.0</v>
      </c>
      <c r="B17" s="54" t="s">
        <v>87</v>
      </c>
      <c r="C17" s="20" t="s">
        <v>802</v>
      </c>
      <c r="D17" s="16"/>
      <c r="E17" s="16"/>
      <c r="F17" s="16"/>
      <c r="G17" s="16"/>
      <c r="H17" s="16"/>
      <c r="I17" s="16"/>
      <c r="J17" s="54" t="s">
        <v>87</v>
      </c>
      <c r="K17" s="16"/>
      <c r="L17" s="16"/>
      <c r="M17" s="16"/>
      <c r="N17" s="16"/>
      <c r="O17" s="16"/>
      <c r="P17" s="16"/>
      <c r="Q17" s="16"/>
      <c r="R17" s="54" t="s">
        <v>87</v>
      </c>
      <c r="S17" s="16"/>
      <c r="T17" s="16"/>
      <c r="U17" s="16"/>
      <c r="V17" s="16"/>
      <c r="W17" s="16"/>
      <c r="X17" s="16"/>
      <c r="Y17" s="16"/>
      <c r="Z17" s="54" t="s">
        <v>87</v>
      </c>
      <c r="AA17" s="16"/>
      <c r="AB17" s="20" t="s">
        <v>802</v>
      </c>
      <c r="AC17" s="20" t="s">
        <v>802</v>
      </c>
      <c r="AD17" s="16"/>
      <c r="AE17" s="16"/>
      <c r="AF17" s="16"/>
      <c r="AG17" s="16"/>
      <c r="AH17" s="54" t="s">
        <v>87</v>
      </c>
      <c r="AI17" s="16"/>
      <c r="AJ17" s="16"/>
      <c r="AK17" s="16"/>
    </row>
    <row r="18">
      <c r="A18" s="20">
        <v>14.0</v>
      </c>
      <c r="B18" s="54" t="s">
        <v>90</v>
      </c>
      <c r="C18" s="20" t="s">
        <v>802</v>
      </c>
      <c r="D18" s="16"/>
      <c r="E18" s="16"/>
      <c r="F18" s="16"/>
      <c r="G18" s="16"/>
      <c r="H18" s="16"/>
      <c r="I18" s="16"/>
      <c r="J18" s="54" t="s">
        <v>90</v>
      </c>
      <c r="K18" s="16"/>
      <c r="L18" s="16"/>
      <c r="M18" s="16"/>
      <c r="N18" s="16"/>
      <c r="O18" s="16"/>
      <c r="P18" s="16"/>
      <c r="Q18" s="16"/>
      <c r="R18" s="54" t="s">
        <v>90</v>
      </c>
      <c r="S18" s="16"/>
      <c r="T18" s="16"/>
      <c r="U18" s="16"/>
      <c r="V18" s="16"/>
      <c r="W18" s="16"/>
      <c r="X18" s="16"/>
      <c r="Y18" s="16"/>
      <c r="Z18" s="54" t="s">
        <v>90</v>
      </c>
      <c r="AA18" s="16"/>
      <c r="AB18" s="20" t="s">
        <v>802</v>
      </c>
      <c r="AC18" s="20" t="s">
        <v>802</v>
      </c>
      <c r="AD18" s="16"/>
      <c r="AE18" s="16"/>
      <c r="AF18" s="16"/>
      <c r="AG18" s="16"/>
      <c r="AH18" s="54" t="s">
        <v>90</v>
      </c>
      <c r="AI18" s="16"/>
      <c r="AJ18" s="16"/>
      <c r="AK18" s="16"/>
    </row>
    <row r="19">
      <c r="A19" s="20">
        <v>15.0</v>
      </c>
      <c r="B19" s="54" t="s">
        <v>94</v>
      </c>
      <c r="C19" s="20" t="s">
        <v>802</v>
      </c>
      <c r="D19" s="16"/>
      <c r="E19" s="16"/>
      <c r="F19" s="16"/>
      <c r="G19" s="16"/>
      <c r="H19" s="16"/>
      <c r="I19" s="16"/>
      <c r="J19" s="54" t="s">
        <v>94</v>
      </c>
      <c r="K19" s="16"/>
      <c r="L19" s="16"/>
      <c r="M19" s="16"/>
      <c r="N19" s="16"/>
      <c r="O19" s="16"/>
      <c r="P19" s="16"/>
      <c r="Q19" s="16"/>
      <c r="R19" s="54" t="s">
        <v>94</v>
      </c>
      <c r="S19" s="16"/>
      <c r="T19" s="16"/>
      <c r="U19" s="16"/>
      <c r="V19" s="16"/>
      <c r="W19" s="16"/>
      <c r="X19" s="16"/>
      <c r="Y19" s="16"/>
      <c r="Z19" s="54" t="s">
        <v>94</v>
      </c>
      <c r="AA19" s="16"/>
      <c r="AB19" s="20" t="s">
        <v>802</v>
      </c>
      <c r="AC19" s="20" t="s">
        <v>802</v>
      </c>
      <c r="AD19" s="16"/>
      <c r="AE19" s="16"/>
      <c r="AF19" s="16"/>
      <c r="AG19" s="16"/>
      <c r="AH19" s="54" t="s">
        <v>94</v>
      </c>
      <c r="AI19" s="16"/>
      <c r="AJ19" s="16"/>
      <c r="AK19" s="16"/>
    </row>
    <row r="20">
      <c r="A20" s="20">
        <v>16.0</v>
      </c>
      <c r="B20" s="54" t="s">
        <v>784</v>
      </c>
      <c r="C20" s="20" t="s">
        <v>802</v>
      </c>
      <c r="D20" s="16"/>
      <c r="E20" s="16"/>
      <c r="F20" s="16"/>
      <c r="G20" s="16"/>
      <c r="H20" s="16"/>
      <c r="I20" s="16"/>
      <c r="J20" s="54" t="s">
        <v>784</v>
      </c>
      <c r="K20" s="16"/>
      <c r="L20" s="16"/>
      <c r="M20" s="16"/>
      <c r="N20" s="16"/>
      <c r="O20" s="16"/>
      <c r="P20" s="16"/>
      <c r="Q20" s="16"/>
      <c r="R20" s="54" t="s">
        <v>784</v>
      </c>
      <c r="S20" s="16"/>
      <c r="T20" s="16"/>
      <c r="U20" s="16"/>
      <c r="V20" s="16"/>
      <c r="W20" s="16"/>
      <c r="X20" s="16"/>
      <c r="Y20" s="16"/>
      <c r="Z20" s="54" t="s">
        <v>784</v>
      </c>
      <c r="AA20" s="16"/>
      <c r="AB20" s="20" t="s">
        <v>802</v>
      </c>
      <c r="AC20" s="20" t="s">
        <v>802</v>
      </c>
      <c r="AD20" s="16"/>
      <c r="AE20" s="16"/>
      <c r="AF20" s="16"/>
      <c r="AG20" s="16"/>
      <c r="AH20" s="54" t="s">
        <v>784</v>
      </c>
      <c r="AI20" s="16"/>
      <c r="AJ20" s="16"/>
      <c r="AK20" s="16"/>
    </row>
    <row r="21">
      <c r="A21" s="20">
        <v>17.0</v>
      </c>
      <c r="B21" s="54" t="s">
        <v>804</v>
      </c>
      <c r="C21" s="20" t="s">
        <v>802</v>
      </c>
      <c r="D21" s="16"/>
      <c r="E21" s="16"/>
      <c r="F21" s="16"/>
      <c r="G21" s="16"/>
      <c r="H21" s="16"/>
      <c r="I21" s="16"/>
      <c r="J21" s="54" t="s">
        <v>804</v>
      </c>
      <c r="K21" s="16"/>
      <c r="L21" s="16"/>
      <c r="M21" s="16"/>
      <c r="N21" s="16"/>
      <c r="O21" s="16"/>
      <c r="P21" s="16"/>
      <c r="Q21" s="16"/>
      <c r="R21" s="54" t="s">
        <v>804</v>
      </c>
      <c r="S21" s="16"/>
      <c r="T21" s="16"/>
      <c r="U21" s="16"/>
      <c r="V21" s="16"/>
      <c r="W21" s="16"/>
      <c r="X21" s="16"/>
      <c r="Y21" s="16"/>
      <c r="Z21" s="54" t="s">
        <v>804</v>
      </c>
      <c r="AA21" s="16"/>
      <c r="AB21" s="20" t="s">
        <v>802</v>
      </c>
      <c r="AC21" s="20" t="s">
        <v>802</v>
      </c>
      <c r="AD21" s="16"/>
      <c r="AE21" s="16"/>
      <c r="AF21" s="16"/>
      <c r="AG21" s="16"/>
      <c r="AH21" s="54" t="s">
        <v>804</v>
      </c>
      <c r="AI21" s="16"/>
      <c r="AJ21" s="16"/>
      <c r="AK21" s="16"/>
    </row>
    <row r="22">
      <c r="A22" s="20">
        <v>18.0</v>
      </c>
      <c r="B22" s="54" t="s">
        <v>782</v>
      </c>
      <c r="C22" s="20" t="s">
        <v>802</v>
      </c>
      <c r="D22" s="16"/>
      <c r="E22" s="16"/>
      <c r="F22" s="16"/>
      <c r="G22" s="16"/>
      <c r="H22" s="16"/>
      <c r="I22" s="16"/>
      <c r="J22" s="54" t="s">
        <v>782</v>
      </c>
      <c r="K22" s="16"/>
      <c r="L22" s="16"/>
      <c r="M22" s="16"/>
      <c r="N22" s="16"/>
      <c r="O22" s="16"/>
      <c r="P22" s="16"/>
      <c r="Q22" s="16"/>
      <c r="R22" s="54" t="s">
        <v>782</v>
      </c>
      <c r="S22" s="16"/>
      <c r="T22" s="16"/>
      <c r="U22" s="16"/>
      <c r="V22" s="16"/>
      <c r="W22" s="16"/>
      <c r="X22" s="16"/>
      <c r="Y22" s="16"/>
      <c r="Z22" s="54" t="s">
        <v>782</v>
      </c>
      <c r="AA22" s="16"/>
      <c r="AB22" s="20" t="s">
        <v>802</v>
      </c>
      <c r="AC22" s="20" t="s">
        <v>802</v>
      </c>
      <c r="AD22" s="16"/>
      <c r="AE22" s="16"/>
      <c r="AF22" s="16"/>
      <c r="AG22" s="16"/>
      <c r="AH22" s="54" t="s">
        <v>782</v>
      </c>
      <c r="AI22" s="16"/>
      <c r="AJ22" s="16"/>
      <c r="AK22" s="16"/>
    </row>
    <row r="23">
      <c r="A23" s="20">
        <v>19.0</v>
      </c>
      <c r="B23" s="54" t="s">
        <v>785</v>
      </c>
      <c r="C23" s="20" t="s">
        <v>802</v>
      </c>
      <c r="D23" s="16"/>
      <c r="E23" s="16"/>
      <c r="F23" s="16"/>
      <c r="G23" s="16"/>
      <c r="H23" s="16"/>
      <c r="I23" s="16"/>
      <c r="J23" s="54" t="s">
        <v>785</v>
      </c>
      <c r="K23" s="16"/>
      <c r="L23" s="16"/>
      <c r="M23" s="16"/>
      <c r="N23" s="16"/>
      <c r="O23" s="16"/>
      <c r="P23" s="16"/>
      <c r="Q23" s="16"/>
      <c r="R23" s="54" t="s">
        <v>785</v>
      </c>
      <c r="S23" s="16"/>
      <c r="T23" s="16"/>
      <c r="U23" s="16"/>
      <c r="V23" s="16"/>
      <c r="W23" s="16"/>
      <c r="X23" s="16"/>
      <c r="Y23" s="16"/>
      <c r="Z23" s="54" t="s">
        <v>785</v>
      </c>
      <c r="AA23" s="16"/>
      <c r="AB23" s="20" t="s">
        <v>802</v>
      </c>
      <c r="AC23" s="20" t="s">
        <v>802</v>
      </c>
      <c r="AD23" s="16"/>
      <c r="AE23" s="16"/>
      <c r="AF23" s="16"/>
      <c r="AG23" s="16"/>
      <c r="AH23" s="54" t="s">
        <v>785</v>
      </c>
      <c r="AI23" s="16"/>
      <c r="AJ23" s="16"/>
      <c r="AK23" s="16"/>
    </row>
    <row r="24">
      <c r="A24" s="20">
        <v>20.0</v>
      </c>
      <c r="B24" s="54" t="s">
        <v>783</v>
      </c>
      <c r="C24" s="20" t="s">
        <v>802</v>
      </c>
      <c r="D24" s="16"/>
      <c r="E24" s="16"/>
      <c r="F24" s="16"/>
      <c r="G24" s="16"/>
      <c r="H24" s="16"/>
      <c r="I24" s="16"/>
      <c r="J24" s="54" t="s">
        <v>783</v>
      </c>
      <c r="K24" s="16"/>
      <c r="L24" s="16"/>
      <c r="M24" s="16"/>
      <c r="N24" s="16"/>
      <c r="O24" s="16"/>
      <c r="P24" s="16"/>
      <c r="Q24" s="16"/>
      <c r="R24" s="54" t="s">
        <v>783</v>
      </c>
      <c r="S24" s="16"/>
      <c r="T24" s="16"/>
      <c r="U24" s="16"/>
      <c r="V24" s="16"/>
      <c r="W24" s="16"/>
      <c r="X24" s="16"/>
      <c r="Y24" s="16"/>
      <c r="Z24" s="54" t="s">
        <v>783</v>
      </c>
      <c r="AA24" s="16"/>
      <c r="AB24" s="20" t="s">
        <v>802</v>
      </c>
      <c r="AC24" s="20" t="s">
        <v>802</v>
      </c>
      <c r="AD24" s="16"/>
      <c r="AE24" s="16"/>
      <c r="AF24" s="16"/>
      <c r="AG24" s="16"/>
      <c r="AH24" s="54" t="s">
        <v>783</v>
      </c>
      <c r="AI24" s="16"/>
      <c r="AJ24" s="16"/>
      <c r="AK24" s="16"/>
    </row>
    <row r="25">
      <c r="A25" s="20">
        <v>21.0</v>
      </c>
      <c r="B25" s="54" t="s">
        <v>128</v>
      </c>
      <c r="C25" s="20" t="s">
        <v>802</v>
      </c>
      <c r="D25" s="16"/>
      <c r="E25" s="16"/>
      <c r="F25" s="16"/>
      <c r="G25" s="16"/>
      <c r="H25" s="16"/>
      <c r="I25" s="16"/>
      <c r="J25" s="54" t="s">
        <v>128</v>
      </c>
      <c r="K25" s="16"/>
      <c r="L25" s="16"/>
      <c r="M25" s="16"/>
      <c r="N25" s="16"/>
      <c r="O25" s="16"/>
      <c r="P25" s="16"/>
      <c r="Q25" s="16"/>
      <c r="R25" s="54" t="s">
        <v>128</v>
      </c>
      <c r="S25" s="16"/>
      <c r="T25" s="16"/>
      <c r="U25" s="16"/>
      <c r="V25" s="16"/>
      <c r="W25" s="16"/>
      <c r="X25" s="16"/>
      <c r="Y25" s="16"/>
      <c r="Z25" s="54" t="s">
        <v>128</v>
      </c>
      <c r="AA25" s="16"/>
      <c r="AB25" s="20" t="s">
        <v>802</v>
      </c>
      <c r="AC25" s="20" t="s">
        <v>802</v>
      </c>
      <c r="AD25" s="16"/>
      <c r="AE25" s="16"/>
      <c r="AF25" s="16"/>
      <c r="AG25" s="16"/>
      <c r="AH25" s="54" t="s">
        <v>128</v>
      </c>
      <c r="AI25" s="16"/>
      <c r="AJ25" s="16"/>
      <c r="AK25" s="16"/>
    </row>
    <row r="26">
      <c r="A26" s="20">
        <v>22.0</v>
      </c>
      <c r="B26" s="54" t="s">
        <v>786</v>
      </c>
      <c r="C26" s="20" t="s">
        <v>801</v>
      </c>
      <c r="D26" s="16"/>
      <c r="E26" s="16"/>
      <c r="F26" s="16"/>
      <c r="G26" s="16"/>
      <c r="H26" s="16"/>
      <c r="I26" s="16"/>
      <c r="J26" s="54" t="s">
        <v>786</v>
      </c>
      <c r="K26" s="16"/>
      <c r="L26" s="16"/>
      <c r="M26" s="16"/>
      <c r="N26" s="16"/>
      <c r="O26" s="16"/>
      <c r="P26" s="16"/>
      <c r="Q26" s="16"/>
      <c r="R26" s="54" t="s">
        <v>786</v>
      </c>
      <c r="S26" s="16"/>
      <c r="T26" s="16"/>
      <c r="U26" s="16"/>
      <c r="V26" s="16"/>
      <c r="W26" s="16"/>
      <c r="X26" s="16"/>
      <c r="Y26" s="16"/>
      <c r="Z26" s="54" t="s">
        <v>786</v>
      </c>
      <c r="AA26" s="16"/>
      <c r="AB26" s="20" t="s">
        <v>801</v>
      </c>
      <c r="AC26" s="20" t="s">
        <v>801</v>
      </c>
      <c r="AD26" s="16"/>
      <c r="AE26" s="16"/>
      <c r="AF26" s="16"/>
      <c r="AG26" s="16"/>
      <c r="AH26" s="54" t="s">
        <v>786</v>
      </c>
      <c r="AI26" s="16"/>
      <c r="AJ26" s="16"/>
      <c r="AK26" s="16"/>
    </row>
    <row r="27">
      <c r="A27" s="20">
        <v>23.0</v>
      </c>
      <c r="B27" s="54" t="s">
        <v>805</v>
      </c>
      <c r="C27" s="20" t="s">
        <v>802</v>
      </c>
      <c r="D27" s="16"/>
      <c r="E27" s="16"/>
      <c r="F27" s="16"/>
      <c r="G27" s="16"/>
      <c r="H27" s="16"/>
      <c r="I27" s="16"/>
      <c r="J27" s="54" t="s">
        <v>805</v>
      </c>
      <c r="K27" s="16"/>
      <c r="L27" s="16"/>
      <c r="M27" s="16"/>
      <c r="N27" s="16"/>
      <c r="O27" s="16"/>
      <c r="P27" s="16"/>
      <c r="Q27" s="16"/>
      <c r="R27" s="54" t="s">
        <v>805</v>
      </c>
      <c r="S27" s="16"/>
      <c r="T27" s="16"/>
      <c r="U27" s="16"/>
      <c r="V27" s="16"/>
      <c r="W27" s="16"/>
      <c r="X27" s="16"/>
      <c r="Y27" s="16"/>
      <c r="Z27" s="54" t="s">
        <v>805</v>
      </c>
      <c r="AA27" s="16"/>
      <c r="AB27" s="20" t="s">
        <v>802</v>
      </c>
      <c r="AC27" s="20" t="s">
        <v>802</v>
      </c>
      <c r="AD27" s="16"/>
      <c r="AE27" s="16"/>
      <c r="AF27" s="16"/>
      <c r="AG27" s="16"/>
      <c r="AH27" s="54" t="s">
        <v>805</v>
      </c>
      <c r="AI27" s="16"/>
      <c r="AJ27" s="16"/>
      <c r="AK27" s="16"/>
    </row>
    <row r="28">
      <c r="A28" s="20">
        <v>24.0</v>
      </c>
      <c r="B28" s="54" t="s">
        <v>788</v>
      </c>
      <c r="C28" s="20" t="s">
        <v>802</v>
      </c>
      <c r="D28" s="16"/>
      <c r="E28" s="16"/>
      <c r="F28" s="16"/>
      <c r="G28" s="16"/>
      <c r="H28" s="16"/>
      <c r="I28" s="16"/>
      <c r="J28" s="54" t="s">
        <v>788</v>
      </c>
      <c r="K28" s="16"/>
      <c r="L28" s="16"/>
      <c r="M28" s="16"/>
      <c r="N28" s="16"/>
      <c r="O28" s="16"/>
      <c r="P28" s="16"/>
      <c r="Q28" s="16"/>
      <c r="R28" s="54" t="s">
        <v>788</v>
      </c>
      <c r="S28" s="16"/>
      <c r="T28" s="16"/>
      <c r="U28" s="16"/>
      <c r="V28" s="16"/>
      <c r="W28" s="16"/>
      <c r="X28" s="16"/>
      <c r="Y28" s="16"/>
      <c r="Z28" s="54" t="s">
        <v>788</v>
      </c>
      <c r="AA28" s="16"/>
      <c r="AB28" s="20" t="s">
        <v>802</v>
      </c>
      <c r="AC28" s="20" t="s">
        <v>802</v>
      </c>
      <c r="AD28" s="16"/>
      <c r="AE28" s="16"/>
      <c r="AF28" s="16"/>
      <c r="AG28" s="16"/>
      <c r="AH28" s="54" t="s">
        <v>788</v>
      </c>
      <c r="AI28" s="16"/>
      <c r="AJ28" s="16"/>
      <c r="AK28" s="16"/>
    </row>
    <row r="29">
      <c r="A29" s="20">
        <v>25.0</v>
      </c>
      <c r="B29" s="54" t="s">
        <v>789</v>
      </c>
      <c r="C29" s="20" t="s">
        <v>802</v>
      </c>
      <c r="D29" s="16"/>
      <c r="E29" s="16"/>
      <c r="F29" s="16"/>
      <c r="G29" s="16"/>
      <c r="H29" s="16"/>
      <c r="I29" s="16"/>
      <c r="J29" s="54" t="s">
        <v>789</v>
      </c>
      <c r="K29" s="16"/>
      <c r="L29" s="16"/>
      <c r="M29" s="16"/>
      <c r="N29" s="16"/>
      <c r="O29" s="16"/>
      <c r="P29" s="16"/>
      <c r="Q29" s="16"/>
      <c r="R29" s="54" t="s">
        <v>789</v>
      </c>
      <c r="S29" s="16"/>
      <c r="T29" s="16"/>
      <c r="U29" s="16"/>
      <c r="V29" s="16"/>
      <c r="W29" s="16"/>
      <c r="X29" s="16"/>
      <c r="Y29" s="16"/>
      <c r="Z29" s="54" t="s">
        <v>789</v>
      </c>
      <c r="AA29" s="16"/>
      <c r="AB29" s="20" t="s">
        <v>802</v>
      </c>
      <c r="AC29" s="20" t="s">
        <v>802</v>
      </c>
      <c r="AD29" s="16"/>
      <c r="AE29" s="16"/>
      <c r="AF29" s="16"/>
      <c r="AG29" s="16"/>
      <c r="AH29" s="54" t="s">
        <v>789</v>
      </c>
      <c r="AI29" s="16"/>
      <c r="AJ29" s="16"/>
      <c r="AK29" s="16"/>
    </row>
    <row r="30">
      <c r="A30" s="20">
        <v>26.0</v>
      </c>
      <c r="B30" s="54" t="s">
        <v>39</v>
      </c>
      <c r="C30" s="20" t="s">
        <v>802</v>
      </c>
      <c r="D30" s="16"/>
      <c r="E30" s="16"/>
      <c r="F30" s="16"/>
      <c r="G30" s="16"/>
      <c r="H30" s="16"/>
      <c r="I30" s="16"/>
      <c r="J30" s="54" t="s">
        <v>39</v>
      </c>
      <c r="K30" s="16"/>
      <c r="L30" s="16"/>
      <c r="M30" s="16"/>
      <c r="N30" s="16"/>
      <c r="O30" s="16"/>
      <c r="P30" s="16"/>
      <c r="Q30" s="16"/>
      <c r="R30" s="54" t="s">
        <v>39</v>
      </c>
      <c r="S30" s="16"/>
      <c r="T30" s="16"/>
      <c r="U30" s="16"/>
      <c r="V30" s="16"/>
      <c r="W30" s="16"/>
      <c r="X30" s="16"/>
      <c r="Y30" s="16"/>
      <c r="Z30" s="54" t="s">
        <v>39</v>
      </c>
      <c r="AA30" s="16"/>
      <c r="AB30" s="20" t="s">
        <v>802</v>
      </c>
      <c r="AC30" s="20" t="s">
        <v>802</v>
      </c>
      <c r="AD30" s="16"/>
      <c r="AE30" s="16"/>
      <c r="AF30" s="16"/>
      <c r="AG30" s="16"/>
      <c r="AH30" s="54" t="s">
        <v>39</v>
      </c>
      <c r="AI30" s="16"/>
      <c r="AJ30" s="16"/>
      <c r="AK30" s="16"/>
    </row>
    <row r="31">
      <c r="A31" s="20">
        <v>27.0</v>
      </c>
      <c r="B31" s="54" t="s">
        <v>790</v>
      </c>
      <c r="C31" s="20" t="s">
        <v>802</v>
      </c>
      <c r="D31" s="16"/>
      <c r="E31" s="16"/>
      <c r="F31" s="16"/>
      <c r="G31" s="16"/>
      <c r="H31" s="16"/>
      <c r="I31" s="16"/>
      <c r="J31" s="54" t="s">
        <v>790</v>
      </c>
      <c r="K31" s="16"/>
      <c r="L31" s="16"/>
      <c r="M31" s="16"/>
      <c r="N31" s="16"/>
      <c r="O31" s="16"/>
      <c r="P31" s="16"/>
      <c r="Q31" s="16"/>
      <c r="R31" s="54" t="s">
        <v>790</v>
      </c>
      <c r="S31" s="16"/>
      <c r="T31" s="16"/>
      <c r="U31" s="16"/>
      <c r="V31" s="16"/>
      <c r="W31" s="16"/>
      <c r="X31" s="16"/>
      <c r="Y31" s="16"/>
      <c r="Z31" s="54" t="s">
        <v>790</v>
      </c>
      <c r="AA31" s="16"/>
      <c r="AB31" s="20" t="s">
        <v>802</v>
      </c>
      <c r="AC31" s="20" t="s">
        <v>802</v>
      </c>
      <c r="AD31" s="16"/>
      <c r="AE31" s="16"/>
      <c r="AF31" s="16"/>
      <c r="AG31" s="16"/>
      <c r="AH31" s="54" t="s">
        <v>790</v>
      </c>
      <c r="AI31" s="16"/>
      <c r="AJ31" s="16"/>
      <c r="AK31" s="16"/>
    </row>
    <row r="32">
      <c r="A32" s="20">
        <v>28.0</v>
      </c>
      <c r="B32" s="54" t="s">
        <v>791</v>
      </c>
      <c r="C32" s="20" t="s">
        <v>802</v>
      </c>
      <c r="D32" s="16"/>
      <c r="E32" s="16"/>
      <c r="F32" s="16"/>
      <c r="G32" s="16"/>
      <c r="H32" s="16"/>
      <c r="I32" s="16"/>
      <c r="J32" s="54" t="s">
        <v>791</v>
      </c>
      <c r="K32" s="16"/>
      <c r="L32" s="16"/>
      <c r="M32" s="16"/>
      <c r="N32" s="16"/>
      <c r="O32" s="16"/>
      <c r="P32" s="16"/>
      <c r="Q32" s="16"/>
      <c r="R32" s="54" t="s">
        <v>791</v>
      </c>
      <c r="S32" s="16"/>
      <c r="T32" s="16"/>
      <c r="U32" s="16"/>
      <c r="V32" s="16"/>
      <c r="W32" s="16"/>
      <c r="X32" s="16"/>
      <c r="Y32" s="16"/>
      <c r="Z32" s="54" t="s">
        <v>791</v>
      </c>
      <c r="AA32" s="16"/>
      <c r="AB32" s="20" t="s">
        <v>802</v>
      </c>
      <c r="AC32" s="20" t="s">
        <v>802</v>
      </c>
      <c r="AD32" s="16"/>
      <c r="AE32" s="16"/>
      <c r="AF32" s="16"/>
      <c r="AG32" s="16"/>
      <c r="AH32" s="54" t="s">
        <v>791</v>
      </c>
      <c r="AI32" s="16"/>
      <c r="AJ32" s="16"/>
      <c r="AK32" s="16"/>
    </row>
    <row r="33">
      <c r="A33" s="20">
        <v>29.0</v>
      </c>
      <c r="B33" s="54" t="s">
        <v>806</v>
      </c>
      <c r="C33" s="20" t="s">
        <v>802</v>
      </c>
      <c r="D33" s="16"/>
      <c r="E33" s="16"/>
      <c r="F33" s="16"/>
      <c r="G33" s="16"/>
      <c r="H33" s="16"/>
      <c r="I33" s="16"/>
      <c r="J33" s="54" t="s">
        <v>806</v>
      </c>
      <c r="K33" s="16"/>
      <c r="L33" s="16"/>
      <c r="M33" s="16"/>
      <c r="N33" s="16"/>
      <c r="O33" s="16"/>
      <c r="P33" s="16"/>
      <c r="Q33" s="16"/>
      <c r="R33" s="54" t="s">
        <v>806</v>
      </c>
      <c r="S33" s="16"/>
      <c r="T33" s="16"/>
      <c r="U33" s="16"/>
      <c r="V33" s="16"/>
      <c r="W33" s="16"/>
      <c r="X33" s="16"/>
      <c r="Y33" s="16"/>
      <c r="Z33" s="54" t="s">
        <v>806</v>
      </c>
      <c r="AA33" s="16"/>
      <c r="AB33" s="20" t="s">
        <v>802</v>
      </c>
      <c r="AC33" s="20" t="s">
        <v>802</v>
      </c>
      <c r="AD33" s="16"/>
      <c r="AE33" s="16"/>
      <c r="AF33" s="16"/>
      <c r="AG33" s="16"/>
      <c r="AH33" s="54" t="s">
        <v>806</v>
      </c>
      <c r="AI33" s="16"/>
      <c r="AJ33" s="16"/>
      <c r="AK33" s="16"/>
    </row>
    <row r="34">
      <c r="A34" s="20">
        <v>30.0</v>
      </c>
      <c r="B34" s="54" t="s">
        <v>793</v>
      </c>
      <c r="C34" s="20" t="s">
        <v>801</v>
      </c>
      <c r="D34" s="16"/>
      <c r="E34" s="16"/>
      <c r="F34" s="16"/>
      <c r="G34" s="16"/>
      <c r="H34" s="16"/>
      <c r="I34" s="16"/>
      <c r="J34" s="54" t="s">
        <v>793</v>
      </c>
      <c r="K34" s="16"/>
      <c r="L34" s="16"/>
      <c r="M34" s="16"/>
      <c r="N34" s="16"/>
      <c r="O34" s="16"/>
      <c r="P34" s="16"/>
      <c r="Q34" s="16"/>
      <c r="R34" s="54" t="s">
        <v>793</v>
      </c>
      <c r="S34" s="16"/>
      <c r="T34" s="16"/>
      <c r="U34" s="16"/>
      <c r="V34" s="16"/>
      <c r="W34" s="16"/>
      <c r="X34" s="16"/>
      <c r="Y34" s="16"/>
      <c r="Z34" s="54" t="s">
        <v>793</v>
      </c>
      <c r="AA34" s="16"/>
      <c r="AB34" s="20" t="s">
        <v>801</v>
      </c>
      <c r="AC34" s="20" t="s">
        <v>801</v>
      </c>
      <c r="AD34" s="16"/>
      <c r="AE34" s="16"/>
      <c r="AF34" s="16"/>
      <c r="AG34" s="16"/>
      <c r="AH34" s="54" t="s">
        <v>793</v>
      </c>
      <c r="AI34" s="16"/>
      <c r="AJ34" s="16"/>
      <c r="AK34" s="16"/>
    </row>
    <row r="35">
      <c r="A35" s="20">
        <v>31.0</v>
      </c>
      <c r="B35" s="54" t="s">
        <v>807</v>
      </c>
      <c r="C35" s="20" t="s">
        <v>802</v>
      </c>
      <c r="D35" s="16"/>
      <c r="E35" s="16"/>
      <c r="F35" s="16"/>
      <c r="G35" s="16"/>
      <c r="H35" s="16"/>
      <c r="I35" s="16"/>
      <c r="J35" s="54" t="s">
        <v>807</v>
      </c>
      <c r="K35" s="16"/>
      <c r="L35" s="16"/>
      <c r="M35" s="16"/>
      <c r="N35" s="16"/>
      <c r="O35" s="16"/>
      <c r="P35" s="16"/>
      <c r="Q35" s="16"/>
      <c r="R35" s="54" t="s">
        <v>807</v>
      </c>
      <c r="S35" s="16"/>
      <c r="T35" s="16"/>
      <c r="U35" s="16"/>
      <c r="V35" s="16"/>
      <c r="W35" s="16"/>
      <c r="X35" s="16"/>
      <c r="Y35" s="16"/>
      <c r="Z35" s="54" t="s">
        <v>807</v>
      </c>
      <c r="AA35" s="16"/>
      <c r="AB35" s="20" t="s">
        <v>802</v>
      </c>
      <c r="AC35" s="20" t="s">
        <v>802</v>
      </c>
      <c r="AD35" s="16"/>
      <c r="AE35" s="16"/>
      <c r="AF35" s="16"/>
      <c r="AG35" s="16"/>
      <c r="AH35" s="54" t="s">
        <v>807</v>
      </c>
      <c r="AI35" s="16"/>
      <c r="AJ35" s="16"/>
      <c r="AK35" s="16"/>
    </row>
    <row r="36">
      <c r="A36" s="20">
        <v>32.0</v>
      </c>
      <c r="B36" s="54" t="s">
        <v>795</v>
      </c>
      <c r="C36" s="20" t="s">
        <v>801</v>
      </c>
      <c r="D36" s="16"/>
      <c r="E36" s="16"/>
      <c r="F36" s="16"/>
      <c r="G36" s="16"/>
      <c r="H36" s="16"/>
      <c r="I36" s="16"/>
      <c r="J36" s="54" t="s">
        <v>795</v>
      </c>
      <c r="K36" s="16"/>
      <c r="L36" s="16"/>
      <c r="M36" s="16"/>
      <c r="N36" s="16"/>
      <c r="O36" s="16"/>
      <c r="P36" s="16"/>
      <c r="Q36" s="16"/>
      <c r="R36" s="54" t="s">
        <v>795</v>
      </c>
      <c r="S36" s="16"/>
      <c r="T36" s="16"/>
      <c r="U36" s="16"/>
      <c r="V36" s="16"/>
      <c r="W36" s="16"/>
      <c r="X36" s="16"/>
      <c r="Y36" s="16"/>
      <c r="Z36" s="54" t="s">
        <v>795</v>
      </c>
      <c r="AA36" s="16"/>
      <c r="AB36" s="20" t="s">
        <v>801</v>
      </c>
      <c r="AC36" s="20" t="s">
        <v>801</v>
      </c>
      <c r="AD36" s="16"/>
      <c r="AE36" s="16"/>
      <c r="AF36" s="16"/>
      <c r="AG36" s="16"/>
      <c r="AH36" s="54" t="s">
        <v>795</v>
      </c>
      <c r="AI36" s="16"/>
      <c r="AJ36" s="16"/>
      <c r="AK36" s="16"/>
    </row>
    <row r="37">
      <c r="A37" s="20">
        <v>33.0</v>
      </c>
      <c r="B37" s="54" t="s">
        <v>796</v>
      </c>
      <c r="C37" s="20" t="s">
        <v>802</v>
      </c>
      <c r="D37" s="16"/>
      <c r="E37" s="16"/>
      <c r="F37" s="16"/>
      <c r="G37" s="16"/>
      <c r="H37" s="16"/>
      <c r="I37" s="16"/>
      <c r="J37" s="54" t="s">
        <v>796</v>
      </c>
      <c r="K37" s="16"/>
      <c r="L37" s="16"/>
      <c r="M37" s="16"/>
      <c r="N37" s="16"/>
      <c r="O37" s="16"/>
      <c r="P37" s="16"/>
      <c r="Q37" s="16"/>
      <c r="R37" s="54" t="s">
        <v>796</v>
      </c>
      <c r="S37" s="16"/>
      <c r="T37" s="16"/>
      <c r="U37" s="16"/>
      <c r="V37" s="16"/>
      <c r="W37" s="16"/>
      <c r="X37" s="16"/>
      <c r="Y37" s="16"/>
      <c r="Z37" s="54" t="s">
        <v>796</v>
      </c>
      <c r="AA37" s="16"/>
      <c r="AB37" s="20" t="s">
        <v>802</v>
      </c>
      <c r="AC37" s="20" t="s">
        <v>802</v>
      </c>
      <c r="AD37" s="16"/>
      <c r="AE37" s="16"/>
      <c r="AF37" s="16"/>
      <c r="AG37" s="16"/>
      <c r="AH37" s="54" t="s">
        <v>796</v>
      </c>
      <c r="AI37" s="16"/>
      <c r="AJ37" s="16"/>
      <c r="AK37" s="16"/>
    </row>
    <row r="38">
      <c r="A38" s="20">
        <v>34.0</v>
      </c>
      <c r="B38" s="54" t="s">
        <v>797</v>
      </c>
      <c r="C38" s="20" t="s">
        <v>802</v>
      </c>
      <c r="D38" s="16"/>
      <c r="E38" s="16"/>
      <c r="F38" s="16"/>
      <c r="G38" s="16"/>
      <c r="H38" s="16"/>
      <c r="I38" s="16"/>
      <c r="J38" s="54" t="s">
        <v>797</v>
      </c>
      <c r="K38" s="16"/>
      <c r="L38" s="16"/>
      <c r="M38" s="16"/>
      <c r="N38" s="16"/>
      <c r="O38" s="16"/>
      <c r="P38" s="16"/>
      <c r="Q38" s="16"/>
      <c r="R38" s="54" t="s">
        <v>797</v>
      </c>
      <c r="S38" s="16"/>
      <c r="T38" s="16"/>
      <c r="U38" s="16"/>
      <c r="V38" s="16"/>
      <c r="W38" s="16"/>
      <c r="X38" s="16"/>
      <c r="Y38" s="16"/>
      <c r="Z38" s="54" t="s">
        <v>797</v>
      </c>
      <c r="AA38" s="16"/>
      <c r="AB38" s="20" t="s">
        <v>802</v>
      </c>
      <c r="AC38" s="20" t="s">
        <v>802</v>
      </c>
      <c r="AD38" s="16"/>
      <c r="AE38" s="16"/>
      <c r="AF38" s="16"/>
      <c r="AG38" s="16"/>
      <c r="AH38" s="54" t="s">
        <v>797</v>
      </c>
      <c r="AI38" s="16"/>
      <c r="AJ38" s="16"/>
      <c r="AK38" s="16"/>
    </row>
    <row r="39">
      <c r="A39" s="20">
        <v>35.0</v>
      </c>
      <c r="B39" s="54" t="s">
        <v>808</v>
      </c>
      <c r="C39" s="20" t="s">
        <v>802</v>
      </c>
      <c r="D39" s="16"/>
      <c r="E39" s="16"/>
      <c r="F39" s="16"/>
      <c r="G39" s="16"/>
      <c r="H39" s="16"/>
      <c r="I39" s="16"/>
      <c r="J39" s="54" t="s">
        <v>808</v>
      </c>
      <c r="K39" s="16"/>
      <c r="L39" s="16"/>
      <c r="M39" s="16"/>
      <c r="N39" s="16"/>
      <c r="O39" s="16"/>
      <c r="P39" s="16"/>
      <c r="Q39" s="16"/>
      <c r="R39" s="54" t="s">
        <v>808</v>
      </c>
      <c r="S39" s="16"/>
      <c r="T39" s="16"/>
      <c r="U39" s="16"/>
      <c r="V39" s="16"/>
      <c r="W39" s="16"/>
      <c r="X39" s="16"/>
      <c r="Y39" s="16"/>
      <c r="Z39" s="54" t="s">
        <v>808</v>
      </c>
      <c r="AA39" s="16"/>
      <c r="AB39" s="20" t="s">
        <v>802</v>
      </c>
      <c r="AC39" s="20" t="s">
        <v>802</v>
      </c>
      <c r="AD39" s="16"/>
      <c r="AE39" s="16"/>
      <c r="AF39" s="16"/>
      <c r="AG39" s="16"/>
      <c r="AH39" s="54" t="s">
        <v>808</v>
      </c>
      <c r="AI39" s="16"/>
      <c r="AJ39" s="16"/>
      <c r="AK39" s="16"/>
    </row>
    <row r="40">
      <c r="A40" s="20">
        <v>36.0</v>
      </c>
      <c r="B40" s="55" t="s">
        <v>799</v>
      </c>
      <c r="C40" s="20" t="s">
        <v>802</v>
      </c>
      <c r="D40" s="16"/>
      <c r="E40" s="16"/>
      <c r="F40" s="16"/>
      <c r="G40" s="16"/>
      <c r="H40" s="16"/>
      <c r="I40" s="16"/>
      <c r="J40" s="55" t="s">
        <v>799</v>
      </c>
      <c r="K40" s="16"/>
      <c r="L40" s="16"/>
      <c r="M40" s="16"/>
      <c r="N40" s="16"/>
      <c r="O40" s="16"/>
      <c r="P40" s="16"/>
      <c r="Q40" s="16"/>
      <c r="R40" s="55" t="s">
        <v>799</v>
      </c>
      <c r="S40" s="16"/>
      <c r="T40" s="16"/>
      <c r="U40" s="16"/>
      <c r="V40" s="16"/>
      <c r="W40" s="16"/>
      <c r="X40" s="16"/>
      <c r="Y40" s="16"/>
      <c r="Z40" s="55" t="s">
        <v>799</v>
      </c>
      <c r="AA40" s="16"/>
      <c r="AB40" s="20" t="s">
        <v>802</v>
      </c>
      <c r="AC40" s="20" t="s">
        <v>802</v>
      </c>
      <c r="AD40" s="16"/>
      <c r="AE40" s="16"/>
      <c r="AF40" s="16"/>
      <c r="AG40" s="16"/>
      <c r="AH40" s="55" t="s">
        <v>799</v>
      </c>
      <c r="AI40" s="16"/>
      <c r="AJ40" s="16"/>
      <c r="AK40" s="16"/>
    </row>
    <row r="41">
      <c r="A41" s="20">
        <v>37.0</v>
      </c>
      <c r="B41" s="55" t="s">
        <v>809</v>
      </c>
      <c r="C41" s="20" t="s">
        <v>802</v>
      </c>
      <c r="D41" s="16"/>
      <c r="E41" s="16"/>
      <c r="F41" s="16"/>
      <c r="G41" s="16"/>
      <c r="H41" s="16"/>
      <c r="I41" s="16"/>
      <c r="J41" s="55" t="s">
        <v>809</v>
      </c>
      <c r="K41" s="16"/>
      <c r="L41" s="16"/>
      <c r="M41" s="16"/>
      <c r="N41" s="16"/>
      <c r="O41" s="16"/>
      <c r="P41" s="16"/>
      <c r="Q41" s="16"/>
      <c r="R41" s="55" t="s">
        <v>809</v>
      </c>
      <c r="S41" s="16"/>
      <c r="T41" s="16"/>
      <c r="U41" s="16"/>
      <c r="V41" s="16"/>
      <c r="W41" s="16"/>
      <c r="X41" s="16"/>
      <c r="Y41" s="16"/>
      <c r="Z41" s="55" t="s">
        <v>809</v>
      </c>
      <c r="AA41" s="16"/>
      <c r="AB41" s="20" t="s">
        <v>802</v>
      </c>
      <c r="AC41" s="20" t="s">
        <v>802</v>
      </c>
      <c r="AD41" s="16"/>
      <c r="AE41" s="16"/>
      <c r="AF41" s="16"/>
      <c r="AG41" s="16"/>
      <c r="AH41" s="55" t="s">
        <v>809</v>
      </c>
      <c r="AI41" s="16"/>
      <c r="AJ41" s="16"/>
      <c r="AK41" s="16"/>
    </row>
  </sheetData>
  <dataValidations>
    <dataValidation type="list" allowBlank="1" showErrorMessage="1" sqref="C5:I41 K5:Q41 S5:Y41 AA5:AG41 AI5:AK41">
      <formula1>"HADIR,GHAIB"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</cols>
  <sheetData>
    <row r="1">
      <c r="A1" s="56" t="s">
        <v>810</v>
      </c>
    </row>
    <row r="3">
      <c r="A3" s="57" t="s">
        <v>2</v>
      </c>
      <c r="B3" s="57" t="s">
        <v>3</v>
      </c>
      <c r="C3" s="58" t="s">
        <v>811</v>
      </c>
      <c r="D3" s="58" t="s">
        <v>812</v>
      </c>
      <c r="E3" s="58" t="s">
        <v>813</v>
      </c>
      <c r="F3" s="57" t="s">
        <v>814</v>
      </c>
    </row>
    <row r="4">
      <c r="A4" s="59">
        <v>1.0</v>
      </c>
      <c r="B4" s="59" t="s">
        <v>815</v>
      </c>
      <c r="C4" s="21"/>
      <c r="D4" s="21"/>
      <c r="E4" s="21"/>
      <c r="F4" s="21"/>
    </row>
    <row r="5">
      <c r="A5" s="59">
        <v>2.0</v>
      </c>
      <c r="B5" s="59" t="s">
        <v>816</v>
      </c>
      <c r="C5" s="21"/>
      <c r="D5" s="21"/>
      <c r="E5" s="21"/>
      <c r="F5" s="21"/>
    </row>
    <row r="6">
      <c r="A6" s="59">
        <v>3.0</v>
      </c>
      <c r="B6" s="59" t="s">
        <v>817</v>
      </c>
      <c r="C6" s="21"/>
      <c r="D6" s="21"/>
      <c r="E6" s="21"/>
      <c r="F6" s="21"/>
    </row>
    <row r="7">
      <c r="A7" s="59">
        <v>4.0</v>
      </c>
      <c r="B7" s="59" t="s">
        <v>818</v>
      </c>
      <c r="C7" s="21"/>
      <c r="D7" s="21"/>
      <c r="E7" s="21"/>
      <c r="F7" s="21"/>
    </row>
    <row r="8">
      <c r="A8" s="59">
        <v>5.0</v>
      </c>
      <c r="B8" s="59" t="s">
        <v>819</v>
      </c>
      <c r="C8" s="21"/>
      <c r="D8" s="21"/>
      <c r="E8" s="21"/>
      <c r="F8" s="21"/>
    </row>
    <row r="9">
      <c r="A9" s="59">
        <v>6.0</v>
      </c>
      <c r="B9" s="59" t="s">
        <v>820</v>
      </c>
      <c r="C9" s="21"/>
      <c r="D9" s="21"/>
      <c r="E9" s="21"/>
      <c r="F9" s="21"/>
    </row>
    <row r="10">
      <c r="A10" s="59">
        <v>7.0</v>
      </c>
      <c r="B10" s="59" t="s">
        <v>821</v>
      </c>
      <c r="C10" s="21"/>
      <c r="D10" s="21"/>
      <c r="E10" s="21"/>
      <c r="F10" s="21"/>
    </row>
    <row r="11">
      <c r="A11" s="59">
        <v>8.0</v>
      </c>
      <c r="B11" s="59" t="s">
        <v>822</v>
      </c>
      <c r="C11" s="21"/>
      <c r="D11" s="21"/>
      <c r="E11" s="21"/>
      <c r="F11" s="21"/>
    </row>
    <row r="12">
      <c r="A12" s="59">
        <v>9.0</v>
      </c>
      <c r="B12" s="59" t="s">
        <v>823</v>
      </c>
      <c r="C12" s="21"/>
      <c r="D12" s="21"/>
      <c r="E12" s="21"/>
      <c r="F12" s="21"/>
    </row>
    <row r="13">
      <c r="A13" s="59">
        <v>10.0</v>
      </c>
      <c r="B13" s="59" t="s">
        <v>824</v>
      </c>
      <c r="C13" s="21"/>
      <c r="D13" s="21"/>
      <c r="E13" s="21"/>
      <c r="F13" s="21"/>
    </row>
    <row r="14">
      <c r="A14" s="59">
        <v>11.0</v>
      </c>
      <c r="B14" s="59" t="s">
        <v>825</v>
      </c>
      <c r="C14" s="21"/>
      <c r="D14" s="21"/>
      <c r="E14" s="21"/>
      <c r="F14" s="21"/>
    </row>
    <row r="15">
      <c r="A15" s="59">
        <v>12.0</v>
      </c>
      <c r="B15" s="59" t="s">
        <v>826</v>
      </c>
      <c r="C15" s="21"/>
      <c r="D15" s="21"/>
      <c r="E15" s="21"/>
      <c r="F15" s="21"/>
    </row>
    <row r="16">
      <c r="A16" s="59">
        <v>13.0</v>
      </c>
      <c r="B16" s="59" t="s">
        <v>827</v>
      </c>
      <c r="C16" s="60" t="s">
        <v>802</v>
      </c>
      <c r="D16" s="59"/>
      <c r="E16" s="59"/>
      <c r="F16" s="59"/>
    </row>
    <row r="17">
      <c r="A17" s="59">
        <v>14.0</v>
      </c>
      <c r="B17" s="59" t="s">
        <v>828</v>
      </c>
      <c r="C17" s="21"/>
      <c r="D17" s="21"/>
      <c r="E17" s="21"/>
      <c r="F17" s="21"/>
    </row>
    <row r="18">
      <c r="A18" s="14">
        <v>15.0</v>
      </c>
      <c r="B18" s="14" t="s">
        <v>829</v>
      </c>
      <c r="C18" s="21"/>
      <c r="D18" s="21"/>
      <c r="E18" s="21"/>
      <c r="F18" s="21"/>
    </row>
    <row r="19">
      <c r="A19" s="59">
        <v>16.0</v>
      </c>
    </row>
  </sheetData>
  <mergeCells count="1">
    <mergeCell ref="A1:F2"/>
  </mergeCells>
  <dataValidations>
    <dataValidation type="list" allowBlank="1" showErrorMessage="1" sqref="C4:F18">
      <formula1>"HADIR,GHAIB"</formula1>
    </dataValidation>
  </dataValidations>
  <drawing r:id="rId1"/>
</worksheet>
</file>